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Hp\STD\Self Learning\Career Projects\Data Analytics\4 Budgetary Control Analysis\"/>
    </mc:Choice>
  </mc:AlternateContent>
  <bookViews>
    <workbookView xWindow="0" yWindow="0" windowWidth="28800" windowHeight="11736"/>
  </bookViews>
  <sheets>
    <sheet name="dashboard" sheetId="10" r:id="rId1"/>
    <sheet name="rough_work ref_to_dashboard" sheetId="28" r:id="rId2"/>
    <sheet name="pivot_table" sheetId="21" r:id="rId3"/>
    <sheet name="dim_ministry" sheetId="1" r:id="rId4"/>
    <sheet name="dim_expense_category" sheetId="27" r:id="rId5"/>
    <sheet name="dim_expense_type" sheetId="6" r:id="rId6"/>
    <sheet name="dim_funding_source" sheetId="9" r:id="rId7"/>
    <sheet name="fact_approved_budget" sheetId="25" r:id="rId8"/>
    <sheet name="fact_budget_funding" sheetId="5" r:id="rId9"/>
    <sheet name="fact_actual_expenditure" sheetId="2" r:id="rId10"/>
  </sheets>
  <definedNames>
    <definedName name="_xlnm._FilterDatabase" localSheetId="9" hidden="1">fact_actual_expenditure!$A$1:$G$196</definedName>
    <definedName name="_xlnm._FilterDatabase" localSheetId="2" hidden="1">pivot_table!$A$22:$D$43</definedName>
    <definedName name="_xlnm._FilterDatabase" localSheetId="1" hidden="1">pivot_table!$A$22:$D$43</definedName>
    <definedName name="_xlcn.LinkedTable_Table111" hidden="1">Table11[]</definedName>
    <definedName name="_xlcn.LinkedTable_Table31" hidden="1">Table3[]</definedName>
    <definedName name="_xlcn.LinkedTable_Table51" hidden="1">Table5[]</definedName>
    <definedName name="_xlcn.LinkedTable_Table61" hidden="1">Table6[]</definedName>
    <definedName name="_xlcn.LinkedTable_Table71" hidden="1">Table7[]</definedName>
    <definedName name="_xlcn.LinkedTable_Table7131" hidden="1">Table713[]</definedName>
    <definedName name="_xlcn.LinkedTable_Table91" hidden="1">Table9[]</definedName>
    <definedName name="ExternalData_1" localSheetId="8" hidden="1">fact_budget_funding!#REF!</definedName>
    <definedName name="Slicer_expense_category">#N/A</definedName>
    <definedName name="Slicer_expense_category1">#N/A</definedName>
    <definedName name="Slicer_expense_type">#N/A</definedName>
    <definedName name="Slicer_funding_source">#N/A</definedName>
    <definedName name="Slicer_ministry_name">#N/A</definedName>
  </definedNames>
  <calcPr calcId="162913"/>
  <pivotCaches>
    <pivotCache cacheId="147" r:id="rId11"/>
    <pivotCache cacheId="150" r:id="rId12"/>
    <pivotCache cacheId="153" r:id="rId13"/>
    <pivotCache cacheId="156" r:id="rId14"/>
  </pivotCaches>
  <extLst>
    <ext xmlns:x14="http://schemas.microsoft.com/office/spreadsheetml/2009/9/main" uri="{876F7934-8845-4945-9796-88D515C7AA90}">
      <x14:pivotCaches>
        <pivotCache cacheId="3"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9" name="fact_approved_budget" connection="LinkedTable_Table9"/>
          <x15:modelTable id="Table713" name="dim_expense_category" connection="LinkedTable_Table713"/>
          <x15:modelTable id="Table7" name="dim_expense_type" connection="LinkedTable_Table7"/>
          <x15:modelTable id="Table6" name="fact_budget_funding" connection="LinkedTable_Table6"/>
          <x15:modelTable id="Table5" name="dim_ministry" connection="LinkedTable_Table5"/>
          <x15:modelTable id="Table3" name="fact_actual_expenditure" connection="LinkedTable_Table3"/>
          <x15:modelTable id="Table11" name="dim_funding_source" connection="LinkedTable_Table11"/>
        </x15:modelTables>
        <x15:modelRelationships>
          <x15:modelRelationship fromTable="fact_approved_budget" fromColumn="ministry_id" toTable="dim_ministry" toColumn="ministry_id"/>
          <x15:modelRelationship fromTable="fact_approved_budget" fromColumn="expense_category_id" toTable="dim_expense_category" toColumn="expense_category_id"/>
          <x15:modelRelationship fromTable="fact_approved_budget" fromColumn="expense_type_id" toTable="dim_expense_type" toColumn="expense_type_id"/>
          <x15:modelRelationship fromTable="fact_budget_funding" fromColumn="funding_source_id" toTable="dim_funding_source" toColumn="funding_source_id"/>
          <x15:modelRelationship fromTable="fact_budget_funding" fromColumn="ministry_id" toTable="dim_ministry" toColumn="ministry_id"/>
          <x15:modelRelationship fromTable="fact_actual_expenditure" fromColumn="expense_type_id" toTable="dim_expense_type" toColumn="expense_type_id"/>
          <x15:modelRelationship fromTable="fact_actual_expenditure" fromColumn="expense_category_id" toTable="dim_expense_category" toColumn="expense_category_id"/>
          <x15:modelRelationship fromTable="fact_actual_expenditure" fromColumn="ministry_id" toTable="dim_ministry" toColumn="ministry_id"/>
        </x15:modelRelationships>
      </x15:dataModel>
    </ext>
  </extLst>
</workbook>
</file>

<file path=xl/calcChain.xml><?xml version="1.0" encoding="utf-8"?>
<calcChain xmlns="http://schemas.openxmlformats.org/spreadsheetml/2006/main">
  <c r="A19" i="28" l="1"/>
  <c r="B19" i="28"/>
  <c r="C19" i="28"/>
  <c r="A18" i="28"/>
  <c r="B18" i="28"/>
  <c r="C18" i="28"/>
  <c r="A17" i="28"/>
  <c r="B17" i="28"/>
  <c r="C17" i="28"/>
  <c r="A15" i="28"/>
  <c r="B15" i="28"/>
  <c r="C15" i="28"/>
  <c r="A16" i="28"/>
  <c r="B16" i="28"/>
  <c r="C16" i="28"/>
  <c r="A14" i="28"/>
  <c r="B14" i="28"/>
  <c r="C14" i="28"/>
  <c r="A13" i="28"/>
  <c r="B13" i="28"/>
  <c r="C13" i="28"/>
  <c r="A11" i="28"/>
  <c r="B11" i="28"/>
  <c r="C11" i="28"/>
  <c r="D11" i="28"/>
  <c r="A12" i="28"/>
  <c r="B12" i="28"/>
  <c r="C12" i="28"/>
  <c r="D43" i="21"/>
  <c r="D42" i="21"/>
  <c r="D41" i="21"/>
  <c r="D40" i="21"/>
  <c r="D39" i="21"/>
  <c r="D38" i="21"/>
  <c r="D37" i="21"/>
  <c r="D36" i="21"/>
  <c r="D35" i="21"/>
  <c r="D34" i="21"/>
  <c r="D33" i="21"/>
  <c r="D32" i="21"/>
  <c r="D31" i="21"/>
  <c r="D30" i="21"/>
  <c r="D29" i="21"/>
  <c r="D28" i="21"/>
  <c r="D27" i="21"/>
  <c r="D26" i="21"/>
  <c r="D25" i="21"/>
  <c r="D24" i="21"/>
  <c r="D23" i="21"/>
  <c r="D12" i="28" l="1"/>
  <c r="D13" i="28"/>
  <c r="D14" i="28"/>
  <c r="D15" i="28"/>
  <c r="D16" i="28"/>
  <c r="D17" i="28"/>
  <c r="D18" i="28"/>
  <c r="D19" i="28"/>
  <c r="C3501" i="2"/>
  <c r="C3500" i="2"/>
  <c r="C3499" i="2"/>
  <c r="C3498" i="2"/>
  <c r="C3497" i="2"/>
  <c r="C3496" i="2"/>
  <c r="C3495" i="2"/>
  <c r="C3494" i="2"/>
  <c r="C3493" i="2"/>
  <c r="C3492" i="2"/>
  <c r="C3491" i="2"/>
  <c r="C3490" i="2"/>
  <c r="C3489" i="2"/>
  <c r="C3488" i="2"/>
  <c r="C3487" i="2"/>
  <c r="C3486" i="2"/>
  <c r="C3485" i="2"/>
  <c r="C3484" i="2"/>
  <c r="C3483" i="2"/>
  <c r="C3482" i="2"/>
  <c r="C3481" i="2"/>
  <c r="C3480" i="2"/>
  <c r="C3479" i="2"/>
  <c r="C3478" i="2"/>
  <c r="C3477" i="2"/>
  <c r="C3476" i="2"/>
  <c r="C3475" i="2"/>
  <c r="C3474" i="2"/>
  <c r="C3473" i="2"/>
  <c r="C3472" i="2"/>
  <c r="C3471" i="2"/>
  <c r="C3470" i="2"/>
  <c r="C3469" i="2"/>
  <c r="C3468" i="2"/>
  <c r="C3467" i="2"/>
  <c r="C3466" i="2"/>
  <c r="C3465" i="2"/>
  <c r="C3464" i="2"/>
  <c r="C3463" i="2"/>
  <c r="C3462" i="2"/>
  <c r="C3461" i="2"/>
  <c r="C3460" i="2"/>
  <c r="C3459" i="2"/>
  <c r="C3458" i="2"/>
  <c r="C3457" i="2"/>
  <c r="C3456" i="2"/>
  <c r="C3455" i="2"/>
  <c r="C3454" i="2"/>
  <c r="C3453" i="2"/>
  <c r="C3452" i="2"/>
  <c r="C3451" i="2"/>
  <c r="C3450" i="2"/>
  <c r="C3449" i="2"/>
  <c r="C3448" i="2"/>
  <c r="C3447" i="2"/>
  <c r="C3446" i="2"/>
  <c r="C3445" i="2"/>
  <c r="C3444" i="2"/>
  <c r="C3443" i="2"/>
  <c r="C3442" i="2"/>
  <c r="C3441" i="2"/>
  <c r="C3440" i="2"/>
  <c r="C3439" i="2"/>
  <c r="C3438" i="2"/>
  <c r="C3437" i="2"/>
  <c r="C3436" i="2"/>
  <c r="C3435" i="2"/>
  <c r="C3434" i="2"/>
  <c r="C3433" i="2"/>
  <c r="C3432" i="2"/>
  <c r="C3431" i="2"/>
  <c r="C3430" i="2"/>
  <c r="C3429" i="2"/>
  <c r="C3428" i="2"/>
  <c r="C3427" i="2"/>
  <c r="C3426" i="2"/>
  <c r="C3425" i="2"/>
  <c r="C3424" i="2"/>
  <c r="C3423" i="2"/>
  <c r="C3422" i="2"/>
  <c r="C3421" i="2"/>
  <c r="C3420" i="2"/>
  <c r="C3419" i="2"/>
  <c r="C3418" i="2"/>
  <c r="C3417" i="2"/>
  <c r="C3416" i="2"/>
  <c r="C3415" i="2"/>
  <c r="C3414" i="2"/>
  <c r="C3413" i="2"/>
  <c r="C3412" i="2"/>
  <c r="C3411" i="2"/>
  <c r="C3410" i="2"/>
  <c r="C3409" i="2"/>
  <c r="C3408" i="2"/>
  <c r="C3407" i="2"/>
  <c r="C3406" i="2"/>
  <c r="C3405" i="2"/>
  <c r="C3404" i="2"/>
  <c r="C3403" i="2"/>
  <c r="C3402" i="2"/>
  <c r="C3401" i="2"/>
  <c r="C3400" i="2"/>
  <c r="C3399" i="2"/>
  <c r="C3398" i="2"/>
  <c r="C3397" i="2"/>
  <c r="C3396" i="2"/>
  <c r="C3395" i="2"/>
  <c r="C3394" i="2"/>
  <c r="C3393" i="2"/>
  <c r="C3392" i="2"/>
  <c r="C3391" i="2"/>
  <c r="C3390" i="2"/>
  <c r="C3389" i="2"/>
  <c r="C3388" i="2"/>
  <c r="C3387" i="2"/>
  <c r="C3386" i="2"/>
  <c r="C3385" i="2"/>
  <c r="C3384" i="2"/>
  <c r="C3383" i="2"/>
  <c r="C3382" i="2"/>
  <c r="C3381" i="2"/>
  <c r="C3380" i="2"/>
  <c r="C3379" i="2"/>
  <c r="C3378" i="2"/>
  <c r="C3377" i="2"/>
  <c r="C3376" i="2"/>
  <c r="C3375" i="2"/>
  <c r="C3374" i="2"/>
  <c r="C3373" i="2"/>
  <c r="C3372" i="2"/>
  <c r="C3371" i="2"/>
  <c r="C3370" i="2"/>
  <c r="C3369" i="2"/>
  <c r="C3368" i="2"/>
  <c r="C3367" i="2"/>
  <c r="C3366" i="2"/>
  <c r="C3365" i="2"/>
  <c r="C3364" i="2"/>
  <c r="C3363" i="2"/>
  <c r="C3362" i="2"/>
  <c r="C3361" i="2"/>
  <c r="C3360" i="2"/>
  <c r="C3359" i="2"/>
  <c r="C3358" i="2"/>
  <c r="C3357" i="2"/>
  <c r="C3356" i="2"/>
  <c r="C3355" i="2"/>
  <c r="C3354" i="2"/>
  <c r="C3353" i="2"/>
  <c r="C3352" i="2"/>
  <c r="C3351" i="2"/>
  <c r="C3350" i="2"/>
  <c r="C3349" i="2"/>
  <c r="C3348" i="2"/>
  <c r="C3347" i="2"/>
  <c r="C3346" i="2"/>
  <c r="C3345" i="2"/>
  <c r="C3344" i="2"/>
  <c r="C3343" i="2"/>
  <c r="C3342" i="2"/>
  <c r="C3341" i="2"/>
  <c r="C3340" i="2"/>
  <c r="C3339" i="2"/>
  <c r="C3338" i="2"/>
  <c r="C3337" i="2"/>
  <c r="C3336" i="2"/>
  <c r="C3335" i="2"/>
  <c r="C3334" i="2"/>
  <c r="C3333" i="2"/>
  <c r="C3332" i="2"/>
  <c r="C3331" i="2"/>
  <c r="C3330" i="2"/>
  <c r="C3329" i="2"/>
  <c r="C3328" i="2"/>
  <c r="C3327" i="2"/>
  <c r="C3326" i="2"/>
  <c r="C3325" i="2"/>
  <c r="C3324" i="2"/>
  <c r="C3323" i="2"/>
  <c r="C3322" i="2"/>
  <c r="C3321" i="2"/>
  <c r="C3320" i="2"/>
  <c r="C3319" i="2"/>
  <c r="C3318" i="2"/>
  <c r="C3317" i="2"/>
  <c r="C3316" i="2"/>
  <c r="C3315" i="2"/>
  <c r="C3314" i="2"/>
  <c r="C3313" i="2"/>
  <c r="C3312" i="2"/>
  <c r="C3311" i="2"/>
  <c r="C3310" i="2"/>
  <c r="C3309" i="2"/>
  <c r="C3308" i="2"/>
  <c r="C3307" i="2"/>
  <c r="C3306" i="2"/>
  <c r="C3305" i="2"/>
  <c r="C3304" i="2"/>
  <c r="C3303" i="2"/>
  <c r="C3302" i="2"/>
  <c r="C3301" i="2"/>
  <c r="C3300" i="2"/>
  <c r="C3299" i="2"/>
  <c r="C3298" i="2"/>
  <c r="C3297" i="2"/>
  <c r="C3296" i="2"/>
  <c r="C3295" i="2"/>
  <c r="C3294" i="2"/>
  <c r="C3293" i="2"/>
  <c r="C3292" i="2"/>
  <c r="C3291" i="2"/>
  <c r="C3290" i="2"/>
  <c r="C3289" i="2"/>
  <c r="C3288" i="2"/>
  <c r="C3287" i="2"/>
  <c r="C3286" i="2"/>
  <c r="C3285" i="2"/>
  <c r="C3284" i="2"/>
  <c r="C3283" i="2"/>
  <c r="C3282" i="2"/>
  <c r="C3281" i="2"/>
  <c r="C3280" i="2"/>
  <c r="C3279" i="2"/>
  <c r="C3278" i="2"/>
  <c r="C3277" i="2"/>
  <c r="C3276" i="2"/>
  <c r="C3275" i="2"/>
  <c r="C3274" i="2"/>
  <c r="C3273" i="2"/>
  <c r="C3272" i="2"/>
  <c r="C3271" i="2"/>
  <c r="C3270" i="2"/>
  <c r="C3269" i="2"/>
  <c r="C3268" i="2"/>
  <c r="C3267" i="2"/>
  <c r="C3266" i="2"/>
  <c r="C3265" i="2"/>
  <c r="C3264" i="2"/>
  <c r="C3263" i="2"/>
  <c r="C3262" i="2"/>
  <c r="C3261" i="2"/>
  <c r="C3260" i="2"/>
  <c r="C3259" i="2"/>
  <c r="C3258" i="2"/>
  <c r="C3257" i="2"/>
  <c r="C3256" i="2"/>
  <c r="C3255" i="2"/>
  <c r="C3254" i="2"/>
  <c r="C3253" i="2"/>
  <c r="C3252" i="2"/>
  <c r="C3251" i="2"/>
  <c r="C3250" i="2"/>
  <c r="C3249" i="2"/>
  <c r="C3248" i="2"/>
  <c r="C3247" i="2"/>
  <c r="C3246" i="2"/>
  <c r="C3245" i="2"/>
  <c r="C3244" i="2"/>
  <c r="C3243" i="2"/>
  <c r="C3242" i="2"/>
  <c r="C3241" i="2"/>
  <c r="C3240" i="2"/>
  <c r="C3239" i="2"/>
  <c r="C3238" i="2"/>
  <c r="C3237" i="2"/>
  <c r="C3236" i="2"/>
  <c r="C3235" i="2"/>
  <c r="C3234" i="2"/>
  <c r="C3233" i="2"/>
  <c r="C3232" i="2"/>
  <c r="C3231" i="2"/>
  <c r="C3230" i="2"/>
  <c r="C3229" i="2"/>
  <c r="C3228" i="2"/>
  <c r="C3227" i="2"/>
  <c r="C3226" i="2"/>
  <c r="C3225" i="2"/>
  <c r="C3224" i="2"/>
  <c r="C3223" i="2"/>
  <c r="C3222" i="2"/>
  <c r="C3221" i="2"/>
  <c r="C3220" i="2"/>
  <c r="C3219" i="2"/>
  <c r="C3218" i="2"/>
  <c r="C3217" i="2"/>
  <c r="C3216" i="2"/>
  <c r="C3215" i="2"/>
  <c r="C3214" i="2"/>
  <c r="C3213" i="2"/>
  <c r="C3212" i="2"/>
  <c r="C3211" i="2"/>
  <c r="C3210" i="2"/>
  <c r="C3209" i="2"/>
  <c r="C3208" i="2"/>
  <c r="C3207" i="2"/>
  <c r="C3206" i="2"/>
  <c r="C3205" i="2"/>
  <c r="C3204" i="2"/>
  <c r="C3203" i="2"/>
  <c r="C3202" i="2"/>
  <c r="C3201" i="2"/>
  <c r="C3200" i="2"/>
  <c r="C3199" i="2"/>
  <c r="C3198" i="2"/>
  <c r="C3197" i="2"/>
  <c r="C3196" i="2"/>
  <c r="C3195" i="2"/>
  <c r="C3194" i="2"/>
  <c r="C3193" i="2"/>
  <c r="C3192" i="2"/>
  <c r="C3191" i="2"/>
  <c r="C3190" i="2"/>
  <c r="C3189" i="2"/>
  <c r="C3188" i="2"/>
  <c r="C3187" i="2"/>
  <c r="C3186" i="2"/>
  <c r="C3185" i="2"/>
  <c r="C3184" i="2"/>
  <c r="C3183" i="2"/>
  <c r="C3182" i="2"/>
  <c r="C3181" i="2"/>
  <c r="C3180" i="2"/>
  <c r="C3179" i="2"/>
  <c r="C3178" i="2"/>
  <c r="C3177" i="2"/>
  <c r="C3176" i="2"/>
  <c r="C3175" i="2"/>
  <c r="C3174" i="2"/>
  <c r="C3173" i="2"/>
  <c r="C3172" i="2"/>
  <c r="C3171" i="2"/>
  <c r="C3170" i="2"/>
  <c r="C3169" i="2"/>
  <c r="C3168" i="2"/>
  <c r="C3167" i="2"/>
  <c r="C3166" i="2"/>
  <c r="C3165" i="2"/>
  <c r="C3164" i="2"/>
  <c r="C3163" i="2"/>
  <c r="C3162" i="2"/>
  <c r="C3161" i="2"/>
  <c r="C3160" i="2"/>
  <c r="C3159" i="2"/>
  <c r="C3158" i="2"/>
  <c r="C3157" i="2"/>
  <c r="C3156" i="2"/>
  <c r="C3155" i="2"/>
  <c r="C3154" i="2"/>
  <c r="C3153" i="2"/>
  <c r="C3152" i="2"/>
  <c r="C3151" i="2"/>
  <c r="C3150" i="2"/>
  <c r="C3149" i="2"/>
  <c r="C3148" i="2"/>
  <c r="C3147" i="2"/>
  <c r="C3146" i="2"/>
  <c r="C3145" i="2"/>
  <c r="C3144" i="2"/>
  <c r="C3143" i="2"/>
  <c r="C3142" i="2"/>
  <c r="C3141" i="2"/>
  <c r="C3140" i="2"/>
  <c r="C3139" i="2"/>
  <c r="C3138" i="2"/>
  <c r="C3137" i="2"/>
  <c r="C3136" i="2"/>
  <c r="C3135" i="2"/>
  <c r="C3134" i="2"/>
  <c r="C3133" i="2"/>
  <c r="C3132" i="2"/>
  <c r="C3131" i="2"/>
  <c r="C3130" i="2"/>
  <c r="C3129" i="2"/>
  <c r="C3128" i="2"/>
  <c r="C3127" i="2"/>
  <c r="C3126" i="2"/>
  <c r="C3125" i="2"/>
  <c r="C3124" i="2"/>
  <c r="C3123" i="2"/>
  <c r="C3122" i="2"/>
  <c r="C3121" i="2"/>
  <c r="C3120" i="2"/>
  <c r="C3119" i="2"/>
  <c r="C3118" i="2"/>
  <c r="C3117" i="2"/>
  <c r="C3116" i="2"/>
  <c r="C3115" i="2"/>
  <c r="C3114" i="2"/>
  <c r="C3113" i="2"/>
  <c r="C3112" i="2"/>
  <c r="C3111" i="2"/>
  <c r="C3110" i="2"/>
  <c r="C3109" i="2"/>
  <c r="C3108" i="2"/>
  <c r="C3107" i="2"/>
  <c r="C3106" i="2"/>
  <c r="C3105" i="2"/>
  <c r="C3104" i="2"/>
  <c r="C3103" i="2"/>
  <c r="C3102" i="2"/>
  <c r="C3101" i="2"/>
  <c r="C3100" i="2"/>
  <c r="C3099" i="2"/>
  <c r="C3098" i="2"/>
  <c r="C3097" i="2"/>
  <c r="C3096" i="2"/>
  <c r="C3095" i="2"/>
  <c r="C3094" i="2"/>
  <c r="C3093" i="2"/>
  <c r="C3092" i="2"/>
  <c r="C3091" i="2"/>
  <c r="C3090" i="2"/>
  <c r="C3089" i="2"/>
  <c r="C3088" i="2"/>
  <c r="C3087" i="2"/>
  <c r="C3086" i="2"/>
  <c r="C3085" i="2"/>
  <c r="C3084" i="2"/>
  <c r="C3083" i="2"/>
  <c r="C3082" i="2"/>
  <c r="C3081" i="2"/>
  <c r="C3080" i="2"/>
  <c r="C3079" i="2"/>
  <c r="C3078" i="2"/>
  <c r="C3077" i="2"/>
  <c r="C3076" i="2"/>
  <c r="C3075" i="2"/>
  <c r="C3074" i="2"/>
  <c r="C3073" i="2"/>
  <c r="C3072" i="2"/>
  <c r="C3071" i="2"/>
  <c r="C3070" i="2"/>
  <c r="C3069" i="2"/>
  <c r="C3068" i="2"/>
  <c r="C3067" i="2"/>
  <c r="C3066" i="2"/>
  <c r="C3065" i="2"/>
  <c r="C3064" i="2"/>
  <c r="C3063" i="2"/>
  <c r="C3062" i="2"/>
  <c r="C3061" i="2"/>
  <c r="C3060" i="2"/>
  <c r="C3059" i="2"/>
  <c r="C3058" i="2"/>
  <c r="C3057" i="2"/>
  <c r="C3056" i="2"/>
  <c r="C3055" i="2"/>
  <c r="C3054" i="2"/>
  <c r="C3053" i="2"/>
  <c r="C3052" i="2"/>
  <c r="C3051" i="2"/>
  <c r="C3050" i="2"/>
  <c r="C3049" i="2"/>
  <c r="C3048" i="2"/>
  <c r="C3047" i="2"/>
  <c r="C3046" i="2"/>
  <c r="C3045" i="2"/>
  <c r="C3044" i="2"/>
  <c r="C3043" i="2"/>
  <c r="C3042" i="2"/>
  <c r="C3041" i="2"/>
  <c r="C3040" i="2"/>
  <c r="C3039" i="2"/>
  <c r="C3038" i="2"/>
  <c r="C3037" i="2"/>
  <c r="C3036" i="2"/>
  <c r="C3035" i="2"/>
  <c r="C3034" i="2"/>
  <c r="C3033" i="2"/>
  <c r="C3032" i="2"/>
  <c r="C3031" i="2"/>
  <c r="C3030" i="2"/>
  <c r="C3029" i="2"/>
  <c r="C3028" i="2"/>
  <c r="C3027" i="2"/>
  <c r="C3026" i="2"/>
  <c r="C3025" i="2"/>
  <c r="C3024" i="2"/>
  <c r="C3023" i="2"/>
  <c r="C3022" i="2"/>
  <c r="C3021" i="2"/>
  <c r="C3020" i="2"/>
  <c r="C3019" i="2"/>
  <c r="C3018" i="2"/>
  <c r="C3017" i="2"/>
  <c r="C3016" i="2"/>
  <c r="C3015" i="2"/>
  <c r="C3014" i="2"/>
  <c r="C3013" i="2"/>
  <c r="C3012" i="2"/>
  <c r="C3011" i="2"/>
  <c r="C3010" i="2"/>
  <c r="C3009" i="2"/>
  <c r="C3008" i="2"/>
  <c r="C3007" i="2"/>
  <c r="C3006" i="2"/>
  <c r="C3005" i="2"/>
  <c r="C3004" i="2"/>
  <c r="C3003" i="2"/>
  <c r="C3002" i="2"/>
  <c r="C3001" i="2"/>
  <c r="C3000" i="2"/>
  <c r="C2999" i="2"/>
  <c r="C2998" i="2"/>
  <c r="C2997" i="2"/>
  <c r="C2996" i="2"/>
  <c r="C2995" i="2"/>
  <c r="C2994" i="2"/>
  <c r="C2993" i="2"/>
  <c r="C2992" i="2"/>
  <c r="C2991" i="2"/>
  <c r="C2990" i="2"/>
  <c r="C2989" i="2"/>
  <c r="C2988" i="2"/>
  <c r="C2987" i="2"/>
  <c r="C2986" i="2"/>
  <c r="C2985" i="2"/>
  <c r="C2984" i="2"/>
  <c r="C2983" i="2"/>
  <c r="C2982" i="2"/>
  <c r="C2981" i="2"/>
  <c r="C2980" i="2"/>
  <c r="C2979" i="2"/>
  <c r="C2978" i="2"/>
  <c r="C2977" i="2"/>
  <c r="C2976" i="2"/>
  <c r="C2975" i="2"/>
  <c r="C2974" i="2"/>
  <c r="C2973" i="2"/>
  <c r="C2972" i="2"/>
  <c r="C2971" i="2"/>
  <c r="C2970" i="2"/>
  <c r="C2969" i="2"/>
  <c r="C2968" i="2"/>
  <c r="C2967" i="2"/>
  <c r="C2966" i="2"/>
  <c r="C2965" i="2"/>
  <c r="C2964" i="2"/>
  <c r="C2963" i="2"/>
  <c r="C2962" i="2"/>
  <c r="C2961" i="2"/>
  <c r="C2960" i="2"/>
  <c r="C2959" i="2"/>
  <c r="C2958" i="2"/>
  <c r="C2957" i="2"/>
  <c r="C2956" i="2"/>
  <c r="C2955" i="2"/>
  <c r="C2954" i="2"/>
  <c r="C2953" i="2"/>
  <c r="C2952" i="2"/>
  <c r="C2951" i="2"/>
  <c r="C2950" i="2"/>
  <c r="C2949" i="2"/>
  <c r="C2948" i="2"/>
  <c r="C2947" i="2"/>
  <c r="C2946" i="2"/>
  <c r="C2945" i="2"/>
  <c r="C2944" i="2"/>
  <c r="C2943" i="2"/>
  <c r="C2942" i="2"/>
  <c r="C2941" i="2"/>
  <c r="C2940" i="2"/>
  <c r="C2939" i="2"/>
  <c r="C2938" i="2"/>
  <c r="C2937" i="2"/>
  <c r="C2936" i="2"/>
  <c r="C2935" i="2"/>
  <c r="C2934" i="2"/>
  <c r="C2933" i="2"/>
  <c r="C2932" i="2"/>
  <c r="C2931" i="2"/>
  <c r="C2930" i="2"/>
  <c r="C2929" i="2"/>
  <c r="C2928" i="2"/>
  <c r="C2927" i="2"/>
  <c r="C2926" i="2"/>
  <c r="C2925" i="2"/>
  <c r="C2924" i="2"/>
  <c r="C2923" i="2"/>
  <c r="C2922" i="2"/>
  <c r="C2921" i="2"/>
  <c r="C2920" i="2"/>
  <c r="C2919" i="2"/>
  <c r="C2918" i="2"/>
  <c r="C2917" i="2"/>
  <c r="C2916" i="2"/>
  <c r="C2915" i="2"/>
  <c r="C2914" i="2"/>
  <c r="C2913" i="2"/>
  <c r="C2912" i="2"/>
  <c r="C2911" i="2"/>
  <c r="C2910" i="2"/>
  <c r="C2909" i="2"/>
  <c r="C2908" i="2"/>
  <c r="C2907" i="2"/>
  <c r="C2906" i="2"/>
  <c r="C2905" i="2"/>
  <c r="C2904" i="2"/>
  <c r="C2903" i="2"/>
  <c r="C2902" i="2"/>
  <c r="C2901" i="2"/>
  <c r="C2900" i="2"/>
  <c r="C2899" i="2"/>
  <c r="C2898" i="2"/>
  <c r="C2897" i="2"/>
  <c r="C2896" i="2"/>
  <c r="C2895" i="2"/>
  <c r="C2894" i="2"/>
  <c r="C2893" i="2"/>
  <c r="C2892" i="2"/>
  <c r="C2891" i="2"/>
  <c r="C2890" i="2"/>
  <c r="C2889" i="2"/>
  <c r="C2888" i="2"/>
  <c r="C2887" i="2"/>
  <c r="C2886" i="2"/>
  <c r="C2885" i="2"/>
  <c r="C2884" i="2"/>
  <c r="C2883" i="2"/>
  <c r="C2882" i="2"/>
  <c r="C2881" i="2"/>
  <c r="C2880" i="2"/>
  <c r="C2879" i="2"/>
  <c r="C2878" i="2"/>
  <c r="C2877" i="2"/>
  <c r="C2876" i="2"/>
  <c r="C2875" i="2"/>
  <c r="C2874" i="2"/>
  <c r="C2873" i="2"/>
  <c r="C2872" i="2"/>
  <c r="C2871" i="2"/>
  <c r="C2870" i="2"/>
  <c r="C2869" i="2"/>
  <c r="C2868" i="2"/>
  <c r="C2867" i="2"/>
  <c r="C2866" i="2"/>
  <c r="C2865" i="2"/>
  <c r="C2864" i="2"/>
  <c r="C2863" i="2"/>
  <c r="C2862" i="2"/>
  <c r="C2861" i="2"/>
  <c r="C2860" i="2"/>
  <c r="C2859" i="2"/>
  <c r="C2858" i="2"/>
  <c r="C2857" i="2"/>
  <c r="C2856" i="2"/>
  <c r="C2855" i="2"/>
  <c r="C2854" i="2"/>
  <c r="C2853" i="2"/>
  <c r="C2852" i="2"/>
  <c r="C2851" i="2"/>
  <c r="C2850" i="2"/>
  <c r="C2849" i="2"/>
  <c r="C2848" i="2"/>
  <c r="C2847" i="2"/>
  <c r="C2846" i="2"/>
  <c r="C2845" i="2"/>
  <c r="C2844" i="2"/>
  <c r="C2843" i="2"/>
  <c r="C2842" i="2"/>
  <c r="C2841" i="2"/>
  <c r="C2840" i="2"/>
  <c r="C2839" i="2"/>
  <c r="C2838" i="2"/>
  <c r="C2837" i="2"/>
  <c r="C2836" i="2"/>
  <c r="C2835" i="2"/>
  <c r="C2834" i="2"/>
  <c r="C2833" i="2"/>
  <c r="C2832" i="2"/>
  <c r="C2831" i="2"/>
  <c r="C2830" i="2"/>
  <c r="C2829" i="2"/>
  <c r="C2828" i="2"/>
  <c r="C2827" i="2"/>
  <c r="C2826" i="2"/>
  <c r="C2825" i="2"/>
  <c r="C2824" i="2"/>
  <c r="C2823" i="2"/>
  <c r="C2822" i="2"/>
  <c r="C2821" i="2"/>
  <c r="C2820" i="2"/>
  <c r="C2819" i="2"/>
  <c r="C2818" i="2"/>
  <c r="C2817" i="2"/>
  <c r="C2816" i="2"/>
  <c r="C2815" i="2"/>
  <c r="C2814" i="2"/>
  <c r="C2813" i="2"/>
  <c r="C2812" i="2"/>
  <c r="C2811" i="2"/>
  <c r="C2810" i="2"/>
  <c r="C2809" i="2"/>
  <c r="C2808" i="2"/>
  <c r="C2807" i="2"/>
  <c r="C2806" i="2"/>
  <c r="C2805" i="2"/>
  <c r="C2804" i="2"/>
  <c r="C2803" i="2"/>
  <c r="C2802" i="2"/>
  <c r="C2801" i="2"/>
  <c r="C2800" i="2"/>
  <c r="C2799" i="2"/>
  <c r="C2798" i="2"/>
  <c r="C2797" i="2"/>
  <c r="C2796" i="2"/>
  <c r="C2795" i="2"/>
  <c r="C2794" i="2"/>
  <c r="C2793" i="2"/>
  <c r="C2792" i="2"/>
  <c r="C2791" i="2"/>
  <c r="C2790" i="2"/>
  <c r="C2789" i="2"/>
  <c r="C2788" i="2"/>
  <c r="C2787" i="2"/>
  <c r="C2786" i="2"/>
  <c r="C2785" i="2"/>
  <c r="C2784" i="2"/>
  <c r="C2783" i="2"/>
  <c r="C2782" i="2"/>
  <c r="C2781" i="2"/>
  <c r="C2780" i="2"/>
  <c r="C2779" i="2"/>
  <c r="C2778" i="2"/>
  <c r="C2777" i="2"/>
  <c r="C2776" i="2"/>
  <c r="C2775" i="2"/>
  <c r="C2774" i="2"/>
  <c r="C2773" i="2"/>
  <c r="C2772" i="2"/>
  <c r="C2771" i="2"/>
  <c r="C2770" i="2"/>
  <c r="C2769" i="2"/>
  <c r="C2768" i="2"/>
  <c r="C2767" i="2"/>
  <c r="C2766" i="2"/>
  <c r="C2765" i="2"/>
  <c r="C2764" i="2"/>
  <c r="C2763" i="2"/>
  <c r="C2762" i="2"/>
  <c r="C2761" i="2"/>
  <c r="C2760" i="2"/>
  <c r="C2759" i="2"/>
  <c r="C2758" i="2"/>
  <c r="C2757" i="2"/>
  <c r="C2756" i="2"/>
  <c r="C2755" i="2"/>
  <c r="C2754" i="2"/>
  <c r="C2753" i="2"/>
  <c r="C2752" i="2"/>
  <c r="C2751" i="2"/>
  <c r="C2750" i="2"/>
  <c r="C2749" i="2"/>
  <c r="C2748" i="2"/>
  <c r="C2747" i="2"/>
  <c r="C2746" i="2"/>
  <c r="C2745" i="2"/>
  <c r="C2744" i="2"/>
  <c r="C2743" i="2"/>
  <c r="C2742" i="2"/>
  <c r="C2741" i="2"/>
  <c r="C2740" i="2"/>
  <c r="C2739" i="2"/>
  <c r="C2738" i="2"/>
  <c r="C2737" i="2"/>
  <c r="C2736" i="2"/>
  <c r="C2735" i="2"/>
  <c r="C2734" i="2"/>
  <c r="C2733" i="2"/>
  <c r="C2732" i="2"/>
  <c r="C2731" i="2"/>
  <c r="C2730" i="2"/>
  <c r="C2729" i="2"/>
  <c r="C2728" i="2"/>
  <c r="C2727" i="2"/>
  <c r="C2726" i="2"/>
  <c r="C2725" i="2"/>
  <c r="C2724" i="2"/>
  <c r="C2723" i="2"/>
  <c r="C2722" i="2"/>
  <c r="C2721" i="2"/>
  <c r="C2720" i="2"/>
  <c r="C2719" i="2"/>
  <c r="C2718" i="2"/>
  <c r="C2717" i="2"/>
  <c r="C2716" i="2"/>
  <c r="C2715" i="2"/>
  <c r="C2714" i="2"/>
  <c r="C2713" i="2"/>
  <c r="C2712" i="2"/>
  <c r="C2711" i="2"/>
  <c r="C2710" i="2"/>
  <c r="C2709" i="2"/>
  <c r="C2708" i="2"/>
  <c r="C2707" i="2"/>
  <c r="C2706" i="2"/>
  <c r="C2705" i="2"/>
  <c r="C2704" i="2"/>
  <c r="C2703" i="2"/>
  <c r="C2702" i="2"/>
  <c r="C2701" i="2"/>
  <c r="C2700" i="2"/>
  <c r="C2699" i="2"/>
  <c r="C2698" i="2"/>
  <c r="C2697" i="2"/>
  <c r="C2696" i="2"/>
  <c r="C2695" i="2"/>
  <c r="C2694" i="2"/>
  <c r="C2693" i="2"/>
  <c r="C2692" i="2"/>
  <c r="C2691" i="2"/>
  <c r="C2690" i="2"/>
  <c r="C2689" i="2"/>
  <c r="C2688" i="2"/>
  <c r="C2687" i="2"/>
  <c r="C2686" i="2"/>
  <c r="C2685" i="2"/>
  <c r="C2684" i="2"/>
  <c r="C2683" i="2"/>
  <c r="C2682" i="2"/>
  <c r="C2681" i="2"/>
  <c r="C2680" i="2"/>
  <c r="C2679" i="2"/>
  <c r="C2678" i="2"/>
  <c r="C2677" i="2"/>
  <c r="C2676" i="2"/>
  <c r="C2675" i="2"/>
  <c r="C2674" i="2"/>
  <c r="C2673" i="2"/>
  <c r="C2672" i="2"/>
  <c r="C2671" i="2"/>
  <c r="C2670" i="2"/>
  <c r="C2669" i="2"/>
  <c r="C2668" i="2"/>
  <c r="C2667" i="2"/>
  <c r="C2666" i="2"/>
  <c r="C2665" i="2"/>
  <c r="C2664" i="2"/>
  <c r="C2663" i="2"/>
  <c r="C2662" i="2"/>
  <c r="C2661" i="2"/>
  <c r="C2660" i="2"/>
  <c r="C2659" i="2"/>
  <c r="C2658" i="2"/>
  <c r="C2657" i="2"/>
  <c r="C2656" i="2"/>
  <c r="C2655" i="2"/>
  <c r="C2654" i="2"/>
  <c r="C2653" i="2"/>
  <c r="C2652" i="2"/>
  <c r="C2651" i="2"/>
  <c r="C2650" i="2"/>
  <c r="C2649" i="2"/>
  <c r="C2648" i="2"/>
  <c r="C2647" i="2"/>
  <c r="C2646" i="2"/>
  <c r="C2645" i="2"/>
  <c r="C2644" i="2"/>
  <c r="C2643" i="2"/>
  <c r="C2642" i="2"/>
  <c r="C2641" i="2"/>
  <c r="C2640" i="2"/>
  <c r="C2639" i="2"/>
  <c r="C2638" i="2"/>
  <c r="C2637" i="2"/>
  <c r="C2636" i="2"/>
  <c r="C2635" i="2"/>
  <c r="C2634" i="2"/>
  <c r="C2633" i="2"/>
  <c r="C2632" i="2"/>
  <c r="C2631" i="2"/>
  <c r="C2630" i="2"/>
  <c r="C2629" i="2"/>
  <c r="C2628" i="2"/>
  <c r="C2627" i="2"/>
  <c r="C2626" i="2"/>
  <c r="C2625" i="2"/>
  <c r="C2624" i="2"/>
  <c r="C2623" i="2"/>
  <c r="C2622" i="2"/>
  <c r="C2621" i="2"/>
  <c r="C2620" i="2"/>
  <c r="C2619" i="2"/>
  <c r="C2618" i="2"/>
  <c r="C2617" i="2"/>
  <c r="C2616" i="2"/>
  <c r="C2615" i="2"/>
  <c r="C2614" i="2"/>
  <c r="C2613" i="2"/>
  <c r="C2612" i="2"/>
  <c r="C2611" i="2"/>
  <c r="C2610" i="2"/>
  <c r="C2609" i="2"/>
  <c r="C2608" i="2"/>
  <c r="C2607" i="2"/>
  <c r="C2606" i="2"/>
  <c r="C2605" i="2"/>
  <c r="C2604" i="2"/>
  <c r="C2603" i="2"/>
  <c r="C2602" i="2"/>
  <c r="C2601" i="2"/>
  <c r="C2600" i="2"/>
  <c r="C2599" i="2"/>
  <c r="C2598" i="2"/>
  <c r="C2597" i="2"/>
  <c r="C2596" i="2"/>
  <c r="C2595" i="2"/>
  <c r="C2594" i="2"/>
  <c r="C2593" i="2"/>
  <c r="C2592" i="2"/>
  <c r="C2591" i="2"/>
  <c r="C2590" i="2"/>
  <c r="C2589" i="2"/>
  <c r="C2588" i="2"/>
  <c r="C2587" i="2"/>
  <c r="C2586" i="2"/>
  <c r="C2585" i="2"/>
  <c r="C2584" i="2"/>
  <c r="C2583" i="2"/>
  <c r="C2582" i="2"/>
  <c r="C2581" i="2"/>
  <c r="C2580" i="2"/>
  <c r="C2579" i="2"/>
  <c r="C2578" i="2"/>
  <c r="C2577" i="2"/>
  <c r="C2576" i="2"/>
  <c r="C2575" i="2"/>
  <c r="C2574" i="2"/>
  <c r="C2573" i="2"/>
  <c r="C2572" i="2"/>
  <c r="C2571" i="2"/>
  <c r="C2570" i="2"/>
  <c r="C2569" i="2"/>
  <c r="C2568" i="2"/>
  <c r="C2567" i="2"/>
  <c r="C2566" i="2"/>
  <c r="C2565" i="2"/>
  <c r="C2564" i="2"/>
  <c r="C2563" i="2"/>
  <c r="C2562" i="2"/>
  <c r="C2561" i="2"/>
  <c r="C2560" i="2"/>
  <c r="C2559" i="2"/>
  <c r="C2558" i="2"/>
  <c r="C2557" i="2"/>
  <c r="C2556" i="2"/>
  <c r="C2555" i="2"/>
  <c r="C2554" i="2"/>
  <c r="C2553" i="2"/>
  <c r="C2552" i="2"/>
  <c r="C2551" i="2"/>
  <c r="C2550" i="2"/>
  <c r="C2549" i="2"/>
  <c r="C2548" i="2"/>
  <c r="C2547" i="2"/>
  <c r="C2546" i="2"/>
  <c r="C2545" i="2"/>
  <c r="C2544" i="2"/>
  <c r="C2543" i="2"/>
  <c r="C2542" i="2"/>
  <c r="C2541" i="2"/>
  <c r="C2540" i="2"/>
  <c r="C2539" i="2"/>
  <c r="C2538" i="2"/>
  <c r="C2537" i="2"/>
  <c r="C2536" i="2"/>
  <c r="C2535" i="2"/>
  <c r="C2534" i="2"/>
  <c r="C2533" i="2"/>
  <c r="C2532" i="2"/>
  <c r="C2531" i="2"/>
  <c r="C2530" i="2"/>
  <c r="C2529" i="2"/>
  <c r="C2528" i="2"/>
  <c r="C2527" i="2"/>
  <c r="C2526" i="2"/>
  <c r="C2525" i="2"/>
  <c r="C2524" i="2"/>
  <c r="C2523" i="2"/>
  <c r="C2522" i="2"/>
  <c r="C2521" i="2"/>
  <c r="C2520" i="2"/>
  <c r="C2519" i="2"/>
  <c r="C2518" i="2"/>
  <c r="C2517" i="2"/>
  <c r="C2516" i="2"/>
  <c r="C2515" i="2"/>
  <c r="C2514" i="2"/>
  <c r="C2513" i="2"/>
  <c r="C2512" i="2"/>
  <c r="C2511" i="2"/>
  <c r="C2510" i="2"/>
  <c r="C2509" i="2"/>
  <c r="C2508" i="2"/>
  <c r="C2507" i="2"/>
  <c r="C2506" i="2"/>
  <c r="C2505" i="2"/>
  <c r="C2504" i="2"/>
  <c r="C2503" i="2"/>
  <c r="C2502" i="2"/>
  <c r="C2501" i="2"/>
  <c r="C2500" i="2"/>
  <c r="C2499" i="2"/>
  <c r="C2498" i="2"/>
  <c r="C2497" i="2"/>
  <c r="C2496" i="2"/>
  <c r="C2495" i="2"/>
  <c r="C2494" i="2"/>
  <c r="C2493" i="2"/>
  <c r="C2492" i="2"/>
  <c r="C2491" i="2"/>
  <c r="C2490" i="2"/>
  <c r="C2489" i="2"/>
  <c r="C2488" i="2"/>
  <c r="C2487" i="2"/>
  <c r="C2486" i="2"/>
  <c r="C2485" i="2"/>
  <c r="C2484" i="2"/>
  <c r="C2483" i="2"/>
  <c r="C2482" i="2"/>
  <c r="C2481" i="2"/>
  <c r="C2480" i="2"/>
  <c r="C2479" i="2"/>
  <c r="C2478" i="2"/>
  <c r="C2477" i="2"/>
  <c r="C2476" i="2"/>
  <c r="C2475" i="2"/>
  <c r="C2474" i="2"/>
  <c r="C2473" i="2"/>
  <c r="C2472" i="2"/>
  <c r="C2471" i="2"/>
  <c r="C2470" i="2"/>
  <c r="C2469" i="2"/>
  <c r="C2468" i="2"/>
  <c r="C2467" i="2"/>
  <c r="C2466" i="2"/>
  <c r="C2465" i="2"/>
  <c r="C2464" i="2"/>
  <c r="C2463" i="2"/>
  <c r="C2462" i="2"/>
  <c r="C2461" i="2"/>
  <c r="C2460" i="2"/>
  <c r="C2459" i="2"/>
  <c r="C2458" i="2"/>
  <c r="C2457" i="2"/>
  <c r="C2456" i="2"/>
  <c r="C2455" i="2"/>
  <c r="C2454" i="2"/>
  <c r="C2453" i="2"/>
  <c r="C2452" i="2"/>
  <c r="C2451" i="2"/>
  <c r="C2450" i="2"/>
  <c r="C2449" i="2"/>
  <c r="C2448" i="2"/>
  <c r="C2447" i="2"/>
  <c r="C2446" i="2"/>
  <c r="C2445" i="2"/>
  <c r="C2444" i="2"/>
  <c r="C2443" i="2"/>
  <c r="C2442" i="2"/>
  <c r="C2441" i="2"/>
  <c r="C2440" i="2"/>
  <c r="C2439" i="2"/>
  <c r="C2438" i="2"/>
  <c r="C2437" i="2"/>
  <c r="C2436" i="2"/>
  <c r="C2435" i="2"/>
  <c r="C2434" i="2"/>
  <c r="C2433" i="2"/>
  <c r="C2432" i="2"/>
  <c r="C2431" i="2"/>
  <c r="C2430" i="2"/>
  <c r="C2429" i="2"/>
  <c r="C2428" i="2"/>
  <c r="C2427" i="2"/>
  <c r="C2426" i="2"/>
  <c r="C2425" i="2"/>
  <c r="C2424" i="2"/>
  <c r="C2423" i="2"/>
  <c r="C2422" i="2"/>
  <c r="C2421" i="2"/>
  <c r="C2420" i="2"/>
  <c r="C2419" i="2"/>
  <c r="C2418" i="2"/>
  <c r="C2417" i="2"/>
  <c r="C2416" i="2"/>
  <c r="C2415" i="2"/>
  <c r="C2414" i="2"/>
  <c r="C2413" i="2"/>
  <c r="C2412" i="2"/>
  <c r="C2411" i="2"/>
  <c r="C2410" i="2"/>
  <c r="C2409" i="2"/>
  <c r="C2408" i="2"/>
  <c r="C2407" i="2"/>
  <c r="C2406" i="2"/>
  <c r="C2405" i="2"/>
  <c r="C2404" i="2"/>
  <c r="C2403" i="2"/>
  <c r="C2402" i="2"/>
  <c r="C2401" i="2"/>
  <c r="C2400" i="2"/>
  <c r="C2399" i="2"/>
  <c r="C2398" i="2"/>
  <c r="C2397" i="2"/>
  <c r="C2396" i="2"/>
  <c r="C2395" i="2"/>
  <c r="C2394" i="2"/>
  <c r="C2393" i="2"/>
  <c r="C2392" i="2"/>
  <c r="C2391" i="2"/>
  <c r="C2390" i="2"/>
  <c r="C2389" i="2"/>
  <c r="C2388" i="2"/>
  <c r="C2387" i="2"/>
  <c r="C2386" i="2"/>
  <c r="C2385" i="2"/>
  <c r="C2384" i="2"/>
  <c r="C2383" i="2"/>
  <c r="C2382" i="2"/>
  <c r="C2381" i="2"/>
  <c r="C2380" i="2"/>
  <c r="C2379" i="2"/>
  <c r="C2378" i="2"/>
  <c r="C2377" i="2"/>
  <c r="C2376" i="2"/>
  <c r="C2375" i="2"/>
  <c r="C2374" i="2"/>
  <c r="C2373" i="2"/>
  <c r="C2372" i="2"/>
  <c r="C2371" i="2"/>
  <c r="C2370" i="2"/>
  <c r="C2369" i="2"/>
  <c r="C2368" i="2"/>
  <c r="C2367" i="2"/>
  <c r="C2366" i="2"/>
  <c r="C2365" i="2"/>
  <c r="C2364" i="2"/>
  <c r="C2363" i="2"/>
  <c r="C2362" i="2"/>
  <c r="C2361" i="2"/>
  <c r="C2360" i="2"/>
  <c r="C2359" i="2"/>
  <c r="C2358" i="2"/>
  <c r="C2357" i="2"/>
  <c r="C2356" i="2"/>
  <c r="C2355" i="2"/>
  <c r="C2354" i="2"/>
  <c r="C2353" i="2"/>
  <c r="C2352" i="2"/>
  <c r="C2351" i="2"/>
  <c r="C2350" i="2"/>
  <c r="C2349" i="2"/>
  <c r="C2348" i="2"/>
  <c r="C2347" i="2"/>
  <c r="C2346" i="2"/>
  <c r="C2345" i="2"/>
  <c r="C2344" i="2"/>
  <c r="C2343" i="2"/>
  <c r="C2342" i="2"/>
  <c r="C2341" i="2"/>
  <c r="C2340" i="2"/>
  <c r="C2339" i="2"/>
  <c r="C2338" i="2"/>
  <c r="C2337" i="2"/>
  <c r="C2336" i="2"/>
  <c r="C2335" i="2"/>
  <c r="C2334" i="2"/>
  <c r="C2333" i="2"/>
  <c r="C2332" i="2"/>
  <c r="C2331" i="2"/>
  <c r="C2330" i="2"/>
  <c r="C2329" i="2"/>
  <c r="C2328" i="2"/>
  <c r="C2327" i="2"/>
  <c r="C2326" i="2"/>
  <c r="C2325" i="2"/>
  <c r="C2324" i="2"/>
  <c r="C2323" i="2"/>
  <c r="C2322" i="2"/>
  <c r="C2321" i="2"/>
  <c r="C2320" i="2"/>
  <c r="C2319" i="2"/>
  <c r="C2318" i="2"/>
  <c r="C2317" i="2"/>
  <c r="C2316" i="2"/>
  <c r="C2315" i="2"/>
  <c r="C2314" i="2"/>
  <c r="C2313" i="2"/>
  <c r="C2312" i="2"/>
  <c r="C2311" i="2"/>
  <c r="C2310" i="2"/>
  <c r="C2309" i="2"/>
  <c r="C2308" i="2"/>
  <c r="C2307" i="2"/>
  <c r="C2306" i="2"/>
  <c r="C2305" i="2"/>
  <c r="C2304" i="2"/>
  <c r="C2303" i="2"/>
  <c r="C2302" i="2"/>
  <c r="C2301" i="2"/>
  <c r="C2300" i="2"/>
  <c r="C2299" i="2"/>
  <c r="C2298" i="2"/>
  <c r="C2297" i="2"/>
  <c r="C2296" i="2"/>
  <c r="C2295" i="2"/>
  <c r="C2294" i="2"/>
  <c r="C2293" i="2"/>
  <c r="C2292" i="2"/>
  <c r="C2291" i="2"/>
  <c r="C2290" i="2"/>
  <c r="C2289" i="2"/>
  <c r="C2288" i="2"/>
  <c r="C2287" i="2"/>
  <c r="C2286" i="2"/>
  <c r="C2285" i="2"/>
  <c r="C2284" i="2"/>
  <c r="C2283" i="2"/>
  <c r="C2282" i="2"/>
  <c r="C2281" i="2"/>
  <c r="C2280" i="2"/>
  <c r="C2279" i="2"/>
  <c r="C2278" i="2"/>
  <c r="C2277" i="2"/>
  <c r="C2276" i="2"/>
  <c r="C2275" i="2"/>
  <c r="C2274" i="2"/>
  <c r="C2273" i="2"/>
  <c r="C2272" i="2"/>
  <c r="C2271" i="2"/>
  <c r="C2270" i="2"/>
  <c r="C2269" i="2"/>
  <c r="C2268" i="2"/>
  <c r="C2267" i="2"/>
  <c r="C2266" i="2"/>
  <c r="C2265" i="2"/>
  <c r="C2264" i="2"/>
  <c r="C2263" i="2"/>
  <c r="C2262" i="2"/>
  <c r="C2261" i="2"/>
  <c r="C2260" i="2"/>
  <c r="C2259" i="2"/>
  <c r="C2258" i="2"/>
  <c r="C2257" i="2"/>
  <c r="C2256" i="2"/>
  <c r="C2255" i="2"/>
  <c r="C2254" i="2"/>
  <c r="C2253" i="2"/>
  <c r="C2252" i="2"/>
  <c r="C2251" i="2"/>
  <c r="C2250" i="2"/>
  <c r="C2249" i="2"/>
  <c r="C2248" i="2"/>
  <c r="C2247" i="2"/>
  <c r="C2246" i="2"/>
  <c r="C2245" i="2"/>
  <c r="C2244" i="2"/>
  <c r="C2243" i="2"/>
  <c r="C2242" i="2"/>
  <c r="C2241" i="2"/>
  <c r="C2240" i="2"/>
  <c r="C2239" i="2"/>
  <c r="C2238" i="2"/>
  <c r="C2237" i="2"/>
  <c r="C2236" i="2"/>
  <c r="C2235" i="2"/>
  <c r="C2234" i="2"/>
  <c r="C2233" i="2"/>
  <c r="C2232" i="2"/>
  <c r="C2231" i="2"/>
  <c r="C2230" i="2"/>
  <c r="C2229" i="2"/>
  <c r="C2228" i="2"/>
  <c r="C2227" i="2"/>
  <c r="C2226" i="2"/>
  <c r="C2225" i="2"/>
  <c r="C2224" i="2"/>
  <c r="C2223" i="2"/>
  <c r="C2222" i="2"/>
  <c r="C2221" i="2"/>
  <c r="C2220" i="2"/>
  <c r="C2219" i="2"/>
  <c r="C2218" i="2"/>
  <c r="C2217" i="2"/>
  <c r="C2216" i="2"/>
  <c r="C2215" i="2"/>
  <c r="C2214" i="2"/>
  <c r="C2213" i="2"/>
  <c r="C2212" i="2"/>
  <c r="C2211" i="2"/>
  <c r="C2210" i="2"/>
  <c r="C2209" i="2"/>
  <c r="C2208" i="2"/>
  <c r="C2207" i="2"/>
  <c r="C2206" i="2"/>
  <c r="C2205" i="2"/>
  <c r="C2204" i="2"/>
  <c r="C2203" i="2"/>
  <c r="C2202" i="2"/>
  <c r="C2201" i="2"/>
  <c r="C2200" i="2"/>
  <c r="C2199" i="2"/>
  <c r="C2198" i="2"/>
  <c r="C2197" i="2"/>
  <c r="C2196" i="2"/>
  <c r="C2195" i="2"/>
  <c r="C2194" i="2"/>
  <c r="C2193" i="2"/>
  <c r="C2192" i="2"/>
  <c r="C2191" i="2"/>
  <c r="C2190" i="2"/>
  <c r="C2189" i="2"/>
  <c r="C2188" i="2"/>
  <c r="C2187" i="2"/>
  <c r="C2186" i="2"/>
  <c r="C2185" i="2"/>
  <c r="C2184" i="2"/>
  <c r="C2183" i="2"/>
  <c r="C2182" i="2"/>
  <c r="C2181" i="2"/>
  <c r="C2180" i="2"/>
  <c r="C2179" i="2"/>
  <c r="C2178" i="2"/>
  <c r="C2177" i="2"/>
  <c r="C2176" i="2"/>
  <c r="C2175" i="2"/>
  <c r="C2174" i="2"/>
  <c r="C2173" i="2"/>
  <c r="C2172" i="2"/>
  <c r="C2171" i="2"/>
  <c r="C2170" i="2"/>
  <c r="C2169" i="2"/>
  <c r="C2168" i="2"/>
  <c r="C2167" i="2"/>
  <c r="C2166" i="2"/>
  <c r="C2165" i="2"/>
  <c r="C2164" i="2"/>
  <c r="C2163" i="2"/>
  <c r="C2162" i="2"/>
  <c r="C2161" i="2"/>
  <c r="C2160" i="2"/>
  <c r="C2159" i="2"/>
  <c r="C2158" i="2"/>
  <c r="C2157" i="2"/>
  <c r="C2156" i="2"/>
  <c r="C2155" i="2"/>
  <c r="C2154" i="2"/>
  <c r="C2153" i="2"/>
  <c r="C2152" i="2"/>
  <c r="C2151" i="2"/>
  <c r="C2150" i="2"/>
  <c r="C2149" i="2"/>
  <c r="C2148" i="2"/>
  <c r="C2147" i="2"/>
  <c r="C2146" i="2"/>
  <c r="C2145" i="2"/>
  <c r="C2144" i="2"/>
  <c r="C2143" i="2"/>
  <c r="C2142" i="2"/>
  <c r="C2141" i="2"/>
  <c r="C2140" i="2"/>
  <c r="C2139" i="2"/>
  <c r="C2138" i="2"/>
  <c r="C2137" i="2"/>
  <c r="C2136" i="2"/>
  <c r="C2135" i="2"/>
  <c r="C2134" i="2"/>
  <c r="C2133" i="2"/>
  <c r="C2132" i="2"/>
  <c r="C2131" i="2"/>
  <c r="C2130" i="2"/>
  <c r="C2129" i="2"/>
  <c r="C2128" i="2"/>
  <c r="C2127" i="2"/>
  <c r="C2126" i="2"/>
  <c r="C2125" i="2"/>
  <c r="C2124" i="2"/>
  <c r="C2123" i="2"/>
  <c r="C2122" i="2"/>
  <c r="C2121" i="2"/>
  <c r="C2120" i="2"/>
  <c r="C2119" i="2"/>
  <c r="C2118" i="2"/>
  <c r="C2117" i="2"/>
  <c r="C2116" i="2"/>
  <c r="C2115" i="2"/>
  <c r="C2114" i="2"/>
  <c r="C2113" i="2"/>
  <c r="C2112" i="2"/>
  <c r="C2111" i="2"/>
  <c r="C2110" i="2"/>
  <c r="C2109" i="2"/>
  <c r="C2108" i="2"/>
  <c r="C2107" i="2"/>
  <c r="C2106" i="2"/>
  <c r="C2105" i="2"/>
  <c r="C2104" i="2"/>
  <c r="C2103" i="2"/>
  <c r="C2102" i="2"/>
  <c r="C2101" i="2"/>
  <c r="C2100" i="2"/>
  <c r="C2099" i="2"/>
  <c r="C2098" i="2"/>
  <c r="C2097" i="2"/>
  <c r="C2096" i="2"/>
  <c r="C2095" i="2"/>
  <c r="C2094" i="2"/>
  <c r="C2093" i="2"/>
  <c r="C2092" i="2"/>
  <c r="C2091" i="2"/>
  <c r="C2090" i="2"/>
  <c r="C2089" i="2"/>
  <c r="C2088" i="2"/>
  <c r="C2087" i="2"/>
  <c r="C2086" i="2"/>
  <c r="C2085" i="2"/>
  <c r="C2084" i="2"/>
  <c r="C2083" i="2"/>
  <c r="C2082" i="2"/>
  <c r="C2081" i="2"/>
  <c r="C2080" i="2"/>
  <c r="C2079" i="2"/>
  <c r="C2078" i="2"/>
  <c r="C2077" i="2"/>
  <c r="C2076" i="2"/>
  <c r="C2075" i="2"/>
  <c r="C2074" i="2"/>
  <c r="C2073" i="2"/>
  <c r="C2072" i="2"/>
  <c r="C2071" i="2"/>
  <c r="C2070" i="2"/>
  <c r="C2069" i="2"/>
  <c r="C2068" i="2"/>
  <c r="C2067" i="2"/>
  <c r="C2066" i="2"/>
  <c r="C2065" i="2"/>
  <c r="C2064" i="2"/>
  <c r="C2063" i="2"/>
  <c r="C2062" i="2"/>
  <c r="C2061" i="2"/>
  <c r="C2060" i="2"/>
  <c r="C2059" i="2"/>
  <c r="C2058" i="2"/>
  <c r="C2057" i="2"/>
  <c r="C2056" i="2"/>
  <c r="C2055" i="2"/>
  <c r="C2054" i="2"/>
  <c r="C2053" i="2"/>
  <c r="C2052" i="2"/>
  <c r="C2051" i="2"/>
  <c r="C2050" i="2"/>
  <c r="C2049" i="2"/>
  <c r="C2048" i="2"/>
  <c r="C2047" i="2"/>
  <c r="C2046" i="2"/>
  <c r="C2045" i="2"/>
  <c r="C2044" i="2"/>
  <c r="C2043" i="2"/>
  <c r="C2042" i="2"/>
  <c r="C2041" i="2"/>
  <c r="C2040" i="2"/>
  <c r="C2039" i="2"/>
  <c r="C2038" i="2"/>
  <c r="C2037" i="2"/>
  <c r="C2036" i="2"/>
  <c r="C2035" i="2"/>
  <c r="C2034" i="2"/>
  <c r="C2033" i="2"/>
  <c r="C2032" i="2"/>
  <c r="C2031" i="2"/>
  <c r="C2030" i="2"/>
  <c r="C2029" i="2"/>
  <c r="C2028" i="2"/>
  <c r="C2027" i="2"/>
  <c r="C2026" i="2"/>
  <c r="C2025" i="2"/>
  <c r="C2024" i="2"/>
  <c r="C2023" i="2"/>
  <c r="C2022" i="2"/>
  <c r="C2021" i="2"/>
  <c r="C2020" i="2"/>
  <c r="C2019" i="2"/>
  <c r="C2018" i="2"/>
  <c r="C2017" i="2"/>
  <c r="C2016" i="2"/>
  <c r="C2015" i="2"/>
  <c r="C2014" i="2"/>
  <c r="C2013" i="2"/>
  <c r="C2012" i="2"/>
  <c r="C2011" i="2"/>
  <c r="C2010" i="2"/>
  <c r="C2009" i="2"/>
  <c r="C2008" i="2"/>
  <c r="C2007" i="2"/>
  <c r="C2006" i="2"/>
  <c r="C2005" i="2"/>
  <c r="C2004" i="2"/>
  <c r="C2003" i="2"/>
  <c r="C2002" i="2"/>
  <c r="C2001" i="2"/>
  <c r="C2000" i="2"/>
  <c r="C1999" i="2"/>
  <c r="C1998" i="2"/>
  <c r="C1997" i="2"/>
  <c r="C1996" i="2"/>
  <c r="C1995" i="2"/>
  <c r="C1994" i="2"/>
  <c r="C1993" i="2"/>
  <c r="C1992" i="2"/>
  <c r="C1991" i="2"/>
  <c r="C1990" i="2"/>
  <c r="C1989" i="2"/>
  <c r="C1988" i="2"/>
  <c r="C1987" i="2"/>
  <c r="C1986" i="2"/>
  <c r="C1985" i="2"/>
  <c r="C1984" i="2"/>
  <c r="C1983" i="2"/>
  <c r="C1982" i="2"/>
  <c r="C1981" i="2"/>
  <c r="C1980" i="2"/>
  <c r="C1979" i="2"/>
  <c r="C1978" i="2"/>
  <c r="C1977" i="2"/>
  <c r="C1976" i="2"/>
  <c r="C1975" i="2"/>
  <c r="C1974" i="2"/>
  <c r="C1973" i="2"/>
  <c r="C1972" i="2"/>
  <c r="C1971" i="2"/>
  <c r="C1970" i="2"/>
  <c r="C1969" i="2"/>
  <c r="C1968" i="2"/>
  <c r="C1967" i="2"/>
  <c r="C1966" i="2"/>
  <c r="C1965" i="2"/>
  <c r="C1964" i="2"/>
  <c r="C1963" i="2"/>
  <c r="C1962" i="2"/>
  <c r="C1961" i="2"/>
  <c r="C1960" i="2"/>
  <c r="C1959" i="2"/>
  <c r="C1958" i="2"/>
  <c r="C1957" i="2"/>
  <c r="C1956" i="2"/>
  <c r="C1955" i="2"/>
  <c r="C1954" i="2"/>
  <c r="C1953" i="2"/>
  <c r="C1952" i="2"/>
  <c r="C1951" i="2"/>
  <c r="C1950" i="2"/>
  <c r="C1949" i="2"/>
  <c r="C1948" i="2"/>
  <c r="C1947" i="2"/>
  <c r="C1946" i="2"/>
  <c r="C1945" i="2"/>
  <c r="C1944" i="2"/>
  <c r="C1943" i="2"/>
  <c r="C1942" i="2"/>
  <c r="C1941" i="2"/>
  <c r="C1940" i="2"/>
  <c r="C1939" i="2"/>
  <c r="C1938" i="2"/>
  <c r="C1937" i="2"/>
  <c r="C1936" i="2"/>
  <c r="C1935" i="2"/>
  <c r="C1934" i="2"/>
  <c r="C1933" i="2"/>
  <c r="C1932" i="2"/>
  <c r="C1931" i="2"/>
  <c r="C1930" i="2"/>
  <c r="C1929" i="2"/>
  <c r="C1928" i="2"/>
  <c r="C1927" i="2"/>
  <c r="C1926" i="2"/>
  <c r="C1925" i="2"/>
  <c r="C1924" i="2"/>
  <c r="C1923" i="2"/>
  <c r="C1922" i="2"/>
  <c r="C1921" i="2"/>
  <c r="C1920" i="2"/>
  <c r="C1919" i="2"/>
  <c r="C1918" i="2"/>
  <c r="C1917" i="2"/>
  <c r="C1916" i="2"/>
  <c r="C1915" i="2"/>
  <c r="C1914" i="2"/>
  <c r="C1913" i="2"/>
  <c r="C1912" i="2"/>
  <c r="C1911" i="2"/>
  <c r="C1910" i="2"/>
  <c r="C1909" i="2"/>
  <c r="C1908" i="2"/>
  <c r="C1907" i="2"/>
  <c r="C1906" i="2"/>
  <c r="C1905" i="2"/>
  <c r="C1904" i="2"/>
  <c r="C1903" i="2"/>
  <c r="C1902" i="2"/>
  <c r="C1901" i="2"/>
  <c r="C1900" i="2"/>
  <c r="C1899" i="2"/>
  <c r="C1898" i="2"/>
  <c r="C1897" i="2"/>
  <c r="C1896" i="2"/>
  <c r="C1895" i="2"/>
  <c r="C1894" i="2"/>
  <c r="C1893" i="2"/>
  <c r="C1892" i="2"/>
  <c r="C1891" i="2"/>
  <c r="C1890" i="2"/>
  <c r="C1889" i="2"/>
  <c r="C1888" i="2"/>
  <c r="C1887" i="2"/>
  <c r="C1886" i="2"/>
  <c r="C1885" i="2"/>
  <c r="C1884" i="2"/>
  <c r="C1883" i="2"/>
  <c r="C1882" i="2"/>
  <c r="C1881" i="2"/>
  <c r="C1880" i="2"/>
  <c r="C1879" i="2"/>
  <c r="C1878" i="2"/>
  <c r="C1877" i="2"/>
  <c r="C1876" i="2"/>
  <c r="C1875" i="2"/>
  <c r="C1874" i="2"/>
  <c r="C1873" i="2"/>
  <c r="C1872" i="2"/>
  <c r="C1871" i="2"/>
  <c r="C1870" i="2"/>
  <c r="C1869" i="2"/>
  <c r="C1868" i="2"/>
  <c r="C1867" i="2"/>
  <c r="C1866" i="2"/>
  <c r="C1865" i="2"/>
  <c r="C1864" i="2"/>
  <c r="C1863" i="2"/>
  <c r="C1862" i="2"/>
  <c r="C1861" i="2"/>
  <c r="C1860" i="2"/>
  <c r="C1859" i="2"/>
  <c r="C1858" i="2"/>
  <c r="C1857" i="2"/>
  <c r="C1856" i="2"/>
  <c r="C1855" i="2"/>
  <c r="C1854" i="2"/>
  <c r="C1853" i="2"/>
  <c r="C1852" i="2"/>
  <c r="C1851" i="2"/>
  <c r="C1850" i="2"/>
  <c r="C1849" i="2"/>
  <c r="C1848" i="2"/>
  <c r="C1847" i="2"/>
  <c r="C1846" i="2"/>
  <c r="C1845" i="2"/>
  <c r="C1844" i="2"/>
  <c r="C1843" i="2"/>
  <c r="C1842" i="2"/>
  <c r="C1841" i="2"/>
  <c r="C1840" i="2"/>
  <c r="C1839" i="2"/>
  <c r="C1838" i="2"/>
  <c r="C1837" i="2"/>
  <c r="C1836" i="2"/>
  <c r="C1835" i="2"/>
  <c r="C1834" i="2"/>
  <c r="C1833" i="2"/>
  <c r="C1832" i="2"/>
  <c r="C1831" i="2"/>
  <c r="C1830" i="2"/>
  <c r="C1829" i="2"/>
  <c r="C1828" i="2"/>
  <c r="C1827" i="2"/>
  <c r="C1826" i="2"/>
  <c r="C1825" i="2"/>
  <c r="C1824" i="2"/>
  <c r="C1823" i="2"/>
  <c r="C1822" i="2"/>
  <c r="C1821" i="2"/>
  <c r="C1820" i="2"/>
  <c r="C1819" i="2"/>
  <c r="C1818" i="2"/>
  <c r="C1817" i="2"/>
  <c r="C1816" i="2"/>
  <c r="C1815" i="2"/>
  <c r="C1814" i="2"/>
  <c r="C1813" i="2"/>
  <c r="C1812" i="2"/>
  <c r="C1811" i="2"/>
  <c r="C1810" i="2"/>
  <c r="C1809" i="2"/>
  <c r="C1808" i="2"/>
  <c r="C1807" i="2"/>
  <c r="C1806" i="2"/>
  <c r="C1805" i="2"/>
  <c r="C1804" i="2"/>
  <c r="C1803" i="2"/>
  <c r="C1802" i="2"/>
  <c r="C1801" i="2"/>
  <c r="C1800" i="2"/>
  <c r="C1799" i="2"/>
  <c r="C1798" i="2"/>
  <c r="C1797" i="2"/>
  <c r="C1796" i="2"/>
  <c r="C1795" i="2"/>
  <c r="C1794" i="2"/>
  <c r="C1793" i="2"/>
  <c r="C1792" i="2"/>
  <c r="C1791" i="2"/>
  <c r="C1790" i="2"/>
  <c r="C1789" i="2"/>
  <c r="C1788" i="2"/>
  <c r="C1787" i="2"/>
  <c r="C1786" i="2"/>
  <c r="C1785" i="2"/>
  <c r="C1784" i="2"/>
  <c r="C1783" i="2"/>
  <c r="C1782" i="2"/>
  <c r="C1781" i="2"/>
  <c r="C1780" i="2"/>
  <c r="C1779" i="2"/>
  <c r="C1778" i="2"/>
  <c r="C1777" i="2"/>
  <c r="C1776" i="2"/>
  <c r="C1775" i="2"/>
  <c r="C1774" i="2"/>
  <c r="C1773" i="2"/>
  <c r="C1772" i="2"/>
  <c r="C1771" i="2"/>
  <c r="C1770" i="2"/>
  <c r="C1769" i="2"/>
  <c r="C1768" i="2"/>
  <c r="C1767" i="2"/>
  <c r="C1766" i="2"/>
  <c r="C1765" i="2"/>
  <c r="C1764" i="2"/>
  <c r="C1763" i="2"/>
  <c r="C1762" i="2"/>
  <c r="C1761" i="2"/>
  <c r="C1760" i="2"/>
  <c r="C1759" i="2"/>
  <c r="C1758" i="2"/>
  <c r="C1757" i="2"/>
  <c r="C1756" i="2"/>
  <c r="C1755" i="2"/>
  <c r="C1754" i="2"/>
  <c r="C1753" i="2"/>
  <c r="C1752" i="2"/>
  <c r="C1751" i="2"/>
  <c r="C1750" i="2"/>
  <c r="C1749" i="2"/>
  <c r="C1748" i="2"/>
  <c r="C1747" i="2"/>
  <c r="C1746" i="2"/>
  <c r="C1745" i="2"/>
  <c r="C1744" i="2"/>
  <c r="C1743" i="2"/>
  <c r="C1742" i="2"/>
  <c r="C1741" i="2"/>
  <c r="C1740" i="2"/>
  <c r="C1739" i="2"/>
  <c r="C1738" i="2"/>
  <c r="C1737" i="2"/>
  <c r="C1736" i="2"/>
  <c r="C1735" i="2"/>
  <c r="C1734" i="2"/>
  <c r="C1733" i="2"/>
  <c r="C1732" i="2"/>
  <c r="C1731" i="2"/>
  <c r="C1730" i="2"/>
  <c r="C1729" i="2"/>
  <c r="C1728" i="2"/>
  <c r="C1727" i="2"/>
  <c r="C1726" i="2"/>
  <c r="C1725" i="2"/>
  <c r="C1724" i="2"/>
  <c r="C1723" i="2"/>
  <c r="C1722" i="2"/>
  <c r="C1721" i="2"/>
  <c r="C1720" i="2"/>
  <c r="C1719" i="2"/>
  <c r="C1718" i="2"/>
  <c r="C1717" i="2"/>
  <c r="C1716" i="2"/>
  <c r="C1715" i="2"/>
  <c r="C1714" i="2"/>
  <c r="C1713" i="2"/>
  <c r="C1712" i="2"/>
  <c r="C1711" i="2"/>
  <c r="C1710" i="2"/>
  <c r="C1709" i="2"/>
  <c r="C1708" i="2"/>
  <c r="C1707" i="2"/>
  <c r="C1706" i="2"/>
  <c r="C1705" i="2"/>
  <c r="C1704" i="2"/>
  <c r="C1703" i="2"/>
  <c r="C1702" i="2"/>
  <c r="C1701" i="2"/>
  <c r="C1700" i="2"/>
  <c r="C1699" i="2"/>
  <c r="C1698" i="2"/>
  <c r="C1697" i="2"/>
  <c r="C1696" i="2"/>
  <c r="C1695" i="2"/>
  <c r="C1694" i="2"/>
  <c r="C1693" i="2"/>
  <c r="C1692" i="2"/>
  <c r="C1691" i="2"/>
  <c r="C1690" i="2"/>
  <c r="C1689" i="2"/>
  <c r="C1688" i="2"/>
  <c r="C1687" i="2"/>
  <c r="C1686" i="2"/>
  <c r="C1685" i="2"/>
  <c r="C1684" i="2"/>
  <c r="C1683" i="2"/>
  <c r="C1682" i="2"/>
  <c r="C1681" i="2"/>
  <c r="C1680" i="2"/>
  <c r="C1679" i="2"/>
  <c r="C1678" i="2"/>
  <c r="C1677" i="2"/>
  <c r="C1676" i="2"/>
  <c r="C1675" i="2"/>
  <c r="C1674" i="2"/>
  <c r="C1673" i="2"/>
  <c r="C1672" i="2"/>
  <c r="C1671" i="2"/>
  <c r="C1670" i="2"/>
  <c r="C1669" i="2"/>
  <c r="C1668" i="2"/>
  <c r="C1667" i="2"/>
  <c r="C1666" i="2"/>
  <c r="C1665" i="2"/>
  <c r="C1664" i="2"/>
  <c r="C1663" i="2"/>
  <c r="C1662" i="2"/>
  <c r="C1661" i="2"/>
  <c r="C1660" i="2"/>
  <c r="C1659" i="2"/>
  <c r="C1658" i="2"/>
  <c r="C1657" i="2"/>
  <c r="C1656" i="2"/>
  <c r="C1655" i="2"/>
  <c r="C1654" i="2"/>
  <c r="C1653" i="2"/>
  <c r="C1652" i="2"/>
  <c r="C1651" i="2"/>
  <c r="C1650" i="2"/>
  <c r="C1649" i="2"/>
  <c r="C1648" i="2"/>
  <c r="C1647" i="2"/>
  <c r="C1646" i="2"/>
  <c r="C1645" i="2"/>
  <c r="C1644" i="2"/>
  <c r="C1643" i="2"/>
  <c r="C1642" i="2"/>
  <c r="C1641" i="2"/>
  <c r="C1640" i="2"/>
  <c r="C1639" i="2"/>
  <c r="C1638" i="2"/>
  <c r="C1637" i="2"/>
  <c r="C1636" i="2"/>
  <c r="C1635" i="2"/>
  <c r="C1634" i="2"/>
  <c r="C1633" i="2"/>
  <c r="C1632" i="2"/>
  <c r="C1631" i="2"/>
  <c r="C1630" i="2"/>
  <c r="C1629" i="2"/>
  <c r="C1628" i="2"/>
  <c r="C1627" i="2"/>
  <c r="C1626" i="2"/>
  <c r="C1625" i="2"/>
  <c r="C1624" i="2"/>
  <c r="C1623" i="2"/>
  <c r="C1622" i="2"/>
  <c r="C1621" i="2"/>
  <c r="C1620" i="2"/>
  <c r="C1619" i="2"/>
  <c r="C1618" i="2"/>
  <c r="C1617" i="2"/>
  <c r="C1616" i="2"/>
  <c r="C1615" i="2"/>
  <c r="C1614" i="2"/>
  <c r="C1613" i="2"/>
  <c r="C1612" i="2"/>
  <c r="C1611" i="2"/>
  <c r="C1610" i="2"/>
  <c r="C1609" i="2"/>
  <c r="C1608" i="2"/>
  <c r="C1607" i="2"/>
  <c r="C1606" i="2"/>
  <c r="C1605" i="2"/>
  <c r="C1604" i="2"/>
  <c r="C1603" i="2"/>
  <c r="C1602" i="2"/>
  <c r="C1601" i="2"/>
  <c r="C1600" i="2"/>
  <c r="C1599" i="2"/>
  <c r="C1598" i="2"/>
  <c r="C1597" i="2"/>
  <c r="C1596" i="2"/>
  <c r="C1595" i="2"/>
  <c r="C1594" i="2"/>
  <c r="C1593" i="2"/>
  <c r="C1592" i="2"/>
  <c r="C1591" i="2"/>
  <c r="C1590" i="2"/>
  <c r="C1589" i="2"/>
  <c r="C1588" i="2"/>
  <c r="C1587" i="2"/>
  <c r="C1586" i="2"/>
  <c r="C1585" i="2"/>
  <c r="C1584" i="2"/>
  <c r="C1583" i="2"/>
  <c r="C1582" i="2"/>
  <c r="C1581" i="2"/>
  <c r="C1580" i="2"/>
  <c r="C1579" i="2"/>
  <c r="C1578" i="2"/>
  <c r="C1577" i="2"/>
  <c r="C1576" i="2"/>
  <c r="C1575" i="2"/>
  <c r="C1574" i="2"/>
  <c r="C1573" i="2"/>
  <c r="C1572" i="2"/>
  <c r="C1571" i="2"/>
  <c r="C1570" i="2"/>
  <c r="C1569" i="2"/>
  <c r="C1568" i="2"/>
  <c r="C1567" i="2"/>
  <c r="C1566" i="2"/>
  <c r="C1565" i="2"/>
  <c r="C1564" i="2"/>
  <c r="C1563" i="2"/>
  <c r="C1562" i="2"/>
  <c r="C1561" i="2"/>
  <c r="C1560" i="2"/>
  <c r="C1559" i="2"/>
  <c r="C1558" i="2"/>
  <c r="C1557" i="2"/>
  <c r="C1556" i="2"/>
  <c r="C1555" i="2"/>
  <c r="C1554" i="2"/>
  <c r="C1553" i="2"/>
  <c r="C1552" i="2"/>
  <c r="C1551" i="2"/>
  <c r="C1550" i="2"/>
  <c r="C1549" i="2"/>
  <c r="C1548" i="2"/>
  <c r="C1547" i="2"/>
  <c r="C1546" i="2"/>
  <c r="C1545" i="2"/>
  <c r="C1544" i="2"/>
  <c r="C1543" i="2"/>
  <c r="C1542" i="2"/>
  <c r="C1541" i="2"/>
  <c r="C1540" i="2"/>
  <c r="C1539" i="2"/>
  <c r="C1538" i="2"/>
  <c r="C1537" i="2"/>
  <c r="C1536" i="2"/>
  <c r="C1535" i="2"/>
  <c r="C1534" i="2"/>
  <c r="C1533" i="2"/>
  <c r="C1532" i="2"/>
  <c r="C1531" i="2"/>
  <c r="C1530" i="2"/>
  <c r="C1529" i="2"/>
  <c r="C1528" i="2"/>
  <c r="C1527" i="2"/>
  <c r="C1526" i="2"/>
  <c r="C1525" i="2"/>
  <c r="C1524" i="2"/>
  <c r="C1523" i="2"/>
  <c r="C1522" i="2"/>
  <c r="C1521" i="2"/>
  <c r="C1520" i="2"/>
  <c r="C1519" i="2"/>
  <c r="C1518" i="2"/>
  <c r="C1517" i="2"/>
  <c r="C1516" i="2"/>
  <c r="C1515" i="2"/>
  <c r="C1514" i="2"/>
  <c r="C1513" i="2"/>
  <c r="C1512" i="2"/>
  <c r="C1511" i="2"/>
  <c r="C1510" i="2"/>
  <c r="C1509" i="2"/>
  <c r="C1508" i="2"/>
  <c r="C1507" i="2"/>
  <c r="C1506" i="2"/>
  <c r="C1505" i="2"/>
  <c r="C1504" i="2"/>
  <c r="C1503" i="2"/>
  <c r="C1502" i="2"/>
  <c r="C1501" i="2"/>
  <c r="C1500" i="2"/>
  <c r="C1499" i="2"/>
  <c r="C1498" i="2"/>
  <c r="C1497" i="2"/>
  <c r="C1496" i="2"/>
  <c r="C1495" i="2"/>
  <c r="C1494" i="2"/>
  <c r="C1493" i="2"/>
  <c r="C1492" i="2"/>
  <c r="C1491" i="2"/>
  <c r="C1490" i="2"/>
  <c r="C1489" i="2"/>
  <c r="C1488" i="2"/>
  <c r="C1487" i="2"/>
  <c r="C1486" i="2"/>
  <c r="C1485" i="2"/>
  <c r="C1484" i="2"/>
  <c r="C1483" i="2"/>
  <c r="C1482" i="2"/>
  <c r="C1481" i="2"/>
  <c r="C1480" i="2"/>
  <c r="C1479" i="2"/>
  <c r="C1478" i="2"/>
  <c r="C1477" i="2"/>
  <c r="C1476" i="2"/>
  <c r="C1475" i="2"/>
  <c r="C1474" i="2"/>
  <c r="C1473" i="2"/>
  <c r="C1472" i="2"/>
  <c r="C1471" i="2"/>
  <c r="C1470" i="2"/>
  <c r="C1469" i="2"/>
  <c r="C1468" i="2"/>
  <c r="C1467" i="2"/>
  <c r="C1466" i="2"/>
  <c r="C1465" i="2"/>
  <c r="C1464" i="2"/>
  <c r="C1463" i="2"/>
  <c r="C1462" i="2"/>
  <c r="C1461" i="2"/>
  <c r="C1460" i="2"/>
  <c r="C1459" i="2"/>
  <c r="C1458" i="2"/>
  <c r="C1457" i="2"/>
  <c r="C1456" i="2"/>
  <c r="C1455" i="2"/>
  <c r="C1454" i="2"/>
  <c r="C1453" i="2"/>
  <c r="C1452" i="2"/>
  <c r="C1451" i="2"/>
  <c r="C1450" i="2"/>
  <c r="C1449" i="2"/>
  <c r="C1448" i="2"/>
  <c r="C1447" i="2"/>
  <c r="C1446" i="2"/>
  <c r="C1445" i="2"/>
  <c r="C1444" i="2"/>
  <c r="C1443" i="2"/>
  <c r="C1442" i="2"/>
  <c r="C1441" i="2"/>
  <c r="C1440" i="2"/>
  <c r="C1439" i="2"/>
  <c r="C1438" i="2"/>
  <c r="C1437" i="2"/>
  <c r="C1436" i="2"/>
  <c r="C1435" i="2"/>
  <c r="C1434" i="2"/>
  <c r="C1433" i="2"/>
  <c r="C1432" i="2"/>
  <c r="C1431" i="2"/>
  <c r="C1430" i="2"/>
  <c r="C1429" i="2"/>
  <c r="C1428" i="2"/>
  <c r="C1427" i="2"/>
  <c r="C1426" i="2"/>
  <c r="C1425" i="2"/>
  <c r="C1424" i="2"/>
  <c r="C1423" i="2"/>
  <c r="C1422" i="2"/>
  <c r="C1421" i="2"/>
  <c r="C1420" i="2"/>
  <c r="C1419" i="2"/>
  <c r="C1418" i="2"/>
  <c r="C1417" i="2"/>
  <c r="C1416" i="2"/>
  <c r="C1415" i="2"/>
  <c r="C1414" i="2"/>
  <c r="C1413" i="2"/>
  <c r="C1412" i="2"/>
  <c r="C1411" i="2"/>
  <c r="C1410" i="2"/>
  <c r="C1409" i="2"/>
  <c r="C1408" i="2"/>
  <c r="C1407" i="2"/>
  <c r="C1406" i="2"/>
  <c r="C1405" i="2"/>
  <c r="C1404" i="2"/>
  <c r="C1403" i="2"/>
  <c r="C1402" i="2"/>
  <c r="C1401" i="2"/>
  <c r="C1400" i="2"/>
  <c r="C1399" i="2"/>
  <c r="C1398" i="2"/>
  <c r="C1397" i="2"/>
  <c r="C1396" i="2"/>
  <c r="C1395" i="2"/>
  <c r="C1394" i="2"/>
  <c r="C1393" i="2"/>
  <c r="C1392" i="2"/>
  <c r="C1391" i="2"/>
  <c r="C1390" i="2"/>
  <c r="C1389" i="2"/>
  <c r="C1388" i="2"/>
  <c r="C1387" i="2"/>
  <c r="C1386" i="2"/>
  <c r="C1385" i="2"/>
  <c r="C1384" i="2"/>
  <c r="C1383" i="2"/>
  <c r="C1382" i="2"/>
  <c r="C1381" i="2"/>
  <c r="C1380" i="2"/>
  <c r="C1379" i="2"/>
  <c r="C1378" i="2"/>
  <c r="C1377" i="2"/>
  <c r="C1376" i="2"/>
  <c r="C1375" i="2"/>
  <c r="C1374" i="2"/>
  <c r="C1373" i="2"/>
  <c r="C1372" i="2"/>
  <c r="C1371" i="2"/>
  <c r="C1370" i="2"/>
  <c r="C1369" i="2"/>
  <c r="C1368" i="2"/>
  <c r="C1367" i="2"/>
  <c r="C1366" i="2"/>
  <c r="C1365" i="2"/>
  <c r="C1364" i="2"/>
  <c r="C1363" i="2"/>
  <c r="C1362" i="2"/>
  <c r="C1361" i="2"/>
  <c r="C1360" i="2"/>
  <c r="C1359" i="2"/>
  <c r="C1358" i="2"/>
  <c r="C1357" i="2"/>
  <c r="C1356" i="2"/>
  <c r="C1355" i="2"/>
  <c r="C1354" i="2"/>
  <c r="C1353" i="2"/>
  <c r="C1352" i="2"/>
  <c r="C1351" i="2"/>
  <c r="C1350" i="2"/>
  <c r="C1349" i="2"/>
  <c r="C1348" i="2"/>
  <c r="C1347" i="2"/>
  <c r="C1346" i="2"/>
  <c r="C1345" i="2"/>
  <c r="C1344" i="2"/>
  <c r="C1343" i="2"/>
  <c r="C1342" i="2"/>
  <c r="C1341" i="2"/>
  <c r="C1340" i="2"/>
  <c r="C1339" i="2"/>
  <c r="C1338" i="2"/>
  <c r="C1337" i="2"/>
  <c r="C1336" i="2"/>
  <c r="C1335" i="2"/>
  <c r="C1334" i="2"/>
  <c r="C1333" i="2"/>
  <c r="C1332" i="2"/>
  <c r="C1331" i="2"/>
  <c r="C1330" i="2"/>
  <c r="C1329" i="2"/>
  <c r="C1328" i="2"/>
  <c r="C1327" i="2"/>
  <c r="C1326" i="2"/>
  <c r="C1325" i="2"/>
  <c r="C1324" i="2"/>
  <c r="C1323" i="2"/>
  <c r="C1322" i="2"/>
  <c r="C1321" i="2"/>
  <c r="C1320" i="2"/>
  <c r="C1319" i="2"/>
  <c r="C1318" i="2"/>
  <c r="C1317" i="2"/>
  <c r="C1316" i="2"/>
  <c r="C1315" i="2"/>
  <c r="C1314" i="2"/>
  <c r="C1313" i="2"/>
  <c r="C1312" i="2"/>
  <c r="C1311" i="2"/>
  <c r="C1310" i="2"/>
  <c r="C1309" i="2"/>
  <c r="C1308" i="2"/>
  <c r="C1307" i="2"/>
  <c r="C1306" i="2"/>
  <c r="C1305" i="2"/>
  <c r="C1304" i="2"/>
  <c r="C1303" i="2"/>
  <c r="C1302" i="2"/>
  <c r="C1301" i="2"/>
  <c r="C1300" i="2"/>
  <c r="C1299" i="2"/>
  <c r="C1298" i="2"/>
  <c r="C1297" i="2"/>
  <c r="C1296" i="2"/>
  <c r="C1295" i="2"/>
  <c r="C1294" i="2"/>
  <c r="C1293" i="2"/>
  <c r="C1292" i="2"/>
  <c r="C1291" i="2"/>
  <c r="C1290" i="2"/>
  <c r="C1289" i="2"/>
  <c r="C1288" i="2"/>
  <c r="C1287" i="2"/>
  <c r="C1286" i="2"/>
  <c r="C1285" i="2"/>
  <c r="C1284" i="2"/>
  <c r="C1283" i="2"/>
  <c r="C1282" i="2"/>
  <c r="C1281" i="2"/>
  <c r="C1280" i="2"/>
  <c r="C1279" i="2"/>
  <c r="C1278" i="2"/>
  <c r="C1277" i="2"/>
  <c r="C1276" i="2"/>
  <c r="C1275" i="2"/>
  <c r="C1274" i="2"/>
  <c r="C1273" i="2"/>
  <c r="C1272" i="2"/>
  <c r="C1271" i="2"/>
  <c r="C1270" i="2"/>
  <c r="C1269" i="2"/>
  <c r="C1268" i="2"/>
  <c r="C1267" i="2"/>
  <c r="C1266" i="2"/>
  <c r="C1265" i="2"/>
  <c r="C1264" i="2"/>
  <c r="C1263" i="2"/>
  <c r="C1262" i="2"/>
  <c r="C1261" i="2"/>
  <c r="C1260" i="2"/>
  <c r="C1259" i="2"/>
  <c r="C1258" i="2"/>
  <c r="C1257" i="2"/>
  <c r="C1256" i="2"/>
  <c r="C1255" i="2"/>
  <c r="C1254" i="2"/>
  <c r="C1253" i="2"/>
  <c r="C1252" i="2"/>
  <c r="C1251" i="2"/>
  <c r="C1250" i="2"/>
  <c r="C1249" i="2"/>
  <c r="C1248" i="2"/>
  <c r="C1247" i="2"/>
  <c r="C1246" i="2"/>
  <c r="C1245" i="2"/>
  <c r="C1244" i="2"/>
  <c r="C1243" i="2"/>
  <c r="C1242" i="2"/>
  <c r="C1241" i="2"/>
  <c r="C1240" i="2"/>
  <c r="C1239" i="2"/>
  <c r="C1238" i="2"/>
  <c r="C1237" i="2"/>
  <c r="C1236" i="2"/>
  <c r="C1235" i="2"/>
  <c r="C1234" i="2"/>
  <c r="C1233" i="2"/>
  <c r="C1232" i="2"/>
  <c r="C1231" i="2"/>
  <c r="C1230" i="2"/>
  <c r="C1229" i="2"/>
  <c r="C1228" i="2"/>
  <c r="C1227" i="2"/>
  <c r="C1226" i="2"/>
  <c r="C1225" i="2"/>
  <c r="C1224" i="2"/>
  <c r="C1223" i="2"/>
  <c r="C1222" i="2"/>
  <c r="C1221" i="2"/>
  <c r="C1220" i="2"/>
  <c r="C1219" i="2"/>
  <c r="C1218" i="2"/>
  <c r="C1217" i="2"/>
  <c r="C1216" i="2"/>
  <c r="C1215" i="2"/>
  <c r="C1214" i="2"/>
  <c r="C1213" i="2"/>
  <c r="C1212" i="2"/>
  <c r="C1211" i="2"/>
  <c r="C1210" i="2"/>
  <c r="C1209" i="2"/>
  <c r="C1208" i="2"/>
  <c r="C1207" i="2"/>
  <c r="C1206" i="2"/>
  <c r="C1205" i="2"/>
  <c r="C1204" i="2"/>
  <c r="C1203" i="2"/>
  <c r="C1202" i="2"/>
  <c r="C1201" i="2"/>
  <c r="C1200" i="2"/>
  <c r="C1199" i="2"/>
  <c r="C1198" i="2"/>
  <c r="C1197" i="2"/>
  <c r="C1196" i="2"/>
  <c r="C1195" i="2"/>
  <c r="C1194" i="2"/>
  <c r="C1193" i="2"/>
  <c r="C1192" i="2"/>
  <c r="C1191" i="2"/>
  <c r="C1190" i="2"/>
  <c r="C1189" i="2"/>
  <c r="C1188" i="2"/>
  <c r="C1187" i="2"/>
  <c r="C1186" i="2"/>
  <c r="C1185" i="2"/>
  <c r="C1184" i="2"/>
  <c r="C1183" i="2"/>
  <c r="C1182" i="2"/>
  <c r="C1181" i="2"/>
  <c r="C1180" i="2"/>
  <c r="C1179" i="2"/>
  <c r="C1178" i="2"/>
  <c r="C1177" i="2"/>
  <c r="C1176" i="2"/>
  <c r="C1175" i="2"/>
  <c r="C1174" i="2"/>
  <c r="C1173" i="2"/>
  <c r="C1172" i="2"/>
  <c r="C1171" i="2"/>
  <c r="C1170" i="2"/>
  <c r="C1169" i="2"/>
  <c r="C1168" i="2"/>
  <c r="C1167" i="2"/>
  <c r="C1166" i="2"/>
  <c r="C1165" i="2"/>
  <c r="C1164" i="2"/>
  <c r="C1163" i="2"/>
  <c r="C1162" i="2"/>
  <c r="C1161" i="2"/>
  <c r="C1160" i="2"/>
  <c r="C1159" i="2"/>
  <c r="C1158" i="2"/>
  <c r="C1157" i="2"/>
  <c r="C1156" i="2"/>
  <c r="C1155" i="2"/>
  <c r="C1154" i="2"/>
  <c r="C1153" i="2"/>
  <c r="C1152" i="2"/>
  <c r="C1151" i="2"/>
  <c r="C1150" i="2"/>
  <c r="C1149" i="2"/>
  <c r="C1148" i="2"/>
  <c r="C1147" i="2"/>
  <c r="C1146" i="2"/>
  <c r="C1145" i="2"/>
  <c r="C1144" i="2"/>
  <c r="C1143" i="2"/>
  <c r="C1142" i="2"/>
  <c r="C1141" i="2"/>
  <c r="C1140" i="2"/>
  <c r="C1139" i="2"/>
  <c r="C1138" i="2"/>
  <c r="C1137" i="2"/>
  <c r="C1136" i="2"/>
  <c r="C1135" i="2"/>
  <c r="C1134" i="2"/>
  <c r="C1133" i="2"/>
  <c r="C1132" i="2"/>
  <c r="C1131" i="2"/>
  <c r="C1130" i="2"/>
  <c r="C1129" i="2"/>
  <c r="C1128" i="2"/>
  <c r="C1127" i="2"/>
  <c r="C1126" i="2"/>
  <c r="C1125" i="2"/>
  <c r="C1124" i="2"/>
  <c r="C1123" i="2"/>
  <c r="C1122" i="2"/>
  <c r="C1121" i="2"/>
  <c r="C1120" i="2"/>
  <c r="C1119" i="2"/>
  <c r="C1118" i="2"/>
  <c r="C1117" i="2"/>
  <c r="C1116" i="2"/>
  <c r="C1115" i="2"/>
  <c r="C1114" i="2"/>
  <c r="C1113" i="2"/>
  <c r="C1112" i="2"/>
  <c r="C1111" i="2"/>
  <c r="C1110" i="2"/>
  <c r="C1109" i="2"/>
  <c r="C1108" i="2"/>
  <c r="C1107" i="2"/>
  <c r="C1106" i="2"/>
  <c r="C1105" i="2"/>
  <c r="C1104" i="2"/>
  <c r="C1103" i="2"/>
  <c r="C1102" i="2"/>
  <c r="C1101" i="2"/>
  <c r="C1100" i="2"/>
  <c r="C1099" i="2"/>
  <c r="C1098" i="2"/>
  <c r="C1097" i="2"/>
  <c r="C1096" i="2"/>
  <c r="C1095" i="2"/>
  <c r="C1094" i="2"/>
  <c r="C1093" i="2"/>
  <c r="C1092" i="2"/>
  <c r="C1091" i="2"/>
  <c r="C1090" i="2"/>
  <c r="C1089" i="2"/>
  <c r="C1088" i="2"/>
  <c r="C1087" i="2"/>
  <c r="C1086" i="2"/>
  <c r="C1085" i="2"/>
  <c r="C1084" i="2"/>
  <c r="C1083" i="2"/>
  <c r="C1082" i="2"/>
  <c r="C1081" i="2"/>
  <c r="C1080" i="2"/>
  <c r="C1079" i="2"/>
  <c r="C1078" i="2"/>
  <c r="C1077" i="2"/>
  <c r="C1076" i="2"/>
  <c r="C1075" i="2"/>
  <c r="C1074" i="2"/>
  <c r="C1073" i="2"/>
  <c r="C1072" i="2"/>
  <c r="C1071" i="2"/>
  <c r="C1070" i="2"/>
  <c r="C1069" i="2"/>
  <c r="C1068" i="2"/>
  <c r="C1067" i="2"/>
  <c r="C1066" i="2"/>
  <c r="C1065" i="2"/>
  <c r="C1064" i="2"/>
  <c r="C1063" i="2"/>
  <c r="C1062" i="2"/>
  <c r="C1061" i="2"/>
  <c r="C1060" i="2"/>
  <c r="C1059" i="2"/>
  <c r="C1058" i="2"/>
  <c r="C1057" i="2"/>
  <c r="C1056" i="2"/>
  <c r="C1055" i="2"/>
  <c r="C1054" i="2"/>
  <c r="C1053" i="2"/>
  <c r="C1052" i="2"/>
  <c r="C1051" i="2"/>
  <c r="C1050" i="2"/>
  <c r="C1049" i="2"/>
  <c r="C1048" i="2"/>
  <c r="C1047" i="2"/>
  <c r="C1046" i="2"/>
  <c r="C1045" i="2"/>
  <c r="C1044" i="2"/>
  <c r="C1043" i="2"/>
  <c r="C1042" i="2"/>
  <c r="C1041" i="2"/>
  <c r="C1040" i="2"/>
  <c r="C1039" i="2"/>
  <c r="C1038" i="2"/>
  <c r="C1037" i="2"/>
  <c r="C1036" i="2"/>
  <c r="C1035" i="2"/>
  <c r="C1034" i="2"/>
  <c r="C1033" i="2"/>
  <c r="C1032" i="2"/>
  <c r="C1031" i="2"/>
  <c r="C1030" i="2"/>
  <c r="C1029" i="2"/>
  <c r="C1028" i="2"/>
  <c r="C1027" i="2"/>
  <c r="C1026" i="2"/>
  <c r="C1025" i="2"/>
  <c r="C1024" i="2"/>
  <c r="C1023" i="2"/>
  <c r="C1022" i="2"/>
  <c r="C1021" i="2"/>
  <c r="C1020" i="2"/>
  <c r="C1019" i="2"/>
  <c r="C1018" i="2"/>
  <c r="C1017" i="2"/>
  <c r="C1016" i="2"/>
  <c r="C1015" i="2"/>
  <c r="C1014" i="2"/>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I14" i="28"/>
  <c r="H14" i="28"/>
  <c r="G14" i="28"/>
  <c r="I13" i="28"/>
  <c r="H13" i="28"/>
  <c r="G13" i="28"/>
  <c r="I9" i="28"/>
  <c r="H9" i="28"/>
  <c r="G9" i="28"/>
  <c r="I8" i="28"/>
  <c r="H8" i="28"/>
  <c r="G8" i="28"/>
  <c r="I7" i="28"/>
  <c r="H7" i="28"/>
  <c r="G7" i="28"/>
  <c r="I6" i="28"/>
  <c r="H6" i="28"/>
  <c r="G6" i="28"/>
  <c r="I5" i="28"/>
  <c r="H5" i="28"/>
  <c r="G5" i="28"/>
  <c r="I4" i="28"/>
  <c r="H4" i="28"/>
  <c r="G4" i="28"/>
  <c r="I3" i="28"/>
  <c r="H3" i="28"/>
  <c r="G3" i="28"/>
  <c r="I2" i="28"/>
  <c r="H2" i="28"/>
  <c r="G2" i="28"/>
  <c r="B6" i="28"/>
  <c r="B4" i="28"/>
  <c r="B2" i="28"/>
  <c r="B3" i="28"/>
  <c r="B5" i="28"/>
  <c r="J6" i="28" l="1"/>
  <c r="J4" i="28"/>
  <c r="J5" i="28"/>
  <c r="J7" i="28"/>
  <c r="J8" i="28"/>
  <c r="J9" i="28"/>
  <c r="J3" i="28"/>
  <c r="J2" i="28"/>
  <c r="B7" i="28" l="1"/>
</calcChain>
</file>

<file path=xl/connections.xml><?xml version="1.0" encoding="utf-8"?>
<connections xmlns="http://schemas.openxmlformats.org/spreadsheetml/2006/main">
  <connection id="1" name="LinkedTable_Table11" type="102" refreshedVersion="6" minRefreshableVersion="5">
    <extLst>
      <ext xmlns:x15="http://schemas.microsoft.com/office/spreadsheetml/2010/11/main" uri="{DE250136-89BD-433C-8126-D09CA5730AF9}">
        <x15:connection id="Table11">
          <x15:rangePr sourceName="_xlcn.LinkedTable_Table111"/>
        </x15:connection>
      </ext>
    </extLst>
  </connection>
  <connection id="2" name="LinkedTable_Table3" type="102" refreshedVersion="6" minRefreshableVersion="5">
    <extLst>
      <ext xmlns:x15="http://schemas.microsoft.com/office/spreadsheetml/2010/11/main" uri="{DE250136-89BD-433C-8126-D09CA5730AF9}">
        <x15:connection id="Table3">
          <x15:rangePr sourceName="_xlcn.LinkedTable_Table31"/>
        </x15:connection>
      </ext>
    </extLst>
  </connection>
  <connection id="3" name="LinkedTable_Table5" type="102" refreshedVersion="6" minRefreshableVersion="5">
    <extLst>
      <ext xmlns:x15="http://schemas.microsoft.com/office/spreadsheetml/2010/11/main" uri="{DE250136-89BD-433C-8126-D09CA5730AF9}">
        <x15:connection id="Table5">
          <x15:rangePr sourceName="_xlcn.LinkedTable_Table51"/>
        </x15:connection>
      </ext>
    </extLst>
  </connection>
  <connection id="4" name="LinkedTable_Table6" type="102" refreshedVersion="6" minRefreshableVersion="5">
    <extLst>
      <ext xmlns:x15="http://schemas.microsoft.com/office/spreadsheetml/2010/11/main" uri="{DE250136-89BD-433C-8126-D09CA5730AF9}">
        <x15:connection id="Table6">
          <x15:rangePr sourceName="_xlcn.LinkedTable_Table61"/>
        </x15:connection>
      </ext>
    </extLst>
  </connection>
  <connection id="5" name="LinkedTable_Table7" type="102" refreshedVersion="6" minRefreshableVersion="5">
    <extLst>
      <ext xmlns:x15="http://schemas.microsoft.com/office/spreadsheetml/2010/11/main" uri="{DE250136-89BD-433C-8126-D09CA5730AF9}">
        <x15:connection id="Table7">
          <x15:rangePr sourceName="_xlcn.LinkedTable_Table71"/>
        </x15:connection>
      </ext>
    </extLst>
  </connection>
  <connection id="6" name="LinkedTable_Table713" type="102" refreshedVersion="6" minRefreshableVersion="5">
    <extLst>
      <ext xmlns:x15="http://schemas.microsoft.com/office/spreadsheetml/2010/11/main" uri="{DE250136-89BD-433C-8126-D09CA5730AF9}">
        <x15:connection id="Table713">
          <x15:rangePr sourceName="_xlcn.LinkedTable_Table7131"/>
        </x15:connection>
      </ext>
    </extLst>
  </connection>
  <connection id="7" name="LinkedTable_Table9" type="102" refreshedVersion="6" minRefreshableVersion="5">
    <extLst>
      <ext xmlns:x15="http://schemas.microsoft.com/office/spreadsheetml/2010/11/main" uri="{DE250136-89BD-433C-8126-D09CA5730AF9}">
        <x15:connection id="Table9">
          <x15:rangePr sourceName="_xlcn.LinkedTable_Table91"/>
        </x15:connection>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<sst xmlns="http://schemas.openxmlformats.org/spreadsheetml/2006/main" count="15465" uniqueCount="3648">
  <si>
    <t>ministry_id</t>
  </si>
  <si>
    <t>ministry_name</t>
  </si>
  <si>
    <t>minister_name</t>
  </si>
  <si>
    <t>Ministry of Tourism</t>
  </si>
  <si>
    <t>Ministry of National Defence</t>
  </si>
  <si>
    <t>Ministry of Justice</t>
  </si>
  <si>
    <t>Ministry of Public Safety</t>
  </si>
  <si>
    <t>Ministry of Transport</t>
  </si>
  <si>
    <t>Ministry of Fisheries</t>
  </si>
  <si>
    <t>Ministry of Immigration</t>
  </si>
  <si>
    <t>Ministry of Indigenous Services</t>
  </si>
  <si>
    <t>Ministry of Energy and Natural Resources</t>
  </si>
  <si>
    <t>Ministry of Public Works</t>
  </si>
  <si>
    <t>Ministry of Agriculture</t>
  </si>
  <si>
    <t>Ministry of Health</t>
  </si>
  <si>
    <t>Ministry of Housing and Infrastructure</t>
  </si>
  <si>
    <t>Ministry of Emergency Management</t>
  </si>
  <si>
    <t>Ministry of International Trade</t>
  </si>
  <si>
    <t>Ministry of Artificial Intelligence</t>
  </si>
  <si>
    <t>William Jackson</t>
  </si>
  <si>
    <t>Liam Thompson</t>
  </si>
  <si>
    <t>James Martinez</t>
  </si>
  <si>
    <t>Emma Clark</t>
  </si>
  <si>
    <t>Charlotte Robinson</t>
  </si>
  <si>
    <t>Olivia Johnson</t>
  </si>
  <si>
    <t>Mia Lewis</t>
  </si>
  <si>
    <t>Benjamin Jackson</t>
  </si>
  <si>
    <t>Noah Taylor</t>
  </si>
  <si>
    <t>Daniel Garcia</t>
  </si>
  <si>
    <t>Henry Johnson</t>
  </si>
  <si>
    <t>Lucas Harris</t>
  </si>
  <si>
    <t>Noah Clark</t>
  </si>
  <si>
    <t>Amelia Martinez</t>
  </si>
  <si>
    <t>Noah Rodriguez</t>
  </si>
  <si>
    <t>Lucas Johnson</t>
  </si>
  <si>
    <t>FY2025</t>
  </si>
  <si>
    <t>fiscal_year</t>
  </si>
  <si>
    <t>budget_id</t>
  </si>
  <si>
    <t>approval_date</t>
  </si>
  <si>
    <t>Capital</t>
  </si>
  <si>
    <t>Operational</t>
  </si>
  <si>
    <t>BFY2025-01</t>
  </si>
  <si>
    <t>BFY2025-02</t>
  </si>
  <si>
    <t>BFY2025-03</t>
  </si>
  <si>
    <t>BFY2025-04</t>
  </si>
  <si>
    <t>BFY2025-05</t>
  </si>
  <si>
    <t>BFY2025-06</t>
  </si>
  <si>
    <t>BFY2025-07</t>
  </si>
  <si>
    <t>BFY2025-08</t>
  </si>
  <si>
    <t>expense_category</t>
  </si>
  <si>
    <t>expense_type</t>
  </si>
  <si>
    <t>transaction_id</t>
  </si>
  <si>
    <t>amount_spent</t>
  </si>
  <si>
    <t>Salaries and Wages</t>
  </si>
  <si>
    <t>Employee Benefits and Pensions</t>
  </si>
  <si>
    <t>Office Supplies and Consumables</t>
  </si>
  <si>
    <t>Travel and Accommodation Expenses</t>
  </si>
  <si>
    <t>Professional and Consulting Fees</t>
  </si>
  <si>
    <t>IT Support and Software Subscriptions</t>
  </si>
  <si>
    <t>Maintenance and Repairs</t>
  </si>
  <si>
    <t>Public Outreach and Communication Costs</t>
  </si>
  <si>
    <t>Training and Staff Development</t>
  </si>
  <si>
    <t>Infrastructure Development Projects</t>
  </si>
  <si>
    <t>Building Construction and Renovation</t>
  </si>
  <si>
    <t>Land Acquisition</t>
  </si>
  <si>
    <t>Heavy Equipment Purchase</t>
  </si>
  <si>
    <t>Vehicle Fleet Acquisition</t>
  </si>
  <si>
    <t>IT Systems Implementation (ERP, Cybersecurity Systems)</t>
  </si>
  <si>
    <t>Data Center Development</t>
  </si>
  <si>
    <t>Research and Innovation Capital Projects</t>
  </si>
  <si>
    <t>Public Facility Expansion Projects</t>
  </si>
  <si>
    <t>Utilities (Electricity, Water, Gas)</t>
  </si>
  <si>
    <t>Major Technology Hardware Purchases</t>
  </si>
  <si>
    <t>MIN1001</t>
  </si>
  <si>
    <t>MIN1002</t>
  </si>
  <si>
    <t>MIN1003</t>
  </si>
  <si>
    <t>MIN1004</t>
  </si>
  <si>
    <t>MIN1005</t>
  </si>
  <si>
    <t>MIN1006</t>
  </si>
  <si>
    <t>MIN1007</t>
  </si>
  <si>
    <t>MIN1008</t>
  </si>
  <si>
    <t>BFY2025-09</t>
  </si>
  <si>
    <t>MIN1009</t>
  </si>
  <si>
    <t>BFY2025-10</t>
  </si>
  <si>
    <t>MIN1010</t>
  </si>
  <si>
    <t>MIN1011</t>
  </si>
  <si>
    <t>BFY2025-11</t>
  </si>
  <si>
    <t>BFY2025-12</t>
  </si>
  <si>
    <t>BFY2025-13</t>
  </si>
  <si>
    <t>MIN1013</t>
  </si>
  <si>
    <t>MIN1014</t>
  </si>
  <si>
    <t>BFY2025-14</t>
  </si>
  <si>
    <t>BFY2025-15</t>
  </si>
  <si>
    <t>MIN1015</t>
  </si>
  <si>
    <t>BFY2025-16</t>
  </si>
  <si>
    <t>MIN1016</t>
  </si>
  <si>
    <t>transaction_date</t>
  </si>
  <si>
    <t>TXN2025-00001</t>
  </si>
  <si>
    <t>TXN2025-00002</t>
  </si>
  <si>
    <t>TXN2025-00003</t>
  </si>
  <si>
    <t>TXN2025-00004</t>
  </si>
  <si>
    <t>TXN2025-00005</t>
  </si>
  <si>
    <t>TXN2025-00006</t>
  </si>
  <si>
    <t>TXN2025-00007</t>
  </si>
  <si>
    <t>TXN2025-00008</t>
  </si>
  <si>
    <t>TXN2025-00009</t>
  </si>
  <si>
    <t>TXN2025-00010</t>
  </si>
  <si>
    <t>TXN2025-00011</t>
  </si>
  <si>
    <t>TXN2025-00012</t>
  </si>
  <si>
    <t>TXN2025-00013</t>
  </si>
  <si>
    <t>TXN2025-00014</t>
  </si>
  <si>
    <t>TXN2025-00015</t>
  </si>
  <si>
    <t>TXN2025-00016</t>
  </si>
  <si>
    <t>TXN2025-00017</t>
  </si>
  <si>
    <t>TXN2025-00018</t>
  </si>
  <si>
    <t>TXN2025-00019</t>
  </si>
  <si>
    <t>TXN2025-00020</t>
  </si>
  <si>
    <t>TXN2025-00021</t>
  </si>
  <si>
    <t>TXN2025-00022</t>
  </si>
  <si>
    <t>TXN2025-00023</t>
  </si>
  <si>
    <t>TXN2025-00024</t>
  </si>
  <si>
    <t>TXN2025-00025</t>
  </si>
  <si>
    <t>TXN2025-00026</t>
  </si>
  <si>
    <t>TXN2025-00027</t>
  </si>
  <si>
    <t>TXN2025-00028</t>
  </si>
  <si>
    <t>TXN2025-00029</t>
  </si>
  <si>
    <t>TXN2025-00030</t>
  </si>
  <si>
    <t>TXN2025-00031</t>
  </si>
  <si>
    <t>TXN2025-00032</t>
  </si>
  <si>
    <t>TXN2025-00033</t>
  </si>
  <si>
    <t>TXN2025-00034</t>
  </si>
  <si>
    <t>TXN2025-00035</t>
  </si>
  <si>
    <t>TXN2025-00036</t>
  </si>
  <si>
    <t>TXN2025-00037</t>
  </si>
  <si>
    <t>TXN2025-00038</t>
  </si>
  <si>
    <t>TXN2025-00039</t>
  </si>
  <si>
    <t>TXN2025-00040</t>
  </si>
  <si>
    <t>TXN2025-00041</t>
  </si>
  <si>
    <t>TXN2025-00042</t>
  </si>
  <si>
    <t>TXN2025-00043</t>
  </si>
  <si>
    <t>TXN2025-00044</t>
  </si>
  <si>
    <t>TXN2025-00045</t>
  </si>
  <si>
    <t>TXN2025-00046</t>
  </si>
  <si>
    <t>TXN2025-00047</t>
  </si>
  <si>
    <t>TXN2025-00048</t>
  </si>
  <si>
    <t>TXN2025-00049</t>
  </si>
  <si>
    <t>TXN2025-00050</t>
  </si>
  <si>
    <t>TXN2025-00051</t>
  </si>
  <si>
    <t>TXN2025-00052</t>
  </si>
  <si>
    <t>TXN2025-00053</t>
  </si>
  <si>
    <t>TXN2025-00054</t>
  </si>
  <si>
    <t>TXN2025-00055</t>
  </si>
  <si>
    <t>TXN2025-00056</t>
  </si>
  <si>
    <t>TXN2025-00057</t>
  </si>
  <si>
    <t>TXN2025-00058</t>
  </si>
  <si>
    <t>TXN2025-00059</t>
  </si>
  <si>
    <t>TXN2025-00060</t>
  </si>
  <si>
    <t>TXN2025-00061</t>
  </si>
  <si>
    <t>TXN2025-00062</t>
  </si>
  <si>
    <t>TXN2025-00063</t>
  </si>
  <si>
    <t>TXN2025-00064</t>
  </si>
  <si>
    <t>TXN2025-00065</t>
  </si>
  <si>
    <t>TXN2025-00066</t>
  </si>
  <si>
    <t>TXN2025-00067</t>
  </si>
  <si>
    <t>TXN2025-00068</t>
  </si>
  <si>
    <t>TXN2025-00069</t>
  </si>
  <si>
    <t>TXN2025-00070</t>
  </si>
  <si>
    <t>TXN2025-00071</t>
  </si>
  <si>
    <t>TXN2025-00072</t>
  </si>
  <si>
    <t>TXN2025-00073</t>
  </si>
  <si>
    <t>TXN2025-00074</t>
  </si>
  <si>
    <t>TXN2025-00075</t>
  </si>
  <si>
    <t>TXN2025-00076</t>
  </si>
  <si>
    <t>TXN2025-00077</t>
  </si>
  <si>
    <t>TXN2025-00078</t>
  </si>
  <si>
    <t>TXN2025-00079</t>
  </si>
  <si>
    <t>TXN2025-00080</t>
  </si>
  <si>
    <t>TXN2025-00081</t>
  </si>
  <si>
    <t>TXN2025-00082</t>
  </si>
  <si>
    <t>TXN2025-00083</t>
  </si>
  <si>
    <t>TXN2025-00084</t>
  </si>
  <si>
    <t>TXN2025-00085</t>
  </si>
  <si>
    <t>TXN2025-00086</t>
  </si>
  <si>
    <t>TXN2025-00087</t>
  </si>
  <si>
    <t>TXN2025-00088</t>
  </si>
  <si>
    <t>TXN2025-00089</t>
  </si>
  <si>
    <t>TXN2025-00090</t>
  </si>
  <si>
    <t>TXN2025-00091</t>
  </si>
  <si>
    <t>TXN2025-00092</t>
  </si>
  <si>
    <t>TXN2025-00093</t>
  </si>
  <si>
    <t>TXN2025-00094</t>
  </si>
  <si>
    <t>TXN2025-00095</t>
  </si>
  <si>
    <t>TXN2025-00096</t>
  </si>
  <si>
    <t>TXN2025-00097</t>
  </si>
  <si>
    <t>TXN2025-00098</t>
  </si>
  <si>
    <t>TXN2025-00099</t>
  </si>
  <si>
    <t>TXN2025-00100</t>
  </si>
  <si>
    <t>TXN2025-00101</t>
  </si>
  <si>
    <t>TXN2025-00102</t>
  </si>
  <si>
    <t>TXN2025-00103</t>
  </si>
  <si>
    <t>TXN2025-00104</t>
  </si>
  <si>
    <t>TXN2025-00105</t>
  </si>
  <si>
    <t>TXN2025-00106</t>
  </si>
  <si>
    <t>TXN2025-00107</t>
  </si>
  <si>
    <t>TXN2025-00108</t>
  </si>
  <si>
    <t>TXN2025-00109</t>
  </si>
  <si>
    <t>TXN2025-00110</t>
  </si>
  <si>
    <t>TXN2025-00111</t>
  </si>
  <si>
    <t>TXN2025-00112</t>
  </si>
  <si>
    <t>TXN2025-00113</t>
  </si>
  <si>
    <t>TXN2025-00114</t>
  </si>
  <si>
    <t>TXN2025-00115</t>
  </si>
  <si>
    <t>TXN2025-00116</t>
  </si>
  <si>
    <t>TXN2025-00117</t>
  </si>
  <si>
    <t>TXN2025-00118</t>
  </si>
  <si>
    <t>TXN2025-00119</t>
  </si>
  <si>
    <t>TXN2025-00120</t>
  </si>
  <si>
    <t>TXN2025-00121</t>
  </si>
  <si>
    <t>TXN2025-00122</t>
  </si>
  <si>
    <t>TXN2025-00123</t>
  </si>
  <si>
    <t>TXN2025-00124</t>
  </si>
  <si>
    <t>TXN2025-00125</t>
  </si>
  <si>
    <t>TXN2025-00126</t>
  </si>
  <si>
    <t>TXN2025-00127</t>
  </si>
  <si>
    <t>TXN2025-00128</t>
  </si>
  <si>
    <t>TXN2025-00129</t>
  </si>
  <si>
    <t>TXN2025-00130</t>
  </si>
  <si>
    <t>TXN2025-00131</t>
  </si>
  <si>
    <t>TXN2025-00132</t>
  </si>
  <si>
    <t>TXN2025-00133</t>
  </si>
  <si>
    <t>TXN2025-00134</t>
  </si>
  <si>
    <t>TXN2025-00135</t>
  </si>
  <si>
    <t>TXN2025-00136</t>
  </si>
  <si>
    <t>TXN2025-00137</t>
  </si>
  <si>
    <t>TXN2025-00138</t>
  </si>
  <si>
    <t>TXN2025-00139</t>
  </si>
  <si>
    <t>TXN2025-00140</t>
  </si>
  <si>
    <t>TXN2025-00141</t>
  </si>
  <si>
    <t>TXN2025-00142</t>
  </si>
  <si>
    <t>TXN2025-00143</t>
  </si>
  <si>
    <t>TXN2025-00144</t>
  </si>
  <si>
    <t>TXN2025-00145</t>
  </si>
  <si>
    <t>TXN2025-00146</t>
  </si>
  <si>
    <t>TXN2025-00147</t>
  </si>
  <si>
    <t>TXN2025-00148</t>
  </si>
  <si>
    <t>TXN2025-00149</t>
  </si>
  <si>
    <t>TXN2025-00150</t>
  </si>
  <si>
    <t>TXN2025-00151</t>
  </si>
  <si>
    <t>TXN2025-00152</t>
  </si>
  <si>
    <t>TXN2025-00153</t>
  </si>
  <si>
    <t>TXN2025-00154</t>
  </si>
  <si>
    <t>TXN2025-00155</t>
  </si>
  <si>
    <t>TXN2025-00156</t>
  </si>
  <si>
    <t>TXN2025-00157</t>
  </si>
  <si>
    <t>TXN2025-00158</t>
  </si>
  <si>
    <t>TXN2025-00159</t>
  </si>
  <si>
    <t>TXN2025-00160</t>
  </si>
  <si>
    <t>TXN2025-00161</t>
  </si>
  <si>
    <t>TXN2025-00162</t>
  </si>
  <si>
    <t>TXN2025-00163</t>
  </si>
  <si>
    <t>TXN2025-00164</t>
  </si>
  <si>
    <t>TXN2025-00165</t>
  </si>
  <si>
    <t>TXN2025-00166</t>
  </si>
  <si>
    <t>TXN2025-00167</t>
  </si>
  <si>
    <t>TXN2025-00168</t>
  </si>
  <si>
    <t>TXN2025-00169</t>
  </si>
  <si>
    <t>TXN2025-00170</t>
  </si>
  <si>
    <t>TXN2025-00171</t>
  </si>
  <si>
    <t>TXN2025-00172</t>
  </si>
  <si>
    <t>TXN2025-00173</t>
  </si>
  <si>
    <t>TXN2025-00174</t>
  </si>
  <si>
    <t>TXN2025-00175</t>
  </si>
  <si>
    <t>TXN2025-00176</t>
  </si>
  <si>
    <t>TXN2025-00177</t>
  </si>
  <si>
    <t>TXN2025-00178</t>
  </si>
  <si>
    <t>TXN2025-00179</t>
  </si>
  <si>
    <t>TXN2025-00180</t>
  </si>
  <si>
    <t>TXN2025-00181</t>
  </si>
  <si>
    <t>TXN2025-00182</t>
  </si>
  <si>
    <t>TXN2025-00183</t>
  </si>
  <si>
    <t>TXN2025-00184</t>
  </si>
  <si>
    <t>TXN2025-00185</t>
  </si>
  <si>
    <t>TXN2025-00186</t>
  </si>
  <si>
    <t>TXN2025-00187</t>
  </si>
  <si>
    <t>TXN2025-00188</t>
  </si>
  <si>
    <t>TXN2025-00189</t>
  </si>
  <si>
    <t>TXN2025-00190</t>
  </si>
  <si>
    <t>TXN2025-00191</t>
  </si>
  <si>
    <t>TXN2025-00192</t>
  </si>
  <si>
    <t>TXN2025-00193</t>
  </si>
  <si>
    <t>TXN2025-00194</t>
  </si>
  <si>
    <t>TXN2025-00195</t>
  </si>
  <si>
    <t>TXN2025-00196</t>
  </si>
  <si>
    <t>TXN2025-00197</t>
  </si>
  <si>
    <t>TXN2025-00198</t>
  </si>
  <si>
    <t>TXN2025-00199</t>
  </si>
  <si>
    <t>TXN2025-00200</t>
  </si>
  <si>
    <t>TXN2025-00201</t>
  </si>
  <si>
    <t>TXN2025-00202</t>
  </si>
  <si>
    <t>TXN2025-00203</t>
  </si>
  <si>
    <t>TXN2025-00204</t>
  </si>
  <si>
    <t>TXN2025-00205</t>
  </si>
  <si>
    <t>TXN2025-00206</t>
  </si>
  <si>
    <t>TXN2025-00207</t>
  </si>
  <si>
    <t>TXN2025-00208</t>
  </si>
  <si>
    <t>TXN2025-00209</t>
  </si>
  <si>
    <t>TXN2025-00210</t>
  </si>
  <si>
    <t>TXN2025-00211</t>
  </si>
  <si>
    <t>TXN2025-00212</t>
  </si>
  <si>
    <t>TXN2025-00213</t>
  </si>
  <si>
    <t>TXN2025-00214</t>
  </si>
  <si>
    <t>TXN2025-00215</t>
  </si>
  <si>
    <t>TXN2025-00216</t>
  </si>
  <si>
    <t>TXN2025-00217</t>
  </si>
  <si>
    <t>TXN2025-00218</t>
  </si>
  <si>
    <t>TXN2025-00219</t>
  </si>
  <si>
    <t>TXN2025-00220</t>
  </si>
  <si>
    <t>TXN2025-00221</t>
  </si>
  <si>
    <t>TXN2025-00222</t>
  </si>
  <si>
    <t>TXN2025-00223</t>
  </si>
  <si>
    <t>TXN2025-00224</t>
  </si>
  <si>
    <t>TXN2025-00225</t>
  </si>
  <si>
    <t>TXN2025-00226</t>
  </si>
  <si>
    <t>TXN2025-00227</t>
  </si>
  <si>
    <t>TXN2025-00228</t>
  </si>
  <si>
    <t>TXN2025-00229</t>
  </si>
  <si>
    <t>TXN2025-00230</t>
  </si>
  <si>
    <t>TXN2025-00231</t>
  </si>
  <si>
    <t>TXN2025-00232</t>
  </si>
  <si>
    <t>TXN2025-00233</t>
  </si>
  <si>
    <t>TXN2025-00234</t>
  </si>
  <si>
    <t>TXN2025-00235</t>
  </si>
  <si>
    <t>TXN2025-00236</t>
  </si>
  <si>
    <t>TXN2025-00237</t>
  </si>
  <si>
    <t>TXN2025-00238</t>
  </si>
  <si>
    <t>TXN2025-00239</t>
  </si>
  <si>
    <t>TXN2025-00240</t>
  </si>
  <si>
    <t>TXN2025-00241</t>
  </si>
  <si>
    <t>TXN2025-00242</t>
  </si>
  <si>
    <t>TXN2025-00243</t>
  </si>
  <si>
    <t>TXN2025-00244</t>
  </si>
  <si>
    <t>TXN2025-00245</t>
  </si>
  <si>
    <t>TXN2025-00246</t>
  </si>
  <si>
    <t>TXN2025-00247</t>
  </si>
  <si>
    <t>TXN2025-00248</t>
  </si>
  <si>
    <t>TXN2025-00249</t>
  </si>
  <si>
    <t>TXN2025-00250</t>
  </si>
  <si>
    <t>TXN2025-00251</t>
  </si>
  <si>
    <t>TXN2025-00252</t>
  </si>
  <si>
    <t>TXN2025-00253</t>
  </si>
  <si>
    <t>TXN2025-00254</t>
  </si>
  <si>
    <t>TXN2025-00255</t>
  </si>
  <si>
    <t>TXN2025-00256</t>
  </si>
  <si>
    <t>TXN2025-00257</t>
  </si>
  <si>
    <t>TXN2025-00258</t>
  </si>
  <si>
    <t>TXN2025-00259</t>
  </si>
  <si>
    <t>TXN2025-00260</t>
  </si>
  <si>
    <t>TXN2025-00261</t>
  </si>
  <si>
    <t>TXN2025-00262</t>
  </si>
  <si>
    <t>TXN2025-00263</t>
  </si>
  <si>
    <t>TXN2025-00264</t>
  </si>
  <si>
    <t>TXN2025-00265</t>
  </si>
  <si>
    <t>TXN2025-00266</t>
  </si>
  <si>
    <t>TXN2025-00267</t>
  </si>
  <si>
    <t>TXN2025-00268</t>
  </si>
  <si>
    <t>TXN2025-00269</t>
  </si>
  <si>
    <t>TXN2025-00270</t>
  </si>
  <si>
    <t>TXN2025-00271</t>
  </si>
  <si>
    <t>TXN2025-00272</t>
  </si>
  <si>
    <t>TXN2025-00273</t>
  </si>
  <si>
    <t>TXN2025-00274</t>
  </si>
  <si>
    <t>TXN2025-00275</t>
  </si>
  <si>
    <t>TXN2025-00276</t>
  </si>
  <si>
    <t>TXN2025-00277</t>
  </si>
  <si>
    <t>TXN2025-00278</t>
  </si>
  <si>
    <t>TXN2025-00279</t>
  </si>
  <si>
    <t>TXN2025-00280</t>
  </si>
  <si>
    <t>TXN2025-00281</t>
  </si>
  <si>
    <t>TXN2025-00282</t>
  </si>
  <si>
    <t>TXN2025-00283</t>
  </si>
  <si>
    <t>TXN2025-00284</t>
  </si>
  <si>
    <t>TXN2025-00285</t>
  </si>
  <si>
    <t>TXN2025-00286</t>
  </si>
  <si>
    <t>TXN2025-00287</t>
  </si>
  <si>
    <t>TXN2025-00288</t>
  </si>
  <si>
    <t>TXN2025-00289</t>
  </si>
  <si>
    <t>TXN2025-00290</t>
  </si>
  <si>
    <t>TXN2025-00291</t>
  </si>
  <si>
    <t>TXN2025-00292</t>
  </si>
  <si>
    <t>TXN2025-00293</t>
  </si>
  <si>
    <t>TXN2025-00294</t>
  </si>
  <si>
    <t>TXN2025-00295</t>
  </si>
  <si>
    <t>TXN2025-00296</t>
  </si>
  <si>
    <t>TXN2025-00297</t>
  </si>
  <si>
    <t>TXN2025-00298</t>
  </si>
  <si>
    <t>TXN2025-00299</t>
  </si>
  <si>
    <t>TXN2025-00300</t>
  </si>
  <si>
    <t>TXN2025-00301</t>
  </si>
  <si>
    <t>TXN2025-00302</t>
  </si>
  <si>
    <t>TXN2025-00303</t>
  </si>
  <si>
    <t>TXN2025-00304</t>
  </si>
  <si>
    <t>TXN2025-00305</t>
  </si>
  <si>
    <t>TXN2025-00306</t>
  </si>
  <si>
    <t>TXN2025-00307</t>
  </si>
  <si>
    <t>TXN2025-00308</t>
  </si>
  <si>
    <t>TXN2025-00309</t>
  </si>
  <si>
    <t>TXN2025-00310</t>
  </si>
  <si>
    <t>TXN2025-00311</t>
  </si>
  <si>
    <t>TXN2025-00312</t>
  </si>
  <si>
    <t>TXN2025-00313</t>
  </si>
  <si>
    <t>TXN2025-00314</t>
  </si>
  <si>
    <t>TXN2025-00315</t>
  </si>
  <si>
    <t>TXN2025-00316</t>
  </si>
  <si>
    <t>TXN2025-00317</t>
  </si>
  <si>
    <t>TXN2025-00318</t>
  </si>
  <si>
    <t>TXN2025-00319</t>
  </si>
  <si>
    <t>TXN2025-00320</t>
  </si>
  <si>
    <t>TXN2025-00321</t>
  </si>
  <si>
    <t>TXN2025-00322</t>
  </si>
  <si>
    <t>TXN2025-00323</t>
  </si>
  <si>
    <t>TXN2025-00324</t>
  </si>
  <si>
    <t>TXN2025-00325</t>
  </si>
  <si>
    <t>TXN2025-00326</t>
  </si>
  <si>
    <t>TXN2025-00327</t>
  </si>
  <si>
    <t>TXN2025-00328</t>
  </si>
  <si>
    <t>TXN2025-00329</t>
  </si>
  <si>
    <t>TXN2025-00330</t>
  </si>
  <si>
    <t>TXN2025-00331</t>
  </si>
  <si>
    <t>TXN2025-00332</t>
  </si>
  <si>
    <t>TXN2025-00333</t>
  </si>
  <si>
    <t>TXN2025-00334</t>
  </si>
  <si>
    <t>TXN2025-00335</t>
  </si>
  <si>
    <t>TXN2025-00336</t>
  </si>
  <si>
    <t>TXN2025-00337</t>
  </si>
  <si>
    <t>TXN2025-00338</t>
  </si>
  <si>
    <t>TXN2025-00339</t>
  </si>
  <si>
    <t>TXN2025-00340</t>
  </si>
  <si>
    <t>TXN2025-00341</t>
  </si>
  <si>
    <t>TXN2025-00342</t>
  </si>
  <si>
    <t>TXN2025-00343</t>
  </si>
  <si>
    <t>TXN2025-00344</t>
  </si>
  <si>
    <t>TXN2025-00345</t>
  </si>
  <si>
    <t>TXN2025-00346</t>
  </si>
  <si>
    <t>TXN2025-00347</t>
  </si>
  <si>
    <t>TXN2025-00348</t>
  </si>
  <si>
    <t>TXN2025-00349</t>
  </si>
  <si>
    <t>TXN2025-00350</t>
  </si>
  <si>
    <t>TXN2025-00351</t>
  </si>
  <si>
    <t>TXN2025-00352</t>
  </si>
  <si>
    <t>TXN2025-00353</t>
  </si>
  <si>
    <t>TXN2025-00354</t>
  </si>
  <si>
    <t>TXN2025-00355</t>
  </si>
  <si>
    <t>TXN2025-00356</t>
  </si>
  <si>
    <t>TXN2025-00357</t>
  </si>
  <si>
    <t>TXN2025-00358</t>
  </si>
  <si>
    <t>TXN2025-00359</t>
  </si>
  <si>
    <t>TXN2025-00360</t>
  </si>
  <si>
    <t>TXN2025-00361</t>
  </si>
  <si>
    <t>TXN2025-00362</t>
  </si>
  <si>
    <t>TXN2025-00363</t>
  </si>
  <si>
    <t>TXN2025-00364</t>
  </si>
  <si>
    <t>TXN2025-00365</t>
  </si>
  <si>
    <t>TXN2025-00366</t>
  </si>
  <si>
    <t>TXN2025-00367</t>
  </si>
  <si>
    <t>TXN2025-00368</t>
  </si>
  <si>
    <t>TXN2025-00369</t>
  </si>
  <si>
    <t>TXN2025-00370</t>
  </si>
  <si>
    <t>TXN2025-00371</t>
  </si>
  <si>
    <t>TXN2025-00372</t>
  </si>
  <si>
    <t>TXN2025-00373</t>
  </si>
  <si>
    <t>TXN2025-00374</t>
  </si>
  <si>
    <t>TXN2025-00375</t>
  </si>
  <si>
    <t>TXN2025-00376</t>
  </si>
  <si>
    <t>TXN2025-00377</t>
  </si>
  <si>
    <t>TXN2025-00378</t>
  </si>
  <si>
    <t>TXN2025-00379</t>
  </si>
  <si>
    <t>TXN2025-00380</t>
  </si>
  <si>
    <t>TXN2025-00381</t>
  </si>
  <si>
    <t>TXN2025-00382</t>
  </si>
  <si>
    <t>TXN2025-00383</t>
  </si>
  <si>
    <t>TXN2025-00384</t>
  </si>
  <si>
    <t>TXN2025-00385</t>
  </si>
  <si>
    <t>TXN2025-00386</t>
  </si>
  <si>
    <t>TXN2025-00387</t>
  </si>
  <si>
    <t>TXN2025-00388</t>
  </si>
  <si>
    <t>TXN2025-00389</t>
  </si>
  <si>
    <t>TXN2025-00390</t>
  </si>
  <si>
    <t>TXN2025-00391</t>
  </si>
  <si>
    <t>TXN2025-00392</t>
  </si>
  <si>
    <t>TXN2025-00393</t>
  </si>
  <si>
    <t>TXN2025-00394</t>
  </si>
  <si>
    <t>TXN2025-00395</t>
  </si>
  <si>
    <t>TXN2025-00396</t>
  </si>
  <si>
    <t>TXN2025-00397</t>
  </si>
  <si>
    <t>TXN2025-00398</t>
  </si>
  <si>
    <t>TXN2025-00399</t>
  </si>
  <si>
    <t>TXN2025-00400</t>
  </si>
  <si>
    <t>TXN2025-00401</t>
  </si>
  <si>
    <t>TXN2025-00402</t>
  </si>
  <si>
    <t>TXN2025-00403</t>
  </si>
  <si>
    <t>TXN2025-00404</t>
  </si>
  <si>
    <t>TXN2025-00405</t>
  </si>
  <si>
    <t>TXN2025-00406</t>
  </si>
  <si>
    <t>TXN2025-00407</t>
  </si>
  <si>
    <t>TXN2025-00408</t>
  </si>
  <si>
    <t>TXN2025-00409</t>
  </si>
  <si>
    <t>TXN2025-00410</t>
  </si>
  <si>
    <t>TXN2025-00411</t>
  </si>
  <si>
    <t>TXN2025-00412</t>
  </si>
  <si>
    <t>TXN2025-00413</t>
  </si>
  <si>
    <t>TXN2025-00414</t>
  </si>
  <si>
    <t>TXN2025-00415</t>
  </si>
  <si>
    <t>TXN2025-00416</t>
  </si>
  <si>
    <t>TXN2025-00417</t>
  </si>
  <si>
    <t>TXN2025-00418</t>
  </si>
  <si>
    <t>TXN2025-00419</t>
  </si>
  <si>
    <t>TXN2025-00420</t>
  </si>
  <si>
    <t>TXN2025-00421</t>
  </si>
  <si>
    <t>TXN2025-00422</t>
  </si>
  <si>
    <t>TXN2025-00423</t>
  </si>
  <si>
    <t>TXN2025-00424</t>
  </si>
  <si>
    <t>TXN2025-00425</t>
  </si>
  <si>
    <t>TXN2025-00426</t>
  </si>
  <si>
    <t>TXN2025-00427</t>
  </si>
  <si>
    <t>TXN2025-00428</t>
  </si>
  <si>
    <t>TXN2025-00429</t>
  </si>
  <si>
    <t>TXN2025-00430</t>
  </si>
  <si>
    <t>TXN2025-00431</t>
  </si>
  <si>
    <t>TXN2025-00432</t>
  </si>
  <si>
    <t>TXN2025-00433</t>
  </si>
  <si>
    <t>TXN2025-00434</t>
  </si>
  <si>
    <t>TXN2025-00435</t>
  </si>
  <si>
    <t>TXN2025-00436</t>
  </si>
  <si>
    <t>TXN2025-00437</t>
  </si>
  <si>
    <t>TXN2025-00438</t>
  </si>
  <si>
    <t>TXN2025-00439</t>
  </si>
  <si>
    <t>TXN2025-00440</t>
  </si>
  <si>
    <t>TXN2025-00441</t>
  </si>
  <si>
    <t>TXN2025-00442</t>
  </si>
  <si>
    <t>TXN2025-00443</t>
  </si>
  <si>
    <t>TXN2025-00444</t>
  </si>
  <si>
    <t>TXN2025-00445</t>
  </si>
  <si>
    <t>TXN2025-00446</t>
  </si>
  <si>
    <t>TXN2025-00447</t>
  </si>
  <si>
    <t>TXN2025-00448</t>
  </si>
  <si>
    <t>TXN2025-00449</t>
  </si>
  <si>
    <t>TXN2025-00450</t>
  </si>
  <si>
    <t>TXN2025-00451</t>
  </si>
  <si>
    <t>TXN2025-00452</t>
  </si>
  <si>
    <t>TXN2025-00453</t>
  </si>
  <si>
    <t>TXN2025-00454</t>
  </si>
  <si>
    <t>TXN2025-00455</t>
  </si>
  <si>
    <t>TXN2025-00456</t>
  </si>
  <si>
    <t>TXN2025-00457</t>
  </si>
  <si>
    <t>TXN2025-00458</t>
  </si>
  <si>
    <t>TXN2025-00459</t>
  </si>
  <si>
    <t>TXN2025-00460</t>
  </si>
  <si>
    <t>TXN2025-00461</t>
  </si>
  <si>
    <t>TXN2025-00462</t>
  </si>
  <si>
    <t>TXN2025-00463</t>
  </si>
  <si>
    <t>TXN2025-00464</t>
  </si>
  <si>
    <t>TXN2025-00465</t>
  </si>
  <si>
    <t>TXN2025-00466</t>
  </si>
  <si>
    <t>TXN2025-00467</t>
  </si>
  <si>
    <t>TXN2025-00468</t>
  </si>
  <si>
    <t>TXN2025-00469</t>
  </si>
  <si>
    <t>TXN2025-00470</t>
  </si>
  <si>
    <t>TXN2025-00471</t>
  </si>
  <si>
    <t>TXN2025-00472</t>
  </si>
  <si>
    <t>TXN2025-00473</t>
  </si>
  <si>
    <t>TXN2025-00474</t>
  </si>
  <si>
    <t>TXN2025-00475</t>
  </si>
  <si>
    <t>TXN2025-00476</t>
  </si>
  <si>
    <t>TXN2025-00477</t>
  </si>
  <si>
    <t>TXN2025-00478</t>
  </si>
  <si>
    <t>TXN2025-00479</t>
  </si>
  <si>
    <t>TXN2025-00480</t>
  </si>
  <si>
    <t>TXN2025-00481</t>
  </si>
  <si>
    <t>TXN2025-00482</t>
  </si>
  <si>
    <t>TXN2025-00483</t>
  </si>
  <si>
    <t>TXN2025-00484</t>
  </si>
  <si>
    <t>TXN2025-00485</t>
  </si>
  <si>
    <t>TXN2025-00486</t>
  </si>
  <si>
    <t>TXN2025-00487</t>
  </si>
  <si>
    <t>TXN2025-00488</t>
  </si>
  <si>
    <t>TXN2025-00489</t>
  </si>
  <si>
    <t>TXN2025-00490</t>
  </si>
  <si>
    <t>TXN2025-00491</t>
  </si>
  <si>
    <t>TXN2025-00492</t>
  </si>
  <si>
    <t>TXN2025-00493</t>
  </si>
  <si>
    <t>TXN2025-00494</t>
  </si>
  <si>
    <t>TXN2025-00495</t>
  </si>
  <si>
    <t>TXN2025-00496</t>
  </si>
  <si>
    <t>TXN2025-00497</t>
  </si>
  <si>
    <t>TXN2025-00498</t>
  </si>
  <si>
    <t>TXN2025-00499</t>
  </si>
  <si>
    <t>TXN2025-00500</t>
  </si>
  <si>
    <t>TXN2025-00501</t>
  </si>
  <si>
    <t>TXN2025-00502</t>
  </si>
  <si>
    <t>TXN2025-00503</t>
  </si>
  <si>
    <t>TXN2025-00504</t>
  </si>
  <si>
    <t>TXN2025-00505</t>
  </si>
  <si>
    <t>TXN2025-00506</t>
  </si>
  <si>
    <t>TXN2025-00507</t>
  </si>
  <si>
    <t>TXN2025-00508</t>
  </si>
  <si>
    <t>TXN2025-00509</t>
  </si>
  <si>
    <t>TXN2025-00510</t>
  </si>
  <si>
    <t>TXN2025-00511</t>
  </si>
  <si>
    <t>TXN2025-00512</t>
  </si>
  <si>
    <t>TXN2025-00513</t>
  </si>
  <si>
    <t>TXN2025-00514</t>
  </si>
  <si>
    <t>TXN2025-00515</t>
  </si>
  <si>
    <t>TXN2025-00516</t>
  </si>
  <si>
    <t>TXN2025-00517</t>
  </si>
  <si>
    <t>TXN2025-00518</t>
  </si>
  <si>
    <t>TXN2025-00519</t>
  </si>
  <si>
    <t>TXN2025-00520</t>
  </si>
  <si>
    <t>TXN2025-00521</t>
  </si>
  <si>
    <t>TXN2025-00522</t>
  </si>
  <si>
    <t>TXN2025-00523</t>
  </si>
  <si>
    <t>TXN2025-00524</t>
  </si>
  <si>
    <t>TXN2025-00525</t>
  </si>
  <si>
    <t>TXN2025-00526</t>
  </si>
  <si>
    <t>TXN2025-00527</t>
  </si>
  <si>
    <t>TXN2025-00528</t>
  </si>
  <si>
    <t>TXN2025-00529</t>
  </si>
  <si>
    <t>TXN2025-00530</t>
  </si>
  <si>
    <t>TXN2025-00531</t>
  </si>
  <si>
    <t>TXN2025-00532</t>
  </si>
  <si>
    <t>TXN2025-00533</t>
  </si>
  <si>
    <t>TXN2025-00534</t>
  </si>
  <si>
    <t>TXN2025-00535</t>
  </si>
  <si>
    <t>TXN2025-00536</t>
  </si>
  <si>
    <t>TXN2025-00537</t>
  </si>
  <si>
    <t>TXN2025-00538</t>
  </si>
  <si>
    <t>TXN2025-00539</t>
  </si>
  <si>
    <t>TXN2025-00540</t>
  </si>
  <si>
    <t>TXN2025-00541</t>
  </si>
  <si>
    <t>TXN2025-00542</t>
  </si>
  <si>
    <t>TXN2025-00543</t>
  </si>
  <si>
    <t>TXN2025-00544</t>
  </si>
  <si>
    <t>TXN2025-00545</t>
  </si>
  <si>
    <t>TXN2025-00546</t>
  </si>
  <si>
    <t>TXN2025-00547</t>
  </si>
  <si>
    <t>TXN2025-00548</t>
  </si>
  <si>
    <t>TXN2025-00549</t>
  </si>
  <si>
    <t>TXN2025-00550</t>
  </si>
  <si>
    <t>TXN2025-00551</t>
  </si>
  <si>
    <t>TXN2025-00552</t>
  </si>
  <si>
    <t>TXN2025-00553</t>
  </si>
  <si>
    <t>TXN2025-00554</t>
  </si>
  <si>
    <t>TXN2025-00555</t>
  </si>
  <si>
    <t>TXN2025-00556</t>
  </si>
  <si>
    <t>TXN2025-00557</t>
  </si>
  <si>
    <t>TXN2025-00558</t>
  </si>
  <si>
    <t>TXN2025-00559</t>
  </si>
  <si>
    <t>TXN2025-00560</t>
  </si>
  <si>
    <t>TXN2025-00561</t>
  </si>
  <si>
    <t>TXN2025-00562</t>
  </si>
  <si>
    <t>TXN2025-00563</t>
  </si>
  <si>
    <t>TXN2025-00564</t>
  </si>
  <si>
    <t>TXN2025-00565</t>
  </si>
  <si>
    <t>TXN2025-00566</t>
  </si>
  <si>
    <t>TXN2025-00567</t>
  </si>
  <si>
    <t>TXN2025-00568</t>
  </si>
  <si>
    <t>TXN2025-00569</t>
  </si>
  <si>
    <t>TXN2025-00570</t>
  </si>
  <si>
    <t>TXN2025-00571</t>
  </si>
  <si>
    <t>TXN2025-00572</t>
  </si>
  <si>
    <t>TXN2025-00573</t>
  </si>
  <si>
    <t>TXN2025-00574</t>
  </si>
  <si>
    <t>TXN2025-00575</t>
  </si>
  <si>
    <t>TXN2025-00576</t>
  </si>
  <si>
    <t>TXN2025-00577</t>
  </si>
  <si>
    <t>TXN2025-00578</t>
  </si>
  <si>
    <t>TXN2025-00579</t>
  </si>
  <si>
    <t>TXN2025-00580</t>
  </si>
  <si>
    <t>TXN2025-00581</t>
  </si>
  <si>
    <t>TXN2025-00582</t>
  </si>
  <si>
    <t>TXN2025-00583</t>
  </si>
  <si>
    <t>TXN2025-00584</t>
  </si>
  <si>
    <t>TXN2025-00585</t>
  </si>
  <si>
    <t>TXN2025-00586</t>
  </si>
  <si>
    <t>TXN2025-00587</t>
  </si>
  <si>
    <t>TXN2025-00588</t>
  </si>
  <si>
    <t>TXN2025-00589</t>
  </si>
  <si>
    <t>TXN2025-00590</t>
  </si>
  <si>
    <t>TXN2025-00591</t>
  </si>
  <si>
    <t>TXN2025-00592</t>
  </si>
  <si>
    <t>TXN2025-00593</t>
  </si>
  <si>
    <t>TXN2025-00594</t>
  </si>
  <si>
    <t>TXN2025-00595</t>
  </si>
  <si>
    <t>TXN2025-00596</t>
  </si>
  <si>
    <t>TXN2025-00597</t>
  </si>
  <si>
    <t>TXN2025-00598</t>
  </si>
  <si>
    <t>TXN2025-00599</t>
  </si>
  <si>
    <t>TXN2025-00600</t>
  </si>
  <si>
    <t>TXN2025-00601</t>
  </si>
  <si>
    <t>TXN2025-00602</t>
  </si>
  <si>
    <t>TXN2025-00603</t>
  </si>
  <si>
    <t>TXN2025-00604</t>
  </si>
  <si>
    <t>TXN2025-00605</t>
  </si>
  <si>
    <t>TXN2025-00606</t>
  </si>
  <si>
    <t>TXN2025-00607</t>
  </si>
  <si>
    <t>TXN2025-00608</t>
  </si>
  <si>
    <t>TXN2025-00609</t>
  </si>
  <si>
    <t>TXN2025-00610</t>
  </si>
  <si>
    <t>TXN2025-00611</t>
  </si>
  <si>
    <t>TXN2025-00612</t>
  </si>
  <si>
    <t>TXN2025-00613</t>
  </si>
  <si>
    <t>TXN2025-00614</t>
  </si>
  <si>
    <t>TXN2025-00615</t>
  </si>
  <si>
    <t>TXN2025-00616</t>
  </si>
  <si>
    <t>TXN2025-00617</t>
  </si>
  <si>
    <t>TXN2025-00618</t>
  </si>
  <si>
    <t>TXN2025-00619</t>
  </si>
  <si>
    <t>TXN2025-00620</t>
  </si>
  <si>
    <t>TXN2025-00621</t>
  </si>
  <si>
    <t>TXN2025-00622</t>
  </si>
  <si>
    <t>TXN2025-00623</t>
  </si>
  <si>
    <t>TXN2025-00624</t>
  </si>
  <si>
    <t>TXN2025-00625</t>
  </si>
  <si>
    <t>TXN2025-00626</t>
  </si>
  <si>
    <t>TXN2025-00627</t>
  </si>
  <si>
    <t>TXN2025-00628</t>
  </si>
  <si>
    <t>TXN2025-00629</t>
  </si>
  <si>
    <t>TXN2025-00630</t>
  </si>
  <si>
    <t>TXN2025-00631</t>
  </si>
  <si>
    <t>TXN2025-00632</t>
  </si>
  <si>
    <t>TXN2025-00633</t>
  </si>
  <si>
    <t>TXN2025-00634</t>
  </si>
  <si>
    <t>TXN2025-00635</t>
  </si>
  <si>
    <t>TXN2025-00636</t>
  </si>
  <si>
    <t>TXN2025-00637</t>
  </si>
  <si>
    <t>TXN2025-00638</t>
  </si>
  <si>
    <t>TXN2025-00639</t>
  </si>
  <si>
    <t>TXN2025-00640</t>
  </si>
  <si>
    <t>TXN2025-00641</t>
  </si>
  <si>
    <t>TXN2025-00642</t>
  </si>
  <si>
    <t>TXN2025-00643</t>
  </si>
  <si>
    <t>TXN2025-00644</t>
  </si>
  <si>
    <t>TXN2025-00645</t>
  </si>
  <si>
    <t>TXN2025-00646</t>
  </si>
  <si>
    <t>TXN2025-00647</t>
  </si>
  <si>
    <t>TXN2025-00648</t>
  </si>
  <si>
    <t>TXN2025-00649</t>
  </si>
  <si>
    <t>TXN2025-00650</t>
  </si>
  <si>
    <t>TXN2025-00651</t>
  </si>
  <si>
    <t>TXN2025-00652</t>
  </si>
  <si>
    <t>TXN2025-00653</t>
  </si>
  <si>
    <t>TXN2025-00654</t>
  </si>
  <si>
    <t>TXN2025-00655</t>
  </si>
  <si>
    <t>TXN2025-00656</t>
  </si>
  <si>
    <t>TXN2025-00657</t>
  </si>
  <si>
    <t>TXN2025-00658</t>
  </si>
  <si>
    <t>TXN2025-00659</t>
  </si>
  <si>
    <t>TXN2025-00660</t>
  </si>
  <si>
    <t>TXN2025-00661</t>
  </si>
  <si>
    <t>TXN2025-00662</t>
  </si>
  <si>
    <t>TXN2025-00663</t>
  </si>
  <si>
    <t>TXN2025-00664</t>
  </si>
  <si>
    <t>TXN2025-00665</t>
  </si>
  <si>
    <t>TXN2025-00666</t>
  </si>
  <si>
    <t>TXN2025-00667</t>
  </si>
  <si>
    <t>TXN2025-00668</t>
  </si>
  <si>
    <t>TXN2025-00669</t>
  </si>
  <si>
    <t>TXN2025-00670</t>
  </si>
  <si>
    <t>TXN2025-00671</t>
  </si>
  <si>
    <t>TXN2025-00672</t>
  </si>
  <si>
    <t>TXN2025-00673</t>
  </si>
  <si>
    <t>TXN2025-00674</t>
  </si>
  <si>
    <t>TXN2025-00675</t>
  </si>
  <si>
    <t>TXN2025-00676</t>
  </si>
  <si>
    <t>TXN2025-00677</t>
  </si>
  <si>
    <t>TXN2025-00678</t>
  </si>
  <si>
    <t>TXN2025-00679</t>
  </si>
  <si>
    <t>TXN2025-00680</t>
  </si>
  <si>
    <t>TXN2025-00681</t>
  </si>
  <si>
    <t>TXN2025-00682</t>
  </si>
  <si>
    <t>TXN2025-00683</t>
  </si>
  <si>
    <t>TXN2025-00684</t>
  </si>
  <si>
    <t>TXN2025-00685</t>
  </si>
  <si>
    <t>TXN2025-00686</t>
  </si>
  <si>
    <t>TXN2025-00687</t>
  </si>
  <si>
    <t>TXN2025-00688</t>
  </si>
  <si>
    <t>TXN2025-00689</t>
  </si>
  <si>
    <t>TXN2025-00690</t>
  </si>
  <si>
    <t>TXN2025-00691</t>
  </si>
  <si>
    <t>TXN2025-00692</t>
  </si>
  <si>
    <t>TXN2025-00693</t>
  </si>
  <si>
    <t>TXN2025-00694</t>
  </si>
  <si>
    <t>TXN2025-00695</t>
  </si>
  <si>
    <t>TXN2025-00696</t>
  </si>
  <si>
    <t>TXN2025-00697</t>
  </si>
  <si>
    <t>TXN2025-00698</t>
  </si>
  <si>
    <t>TXN2025-00699</t>
  </si>
  <si>
    <t>TXN2025-00700</t>
  </si>
  <si>
    <t>TXN2025-00701</t>
  </si>
  <si>
    <t>TXN2025-00702</t>
  </si>
  <si>
    <t>TXN2025-00703</t>
  </si>
  <si>
    <t>TXN2025-00704</t>
  </si>
  <si>
    <t>TXN2025-00705</t>
  </si>
  <si>
    <t>TXN2025-00706</t>
  </si>
  <si>
    <t>TXN2025-00707</t>
  </si>
  <si>
    <t>TXN2025-00708</t>
  </si>
  <si>
    <t>TXN2025-00709</t>
  </si>
  <si>
    <t>TXN2025-00710</t>
  </si>
  <si>
    <t>TXN2025-00711</t>
  </si>
  <si>
    <t>TXN2025-00712</t>
  </si>
  <si>
    <t>TXN2025-00713</t>
  </si>
  <si>
    <t>TXN2025-00714</t>
  </si>
  <si>
    <t>TXN2025-00715</t>
  </si>
  <si>
    <t>TXN2025-00716</t>
  </si>
  <si>
    <t>TXN2025-00717</t>
  </si>
  <si>
    <t>TXN2025-00718</t>
  </si>
  <si>
    <t>TXN2025-00719</t>
  </si>
  <si>
    <t>TXN2025-00720</t>
  </si>
  <si>
    <t>TXN2025-00721</t>
  </si>
  <si>
    <t>TXN2025-00722</t>
  </si>
  <si>
    <t>TXN2025-00723</t>
  </si>
  <si>
    <t>TXN2025-00724</t>
  </si>
  <si>
    <t>TXN2025-00725</t>
  </si>
  <si>
    <t>TXN2025-00726</t>
  </si>
  <si>
    <t>TXN2025-00727</t>
  </si>
  <si>
    <t>TXN2025-00728</t>
  </si>
  <si>
    <t>TXN2025-00729</t>
  </si>
  <si>
    <t>TXN2025-00730</t>
  </si>
  <si>
    <t>TXN2025-00731</t>
  </si>
  <si>
    <t>TXN2025-00732</t>
  </si>
  <si>
    <t>TXN2025-00733</t>
  </si>
  <si>
    <t>TXN2025-00734</t>
  </si>
  <si>
    <t>TXN2025-00735</t>
  </si>
  <si>
    <t>TXN2025-00736</t>
  </si>
  <si>
    <t>TXN2025-00737</t>
  </si>
  <si>
    <t>TXN2025-00738</t>
  </si>
  <si>
    <t>TXN2025-00739</t>
  </si>
  <si>
    <t>TXN2025-00740</t>
  </si>
  <si>
    <t>TXN2025-00741</t>
  </si>
  <si>
    <t>TXN2025-00742</t>
  </si>
  <si>
    <t>TXN2025-00743</t>
  </si>
  <si>
    <t>TXN2025-00744</t>
  </si>
  <si>
    <t>TXN2025-00745</t>
  </si>
  <si>
    <t>TXN2025-00746</t>
  </si>
  <si>
    <t>TXN2025-00747</t>
  </si>
  <si>
    <t>TXN2025-00748</t>
  </si>
  <si>
    <t>TXN2025-00749</t>
  </si>
  <si>
    <t>TXN2025-00750</t>
  </si>
  <si>
    <t>TXN2025-00751</t>
  </si>
  <si>
    <t>TXN2025-00752</t>
  </si>
  <si>
    <t>TXN2025-00753</t>
  </si>
  <si>
    <t>TXN2025-00754</t>
  </si>
  <si>
    <t>TXN2025-00755</t>
  </si>
  <si>
    <t>TXN2025-00756</t>
  </si>
  <si>
    <t>TXN2025-00757</t>
  </si>
  <si>
    <t>TXN2025-00758</t>
  </si>
  <si>
    <t>TXN2025-00759</t>
  </si>
  <si>
    <t>TXN2025-00760</t>
  </si>
  <si>
    <t>TXN2025-00761</t>
  </si>
  <si>
    <t>TXN2025-00762</t>
  </si>
  <si>
    <t>TXN2025-00763</t>
  </si>
  <si>
    <t>TXN2025-00764</t>
  </si>
  <si>
    <t>TXN2025-00765</t>
  </si>
  <si>
    <t>TXN2025-00766</t>
  </si>
  <si>
    <t>TXN2025-00767</t>
  </si>
  <si>
    <t>TXN2025-00768</t>
  </si>
  <si>
    <t>TXN2025-00769</t>
  </si>
  <si>
    <t>TXN2025-00770</t>
  </si>
  <si>
    <t>TXN2025-00771</t>
  </si>
  <si>
    <t>TXN2025-00772</t>
  </si>
  <si>
    <t>TXN2025-00773</t>
  </si>
  <si>
    <t>TXN2025-00774</t>
  </si>
  <si>
    <t>TXN2025-00775</t>
  </si>
  <si>
    <t>TXN2025-00776</t>
  </si>
  <si>
    <t>TXN2025-00777</t>
  </si>
  <si>
    <t>TXN2025-00778</t>
  </si>
  <si>
    <t>TXN2025-00779</t>
  </si>
  <si>
    <t>TXN2025-00780</t>
  </si>
  <si>
    <t>TXN2025-00781</t>
  </si>
  <si>
    <t>TXN2025-00782</t>
  </si>
  <si>
    <t>TXN2025-00783</t>
  </si>
  <si>
    <t>TXN2025-00784</t>
  </si>
  <si>
    <t>TXN2025-00785</t>
  </si>
  <si>
    <t>TXN2025-00786</t>
  </si>
  <si>
    <t>TXN2025-00787</t>
  </si>
  <si>
    <t>TXN2025-00788</t>
  </si>
  <si>
    <t>TXN2025-00789</t>
  </si>
  <si>
    <t>TXN2025-00790</t>
  </si>
  <si>
    <t>TXN2025-00791</t>
  </si>
  <si>
    <t>TXN2025-00792</t>
  </si>
  <si>
    <t>TXN2025-00793</t>
  </si>
  <si>
    <t>TXN2025-00794</t>
  </si>
  <si>
    <t>TXN2025-00795</t>
  </si>
  <si>
    <t>TXN2025-00796</t>
  </si>
  <si>
    <t>TXN2025-00797</t>
  </si>
  <si>
    <t>TXN2025-00798</t>
  </si>
  <si>
    <t>TXN2025-00799</t>
  </si>
  <si>
    <t>TXN2025-00800</t>
  </si>
  <si>
    <t>TXN2025-00801</t>
  </si>
  <si>
    <t>TXN2025-00802</t>
  </si>
  <si>
    <t>TXN2025-00803</t>
  </si>
  <si>
    <t>TXN2025-00804</t>
  </si>
  <si>
    <t>TXN2025-00805</t>
  </si>
  <si>
    <t>TXN2025-00806</t>
  </si>
  <si>
    <t>TXN2025-00807</t>
  </si>
  <si>
    <t>TXN2025-00808</t>
  </si>
  <si>
    <t>TXN2025-00809</t>
  </si>
  <si>
    <t>TXN2025-00810</t>
  </si>
  <si>
    <t>TXN2025-00811</t>
  </si>
  <si>
    <t>TXN2025-00812</t>
  </si>
  <si>
    <t>TXN2025-00813</t>
  </si>
  <si>
    <t>TXN2025-00814</t>
  </si>
  <si>
    <t>TXN2025-00815</t>
  </si>
  <si>
    <t>TXN2025-00816</t>
  </si>
  <si>
    <t>TXN2025-00817</t>
  </si>
  <si>
    <t>TXN2025-00818</t>
  </si>
  <si>
    <t>TXN2025-00819</t>
  </si>
  <si>
    <t>TXN2025-00820</t>
  </si>
  <si>
    <t>TXN2025-00821</t>
  </si>
  <si>
    <t>TXN2025-00822</t>
  </si>
  <si>
    <t>TXN2025-00823</t>
  </si>
  <si>
    <t>TXN2025-00824</t>
  </si>
  <si>
    <t>TXN2025-00825</t>
  </si>
  <si>
    <t>TXN2025-00826</t>
  </si>
  <si>
    <t>TXN2025-00827</t>
  </si>
  <si>
    <t>TXN2025-00828</t>
  </si>
  <si>
    <t>TXN2025-00829</t>
  </si>
  <si>
    <t>TXN2025-00830</t>
  </si>
  <si>
    <t>TXN2025-00831</t>
  </si>
  <si>
    <t>TXN2025-00832</t>
  </si>
  <si>
    <t>TXN2025-00833</t>
  </si>
  <si>
    <t>TXN2025-00834</t>
  </si>
  <si>
    <t>TXN2025-00835</t>
  </si>
  <si>
    <t>TXN2025-00836</t>
  </si>
  <si>
    <t>TXN2025-00837</t>
  </si>
  <si>
    <t>TXN2025-00838</t>
  </si>
  <si>
    <t>TXN2025-00839</t>
  </si>
  <si>
    <t>TXN2025-00840</t>
  </si>
  <si>
    <t>TXN2025-00841</t>
  </si>
  <si>
    <t>TXN2025-00842</t>
  </si>
  <si>
    <t>TXN2025-00843</t>
  </si>
  <si>
    <t>TXN2025-00844</t>
  </si>
  <si>
    <t>TXN2025-00845</t>
  </si>
  <si>
    <t>TXN2025-00846</t>
  </si>
  <si>
    <t>TXN2025-00847</t>
  </si>
  <si>
    <t>TXN2025-00848</t>
  </si>
  <si>
    <t>TXN2025-00849</t>
  </si>
  <si>
    <t>TXN2025-00850</t>
  </si>
  <si>
    <t>TXN2025-00851</t>
  </si>
  <si>
    <t>TXN2025-00852</t>
  </si>
  <si>
    <t>TXN2025-00853</t>
  </si>
  <si>
    <t>TXN2025-00854</t>
  </si>
  <si>
    <t>TXN2025-00855</t>
  </si>
  <si>
    <t>TXN2025-00856</t>
  </si>
  <si>
    <t>TXN2025-00857</t>
  </si>
  <si>
    <t>TXN2025-00858</t>
  </si>
  <si>
    <t>TXN2025-00859</t>
  </si>
  <si>
    <t>TXN2025-00860</t>
  </si>
  <si>
    <t>TXN2025-00861</t>
  </si>
  <si>
    <t>TXN2025-00862</t>
  </si>
  <si>
    <t>TXN2025-00863</t>
  </si>
  <si>
    <t>TXN2025-00864</t>
  </si>
  <si>
    <t>TXN2025-00865</t>
  </si>
  <si>
    <t>TXN2025-00866</t>
  </si>
  <si>
    <t>TXN2025-00867</t>
  </si>
  <si>
    <t>TXN2025-00868</t>
  </si>
  <si>
    <t>TXN2025-00869</t>
  </si>
  <si>
    <t>TXN2025-00870</t>
  </si>
  <si>
    <t>TXN2025-00871</t>
  </si>
  <si>
    <t>TXN2025-00872</t>
  </si>
  <si>
    <t>TXN2025-00873</t>
  </si>
  <si>
    <t>TXN2025-00874</t>
  </si>
  <si>
    <t>TXN2025-00875</t>
  </si>
  <si>
    <t>TXN2025-00876</t>
  </si>
  <si>
    <t>TXN2025-00877</t>
  </si>
  <si>
    <t>TXN2025-00878</t>
  </si>
  <si>
    <t>TXN2025-00879</t>
  </si>
  <si>
    <t>TXN2025-00880</t>
  </si>
  <si>
    <t>TXN2025-00881</t>
  </si>
  <si>
    <t>TXN2025-00882</t>
  </si>
  <si>
    <t>TXN2025-00883</t>
  </si>
  <si>
    <t>TXN2025-00884</t>
  </si>
  <si>
    <t>TXN2025-00885</t>
  </si>
  <si>
    <t>TXN2025-00886</t>
  </si>
  <si>
    <t>TXN2025-00887</t>
  </si>
  <si>
    <t>TXN2025-00888</t>
  </si>
  <si>
    <t>TXN2025-00889</t>
  </si>
  <si>
    <t>TXN2025-00890</t>
  </si>
  <si>
    <t>TXN2025-00891</t>
  </si>
  <si>
    <t>TXN2025-00892</t>
  </si>
  <si>
    <t>TXN2025-00893</t>
  </si>
  <si>
    <t>TXN2025-00894</t>
  </si>
  <si>
    <t>TXN2025-00895</t>
  </si>
  <si>
    <t>TXN2025-00896</t>
  </si>
  <si>
    <t>TXN2025-00897</t>
  </si>
  <si>
    <t>TXN2025-00898</t>
  </si>
  <si>
    <t>TXN2025-00899</t>
  </si>
  <si>
    <t>TXN2025-00900</t>
  </si>
  <si>
    <t>TXN2025-00901</t>
  </si>
  <si>
    <t>TXN2025-00902</t>
  </si>
  <si>
    <t>TXN2025-00903</t>
  </si>
  <si>
    <t>TXN2025-00904</t>
  </si>
  <si>
    <t>TXN2025-00905</t>
  </si>
  <si>
    <t>TXN2025-00906</t>
  </si>
  <si>
    <t>TXN2025-00907</t>
  </si>
  <si>
    <t>TXN2025-00908</t>
  </si>
  <si>
    <t>TXN2025-00909</t>
  </si>
  <si>
    <t>TXN2025-00910</t>
  </si>
  <si>
    <t>TXN2025-00911</t>
  </si>
  <si>
    <t>TXN2025-00912</t>
  </si>
  <si>
    <t>TXN2025-00913</t>
  </si>
  <si>
    <t>TXN2025-00914</t>
  </si>
  <si>
    <t>TXN2025-00915</t>
  </si>
  <si>
    <t>TXN2025-00916</t>
  </si>
  <si>
    <t>TXN2025-00917</t>
  </si>
  <si>
    <t>TXN2025-00918</t>
  </si>
  <si>
    <t>TXN2025-00919</t>
  </si>
  <si>
    <t>TXN2025-00920</t>
  </si>
  <si>
    <t>TXN2025-00921</t>
  </si>
  <si>
    <t>TXN2025-00922</t>
  </si>
  <si>
    <t>TXN2025-00923</t>
  </si>
  <si>
    <t>TXN2025-00924</t>
  </si>
  <si>
    <t>TXN2025-00925</t>
  </si>
  <si>
    <t>TXN2025-00926</t>
  </si>
  <si>
    <t>TXN2025-00927</t>
  </si>
  <si>
    <t>TXN2025-00928</t>
  </si>
  <si>
    <t>TXN2025-00929</t>
  </si>
  <si>
    <t>TXN2025-00930</t>
  </si>
  <si>
    <t>TXN2025-00931</t>
  </si>
  <si>
    <t>TXN2025-00932</t>
  </si>
  <si>
    <t>TXN2025-00933</t>
  </si>
  <si>
    <t>TXN2025-00934</t>
  </si>
  <si>
    <t>TXN2025-00935</t>
  </si>
  <si>
    <t>TXN2025-00936</t>
  </si>
  <si>
    <t>TXN2025-00937</t>
  </si>
  <si>
    <t>TXN2025-00938</t>
  </si>
  <si>
    <t>TXN2025-00939</t>
  </si>
  <si>
    <t>TXN2025-00940</t>
  </si>
  <si>
    <t>TXN2025-00941</t>
  </si>
  <si>
    <t>TXN2025-00942</t>
  </si>
  <si>
    <t>TXN2025-00943</t>
  </si>
  <si>
    <t>TXN2025-00944</t>
  </si>
  <si>
    <t>TXN2025-00945</t>
  </si>
  <si>
    <t>TXN2025-00946</t>
  </si>
  <si>
    <t>TXN2025-00947</t>
  </si>
  <si>
    <t>TXN2025-00948</t>
  </si>
  <si>
    <t>TXN2025-00949</t>
  </si>
  <si>
    <t>TXN2025-00950</t>
  </si>
  <si>
    <t>TXN2025-00951</t>
  </si>
  <si>
    <t>TXN2025-00952</t>
  </si>
  <si>
    <t>TXN2025-00953</t>
  </si>
  <si>
    <t>TXN2025-00954</t>
  </si>
  <si>
    <t>TXN2025-00955</t>
  </si>
  <si>
    <t>TXN2025-00956</t>
  </si>
  <si>
    <t>TXN2025-00957</t>
  </si>
  <si>
    <t>TXN2025-00958</t>
  </si>
  <si>
    <t>TXN2025-00959</t>
  </si>
  <si>
    <t>TXN2025-00960</t>
  </si>
  <si>
    <t>TXN2025-00961</t>
  </si>
  <si>
    <t>TXN2025-00962</t>
  </si>
  <si>
    <t>TXN2025-00963</t>
  </si>
  <si>
    <t>TXN2025-00964</t>
  </si>
  <si>
    <t>TXN2025-00965</t>
  </si>
  <si>
    <t>TXN2025-00966</t>
  </si>
  <si>
    <t>TXN2025-00967</t>
  </si>
  <si>
    <t>TXN2025-00968</t>
  </si>
  <si>
    <t>TXN2025-00969</t>
  </si>
  <si>
    <t>TXN2025-00970</t>
  </si>
  <si>
    <t>TXN2025-00971</t>
  </si>
  <si>
    <t>TXN2025-00972</t>
  </si>
  <si>
    <t>TXN2025-00973</t>
  </si>
  <si>
    <t>TXN2025-00974</t>
  </si>
  <si>
    <t>TXN2025-00975</t>
  </si>
  <si>
    <t>TXN2025-00976</t>
  </si>
  <si>
    <t>TXN2025-00977</t>
  </si>
  <si>
    <t>TXN2025-00978</t>
  </si>
  <si>
    <t>TXN2025-00979</t>
  </si>
  <si>
    <t>TXN2025-00980</t>
  </si>
  <si>
    <t>TXN2025-00981</t>
  </si>
  <si>
    <t>TXN2025-00982</t>
  </si>
  <si>
    <t>TXN2025-00983</t>
  </si>
  <si>
    <t>TXN2025-00984</t>
  </si>
  <si>
    <t>TXN2025-00985</t>
  </si>
  <si>
    <t>TXN2025-00986</t>
  </si>
  <si>
    <t>TXN2025-00987</t>
  </si>
  <si>
    <t>TXN2025-00988</t>
  </si>
  <si>
    <t>TXN2025-00989</t>
  </si>
  <si>
    <t>TXN2025-00990</t>
  </si>
  <si>
    <t>TXN2025-00991</t>
  </si>
  <si>
    <t>TXN2025-00992</t>
  </si>
  <si>
    <t>TXN2025-00993</t>
  </si>
  <si>
    <t>TXN2025-00994</t>
  </si>
  <si>
    <t>TXN2025-00995</t>
  </si>
  <si>
    <t>TXN2025-00996</t>
  </si>
  <si>
    <t>TXN2025-00997</t>
  </si>
  <si>
    <t>TXN2025-00998</t>
  </si>
  <si>
    <t>TXN2025-00999</t>
  </si>
  <si>
    <t>TXN2025-01000</t>
  </si>
  <si>
    <t>TXN2025-01001</t>
  </si>
  <si>
    <t>TXN2025-01002</t>
  </si>
  <si>
    <t>TXN2025-01003</t>
  </si>
  <si>
    <t>TXN2025-01004</t>
  </si>
  <si>
    <t>TXN2025-01005</t>
  </si>
  <si>
    <t>TXN2025-01006</t>
  </si>
  <si>
    <t>TXN2025-01007</t>
  </si>
  <si>
    <t>TXN2025-01008</t>
  </si>
  <si>
    <t>TXN2025-01009</t>
  </si>
  <si>
    <t>TXN2025-01010</t>
  </si>
  <si>
    <t>TXN2025-01011</t>
  </si>
  <si>
    <t>TXN2025-01012</t>
  </si>
  <si>
    <t>TXN2025-01013</t>
  </si>
  <si>
    <t>TXN2025-01014</t>
  </si>
  <si>
    <t>TXN2025-01015</t>
  </si>
  <si>
    <t>TXN2025-01016</t>
  </si>
  <si>
    <t>TXN2025-01017</t>
  </si>
  <si>
    <t>TXN2025-01018</t>
  </si>
  <si>
    <t>TXN2025-01019</t>
  </si>
  <si>
    <t>TXN2025-01020</t>
  </si>
  <si>
    <t>TXN2025-01021</t>
  </si>
  <si>
    <t>TXN2025-01022</t>
  </si>
  <si>
    <t>TXN2025-01023</t>
  </si>
  <si>
    <t>TXN2025-01024</t>
  </si>
  <si>
    <t>TXN2025-01025</t>
  </si>
  <si>
    <t>TXN2025-01026</t>
  </si>
  <si>
    <t>TXN2025-01027</t>
  </si>
  <si>
    <t>TXN2025-01028</t>
  </si>
  <si>
    <t>TXN2025-01029</t>
  </si>
  <si>
    <t>TXN2025-01030</t>
  </si>
  <si>
    <t>TXN2025-01031</t>
  </si>
  <si>
    <t>TXN2025-01032</t>
  </si>
  <si>
    <t>TXN2025-01033</t>
  </si>
  <si>
    <t>TXN2025-01034</t>
  </si>
  <si>
    <t>TXN2025-01035</t>
  </si>
  <si>
    <t>TXN2025-01036</t>
  </si>
  <si>
    <t>TXN2025-01037</t>
  </si>
  <si>
    <t>TXN2025-01038</t>
  </si>
  <si>
    <t>TXN2025-01039</t>
  </si>
  <si>
    <t>TXN2025-01040</t>
  </si>
  <si>
    <t>TXN2025-01041</t>
  </si>
  <si>
    <t>TXN2025-01042</t>
  </si>
  <si>
    <t>TXN2025-01043</t>
  </si>
  <si>
    <t>TXN2025-01044</t>
  </si>
  <si>
    <t>TXN2025-01045</t>
  </si>
  <si>
    <t>TXN2025-01046</t>
  </si>
  <si>
    <t>TXN2025-01047</t>
  </si>
  <si>
    <t>TXN2025-01048</t>
  </si>
  <si>
    <t>TXN2025-01049</t>
  </si>
  <si>
    <t>TXN2025-01050</t>
  </si>
  <si>
    <t>TXN2025-01051</t>
  </si>
  <si>
    <t>TXN2025-01052</t>
  </si>
  <si>
    <t>TXN2025-01053</t>
  </si>
  <si>
    <t>TXN2025-01054</t>
  </si>
  <si>
    <t>TXN2025-01055</t>
  </si>
  <si>
    <t>TXN2025-01056</t>
  </si>
  <si>
    <t>TXN2025-01057</t>
  </si>
  <si>
    <t>TXN2025-01058</t>
  </si>
  <si>
    <t>TXN2025-01059</t>
  </si>
  <si>
    <t>TXN2025-01060</t>
  </si>
  <si>
    <t>TXN2025-01061</t>
  </si>
  <si>
    <t>TXN2025-01062</t>
  </si>
  <si>
    <t>TXN2025-01063</t>
  </si>
  <si>
    <t>TXN2025-01064</t>
  </si>
  <si>
    <t>TXN2025-01065</t>
  </si>
  <si>
    <t>TXN2025-01066</t>
  </si>
  <si>
    <t>TXN2025-01067</t>
  </si>
  <si>
    <t>TXN2025-01068</t>
  </si>
  <si>
    <t>TXN2025-01069</t>
  </si>
  <si>
    <t>TXN2025-01070</t>
  </si>
  <si>
    <t>TXN2025-01071</t>
  </si>
  <si>
    <t>TXN2025-01072</t>
  </si>
  <si>
    <t>TXN2025-01073</t>
  </si>
  <si>
    <t>TXN2025-01074</t>
  </si>
  <si>
    <t>TXN2025-01075</t>
  </si>
  <si>
    <t>TXN2025-01076</t>
  </si>
  <si>
    <t>TXN2025-01077</t>
  </si>
  <si>
    <t>TXN2025-01078</t>
  </si>
  <si>
    <t>TXN2025-01079</t>
  </si>
  <si>
    <t>TXN2025-01080</t>
  </si>
  <si>
    <t>TXN2025-01081</t>
  </si>
  <si>
    <t>TXN2025-01082</t>
  </si>
  <si>
    <t>TXN2025-01083</t>
  </si>
  <si>
    <t>TXN2025-01084</t>
  </si>
  <si>
    <t>TXN2025-01085</t>
  </si>
  <si>
    <t>TXN2025-01086</t>
  </si>
  <si>
    <t>TXN2025-01087</t>
  </si>
  <si>
    <t>TXN2025-01088</t>
  </si>
  <si>
    <t>TXN2025-01089</t>
  </si>
  <si>
    <t>TXN2025-01090</t>
  </si>
  <si>
    <t>TXN2025-01091</t>
  </si>
  <si>
    <t>TXN2025-01092</t>
  </si>
  <si>
    <t>TXN2025-01093</t>
  </si>
  <si>
    <t>TXN2025-01094</t>
  </si>
  <si>
    <t>TXN2025-01095</t>
  </si>
  <si>
    <t>TXN2025-01096</t>
  </si>
  <si>
    <t>TXN2025-01097</t>
  </si>
  <si>
    <t>TXN2025-01098</t>
  </si>
  <si>
    <t>TXN2025-01099</t>
  </si>
  <si>
    <t>TXN2025-01100</t>
  </si>
  <si>
    <t>TXN2025-01101</t>
  </si>
  <si>
    <t>TXN2025-01102</t>
  </si>
  <si>
    <t>TXN2025-01103</t>
  </si>
  <si>
    <t>TXN2025-01104</t>
  </si>
  <si>
    <t>TXN2025-01105</t>
  </si>
  <si>
    <t>TXN2025-01106</t>
  </si>
  <si>
    <t>TXN2025-01107</t>
  </si>
  <si>
    <t>TXN2025-01108</t>
  </si>
  <si>
    <t>TXN2025-01109</t>
  </si>
  <si>
    <t>TXN2025-01110</t>
  </si>
  <si>
    <t>TXN2025-01111</t>
  </si>
  <si>
    <t>TXN2025-01112</t>
  </si>
  <si>
    <t>TXN2025-01113</t>
  </si>
  <si>
    <t>TXN2025-01114</t>
  </si>
  <si>
    <t>TXN2025-01115</t>
  </si>
  <si>
    <t>TXN2025-01116</t>
  </si>
  <si>
    <t>TXN2025-01117</t>
  </si>
  <si>
    <t>TXN2025-01118</t>
  </si>
  <si>
    <t>TXN2025-01119</t>
  </si>
  <si>
    <t>TXN2025-01120</t>
  </si>
  <si>
    <t>TXN2025-01121</t>
  </si>
  <si>
    <t>TXN2025-01122</t>
  </si>
  <si>
    <t>TXN2025-01123</t>
  </si>
  <si>
    <t>TXN2025-01124</t>
  </si>
  <si>
    <t>TXN2025-01125</t>
  </si>
  <si>
    <t>TXN2025-01126</t>
  </si>
  <si>
    <t>TXN2025-01127</t>
  </si>
  <si>
    <t>TXN2025-01128</t>
  </si>
  <si>
    <t>TXN2025-01129</t>
  </si>
  <si>
    <t>TXN2025-01130</t>
  </si>
  <si>
    <t>TXN2025-01131</t>
  </si>
  <si>
    <t>TXN2025-01132</t>
  </si>
  <si>
    <t>TXN2025-01133</t>
  </si>
  <si>
    <t>TXN2025-01134</t>
  </si>
  <si>
    <t>TXN2025-01135</t>
  </si>
  <si>
    <t>TXN2025-01136</t>
  </si>
  <si>
    <t>TXN2025-01137</t>
  </si>
  <si>
    <t>TXN2025-01138</t>
  </si>
  <si>
    <t>TXN2025-01139</t>
  </si>
  <si>
    <t>TXN2025-01140</t>
  </si>
  <si>
    <t>TXN2025-01141</t>
  </si>
  <si>
    <t>TXN2025-01142</t>
  </si>
  <si>
    <t>TXN2025-01143</t>
  </si>
  <si>
    <t>TXN2025-01144</t>
  </si>
  <si>
    <t>TXN2025-01145</t>
  </si>
  <si>
    <t>TXN2025-01146</t>
  </si>
  <si>
    <t>TXN2025-01147</t>
  </si>
  <si>
    <t>TXN2025-01148</t>
  </si>
  <si>
    <t>TXN2025-01149</t>
  </si>
  <si>
    <t>TXN2025-01150</t>
  </si>
  <si>
    <t>TXN2025-01151</t>
  </si>
  <si>
    <t>TXN2025-01152</t>
  </si>
  <si>
    <t>TXN2025-01153</t>
  </si>
  <si>
    <t>TXN2025-01154</t>
  </si>
  <si>
    <t>TXN2025-01155</t>
  </si>
  <si>
    <t>TXN2025-01156</t>
  </si>
  <si>
    <t>TXN2025-01157</t>
  </si>
  <si>
    <t>TXN2025-01158</t>
  </si>
  <si>
    <t>TXN2025-01159</t>
  </si>
  <si>
    <t>TXN2025-01160</t>
  </si>
  <si>
    <t>TXN2025-01161</t>
  </si>
  <si>
    <t>TXN2025-01162</t>
  </si>
  <si>
    <t>TXN2025-01163</t>
  </si>
  <si>
    <t>TXN2025-01164</t>
  </si>
  <si>
    <t>TXN2025-01165</t>
  </si>
  <si>
    <t>TXN2025-01166</t>
  </si>
  <si>
    <t>TXN2025-01167</t>
  </si>
  <si>
    <t>TXN2025-01168</t>
  </si>
  <si>
    <t>TXN2025-01169</t>
  </si>
  <si>
    <t>TXN2025-01170</t>
  </si>
  <si>
    <t>TXN2025-01171</t>
  </si>
  <si>
    <t>TXN2025-01172</t>
  </si>
  <si>
    <t>TXN2025-01173</t>
  </si>
  <si>
    <t>TXN2025-01174</t>
  </si>
  <si>
    <t>TXN2025-01175</t>
  </si>
  <si>
    <t>TXN2025-01176</t>
  </si>
  <si>
    <t>TXN2025-01177</t>
  </si>
  <si>
    <t>TXN2025-01178</t>
  </si>
  <si>
    <t>TXN2025-01179</t>
  </si>
  <si>
    <t>TXN2025-01180</t>
  </si>
  <si>
    <t>TXN2025-01181</t>
  </si>
  <si>
    <t>TXN2025-01182</t>
  </si>
  <si>
    <t>TXN2025-01183</t>
  </si>
  <si>
    <t>TXN2025-01184</t>
  </si>
  <si>
    <t>TXN2025-01185</t>
  </si>
  <si>
    <t>TXN2025-01186</t>
  </si>
  <si>
    <t>TXN2025-01187</t>
  </si>
  <si>
    <t>TXN2025-01188</t>
  </si>
  <si>
    <t>TXN2025-01189</t>
  </si>
  <si>
    <t>TXN2025-01190</t>
  </si>
  <si>
    <t>TXN2025-01191</t>
  </si>
  <si>
    <t>TXN2025-01192</t>
  </si>
  <si>
    <t>TXN2025-01193</t>
  </si>
  <si>
    <t>TXN2025-01194</t>
  </si>
  <si>
    <t>TXN2025-01195</t>
  </si>
  <si>
    <t>TXN2025-01196</t>
  </si>
  <si>
    <t>TXN2025-01197</t>
  </si>
  <si>
    <t>TXN2025-01198</t>
  </si>
  <si>
    <t>TXN2025-01199</t>
  </si>
  <si>
    <t>TXN2025-01200</t>
  </si>
  <si>
    <t>TXN2025-01201</t>
  </si>
  <si>
    <t>TXN2025-01202</t>
  </si>
  <si>
    <t>TXN2025-01203</t>
  </si>
  <si>
    <t>TXN2025-01204</t>
  </si>
  <si>
    <t>TXN2025-01205</t>
  </si>
  <si>
    <t>TXN2025-01206</t>
  </si>
  <si>
    <t>TXN2025-01207</t>
  </si>
  <si>
    <t>TXN2025-01208</t>
  </si>
  <si>
    <t>TXN2025-01209</t>
  </si>
  <si>
    <t>TXN2025-01210</t>
  </si>
  <si>
    <t>TXN2025-01211</t>
  </si>
  <si>
    <t>TXN2025-01212</t>
  </si>
  <si>
    <t>TXN2025-01213</t>
  </si>
  <si>
    <t>TXN2025-01214</t>
  </si>
  <si>
    <t>TXN2025-01215</t>
  </si>
  <si>
    <t>TXN2025-01216</t>
  </si>
  <si>
    <t>TXN2025-01217</t>
  </si>
  <si>
    <t>TXN2025-01218</t>
  </si>
  <si>
    <t>TXN2025-01219</t>
  </si>
  <si>
    <t>TXN2025-01220</t>
  </si>
  <si>
    <t>TXN2025-01221</t>
  </si>
  <si>
    <t>TXN2025-01222</t>
  </si>
  <si>
    <t>TXN2025-01223</t>
  </si>
  <si>
    <t>TXN2025-01224</t>
  </si>
  <si>
    <t>TXN2025-01225</t>
  </si>
  <si>
    <t>TXN2025-01226</t>
  </si>
  <si>
    <t>TXN2025-01227</t>
  </si>
  <si>
    <t>TXN2025-01228</t>
  </si>
  <si>
    <t>TXN2025-01229</t>
  </si>
  <si>
    <t>TXN2025-01230</t>
  </si>
  <si>
    <t>TXN2025-01231</t>
  </si>
  <si>
    <t>TXN2025-01232</t>
  </si>
  <si>
    <t>TXN2025-01233</t>
  </si>
  <si>
    <t>TXN2025-01234</t>
  </si>
  <si>
    <t>TXN2025-01235</t>
  </si>
  <si>
    <t>TXN2025-01236</t>
  </si>
  <si>
    <t>TXN2025-01237</t>
  </si>
  <si>
    <t>TXN2025-01238</t>
  </si>
  <si>
    <t>TXN2025-01239</t>
  </si>
  <si>
    <t>TXN2025-01240</t>
  </si>
  <si>
    <t>TXN2025-01241</t>
  </si>
  <si>
    <t>TXN2025-01242</t>
  </si>
  <si>
    <t>TXN2025-01243</t>
  </si>
  <si>
    <t>TXN2025-01244</t>
  </si>
  <si>
    <t>TXN2025-01245</t>
  </si>
  <si>
    <t>TXN2025-01246</t>
  </si>
  <si>
    <t>TXN2025-01247</t>
  </si>
  <si>
    <t>TXN2025-01248</t>
  </si>
  <si>
    <t>TXN2025-01249</t>
  </si>
  <si>
    <t>TXN2025-01250</t>
  </si>
  <si>
    <t>TXN2025-01251</t>
  </si>
  <si>
    <t>TXN2025-01252</t>
  </si>
  <si>
    <t>TXN2025-01253</t>
  </si>
  <si>
    <t>TXN2025-01254</t>
  </si>
  <si>
    <t>TXN2025-01255</t>
  </si>
  <si>
    <t>TXN2025-01256</t>
  </si>
  <si>
    <t>TXN2025-01257</t>
  </si>
  <si>
    <t>TXN2025-01258</t>
  </si>
  <si>
    <t>TXN2025-01259</t>
  </si>
  <si>
    <t>TXN2025-01260</t>
  </si>
  <si>
    <t>TXN2025-01261</t>
  </si>
  <si>
    <t>TXN2025-01262</t>
  </si>
  <si>
    <t>TXN2025-01263</t>
  </si>
  <si>
    <t>TXN2025-01264</t>
  </si>
  <si>
    <t>TXN2025-01265</t>
  </si>
  <si>
    <t>TXN2025-01266</t>
  </si>
  <si>
    <t>TXN2025-01267</t>
  </si>
  <si>
    <t>TXN2025-01268</t>
  </si>
  <si>
    <t>TXN2025-01269</t>
  </si>
  <si>
    <t>TXN2025-01270</t>
  </si>
  <si>
    <t>TXN2025-01271</t>
  </si>
  <si>
    <t>TXN2025-01272</t>
  </si>
  <si>
    <t>TXN2025-01273</t>
  </si>
  <si>
    <t>TXN2025-01274</t>
  </si>
  <si>
    <t>TXN2025-01275</t>
  </si>
  <si>
    <t>TXN2025-01276</t>
  </si>
  <si>
    <t>TXN2025-01277</t>
  </si>
  <si>
    <t>TXN2025-01278</t>
  </si>
  <si>
    <t>TXN2025-01279</t>
  </si>
  <si>
    <t>TXN2025-01280</t>
  </si>
  <si>
    <t>TXN2025-01281</t>
  </si>
  <si>
    <t>TXN2025-01282</t>
  </si>
  <si>
    <t>TXN2025-01283</t>
  </si>
  <si>
    <t>TXN2025-01284</t>
  </si>
  <si>
    <t>TXN2025-01285</t>
  </si>
  <si>
    <t>TXN2025-01286</t>
  </si>
  <si>
    <t>TXN2025-01287</t>
  </si>
  <si>
    <t>TXN2025-01288</t>
  </si>
  <si>
    <t>TXN2025-01289</t>
  </si>
  <si>
    <t>TXN2025-01290</t>
  </si>
  <si>
    <t>TXN2025-01291</t>
  </si>
  <si>
    <t>TXN2025-01292</t>
  </si>
  <si>
    <t>TXN2025-01293</t>
  </si>
  <si>
    <t>TXN2025-01294</t>
  </si>
  <si>
    <t>TXN2025-01295</t>
  </si>
  <si>
    <t>TXN2025-01296</t>
  </si>
  <si>
    <t>TXN2025-01297</t>
  </si>
  <si>
    <t>TXN2025-01298</t>
  </si>
  <si>
    <t>TXN2025-01299</t>
  </si>
  <si>
    <t>TXN2025-01300</t>
  </si>
  <si>
    <t>TXN2025-01301</t>
  </si>
  <si>
    <t>TXN2025-01302</t>
  </si>
  <si>
    <t>TXN2025-01303</t>
  </si>
  <si>
    <t>TXN2025-01304</t>
  </si>
  <si>
    <t>TXN2025-01305</t>
  </si>
  <si>
    <t>TXN2025-01306</t>
  </si>
  <si>
    <t>TXN2025-01307</t>
  </si>
  <si>
    <t>TXN2025-01308</t>
  </si>
  <si>
    <t>TXN2025-01309</t>
  </si>
  <si>
    <t>TXN2025-01310</t>
  </si>
  <si>
    <t>TXN2025-01311</t>
  </si>
  <si>
    <t>TXN2025-01312</t>
  </si>
  <si>
    <t>TXN2025-01313</t>
  </si>
  <si>
    <t>TXN2025-01314</t>
  </si>
  <si>
    <t>TXN2025-01315</t>
  </si>
  <si>
    <t>TXN2025-01316</t>
  </si>
  <si>
    <t>TXN2025-01317</t>
  </si>
  <si>
    <t>TXN2025-01318</t>
  </si>
  <si>
    <t>TXN2025-01319</t>
  </si>
  <si>
    <t>TXN2025-01320</t>
  </si>
  <si>
    <t>TXN2025-01321</t>
  </si>
  <si>
    <t>TXN2025-01322</t>
  </si>
  <si>
    <t>TXN2025-01323</t>
  </si>
  <si>
    <t>TXN2025-01324</t>
  </si>
  <si>
    <t>TXN2025-01325</t>
  </si>
  <si>
    <t>TXN2025-01326</t>
  </si>
  <si>
    <t>TXN2025-01327</t>
  </si>
  <si>
    <t>TXN2025-01328</t>
  </si>
  <si>
    <t>TXN2025-01329</t>
  </si>
  <si>
    <t>TXN2025-01330</t>
  </si>
  <si>
    <t>TXN2025-01331</t>
  </si>
  <si>
    <t>TXN2025-01332</t>
  </si>
  <si>
    <t>TXN2025-01333</t>
  </si>
  <si>
    <t>TXN2025-01334</t>
  </si>
  <si>
    <t>TXN2025-01335</t>
  </si>
  <si>
    <t>TXN2025-01336</t>
  </si>
  <si>
    <t>TXN2025-01337</t>
  </si>
  <si>
    <t>TXN2025-01338</t>
  </si>
  <si>
    <t>TXN2025-01339</t>
  </si>
  <si>
    <t>TXN2025-01340</t>
  </si>
  <si>
    <t>TXN2025-01341</t>
  </si>
  <si>
    <t>TXN2025-01342</t>
  </si>
  <si>
    <t>TXN2025-01343</t>
  </si>
  <si>
    <t>TXN2025-01344</t>
  </si>
  <si>
    <t>TXN2025-01345</t>
  </si>
  <si>
    <t>TXN2025-01346</t>
  </si>
  <si>
    <t>TXN2025-01347</t>
  </si>
  <si>
    <t>TXN2025-01348</t>
  </si>
  <si>
    <t>TXN2025-01349</t>
  </si>
  <si>
    <t>TXN2025-01350</t>
  </si>
  <si>
    <t>TXN2025-01351</t>
  </si>
  <si>
    <t>TXN2025-01352</t>
  </si>
  <si>
    <t>TXN2025-01353</t>
  </si>
  <si>
    <t>TXN2025-01354</t>
  </si>
  <si>
    <t>TXN2025-01355</t>
  </si>
  <si>
    <t>TXN2025-01356</t>
  </si>
  <si>
    <t>TXN2025-01357</t>
  </si>
  <si>
    <t>TXN2025-01358</t>
  </si>
  <si>
    <t>TXN2025-01359</t>
  </si>
  <si>
    <t>TXN2025-01360</t>
  </si>
  <si>
    <t>TXN2025-01361</t>
  </si>
  <si>
    <t>TXN2025-01362</t>
  </si>
  <si>
    <t>TXN2025-01363</t>
  </si>
  <si>
    <t>TXN2025-01364</t>
  </si>
  <si>
    <t>TXN2025-01365</t>
  </si>
  <si>
    <t>TXN2025-01366</t>
  </si>
  <si>
    <t>TXN2025-01367</t>
  </si>
  <si>
    <t>TXN2025-01368</t>
  </si>
  <si>
    <t>TXN2025-01369</t>
  </si>
  <si>
    <t>TXN2025-01370</t>
  </si>
  <si>
    <t>TXN2025-01371</t>
  </si>
  <si>
    <t>TXN2025-01372</t>
  </si>
  <si>
    <t>TXN2025-01373</t>
  </si>
  <si>
    <t>TXN2025-01374</t>
  </si>
  <si>
    <t>TXN2025-01375</t>
  </si>
  <si>
    <t>TXN2025-01376</t>
  </si>
  <si>
    <t>TXN2025-01377</t>
  </si>
  <si>
    <t>TXN2025-01378</t>
  </si>
  <si>
    <t>TXN2025-01379</t>
  </si>
  <si>
    <t>TXN2025-01380</t>
  </si>
  <si>
    <t>TXN2025-01381</t>
  </si>
  <si>
    <t>TXN2025-01382</t>
  </si>
  <si>
    <t>TXN2025-01383</t>
  </si>
  <si>
    <t>TXN2025-01384</t>
  </si>
  <si>
    <t>TXN2025-01385</t>
  </si>
  <si>
    <t>TXN2025-01386</t>
  </si>
  <si>
    <t>TXN2025-01387</t>
  </si>
  <si>
    <t>TXN2025-01388</t>
  </si>
  <si>
    <t>TXN2025-01389</t>
  </si>
  <si>
    <t>TXN2025-01390</t>
  </si>
  <si>
    <t>TXN2025-01391</t>
  </si>
  <si>
    <t>TXN2025-01392</t>
  </si>
  <si>
    <t>TXN2025-01393</t>
  </si>
  <si>
    <t>TXN2025-01394</t>
  </si>
  <si>
    <t>TXN2025-01395</t>
  </si>
  <si>
    <t>TXN2025-01396</t>
  </si>
  <si>
    <t>TXN2025-01397</t>
  </si>
  <si>
    <t>TXN2025-01398</t>
  </si>
  <si>
    <t>TXN2025-01399</t>
  </si>
  <si>
    <t>TXN2025-01400</t>
  </si>
  <si>
    <t>TXN2025-01401</t>
  </si>
  <si>
    <t>TXN2025-01402</t>
  </si>
  <si>
    <t>TXN2025-01403</t>
  </si>
  <si>
    <t>TXN2025-01404</t>
  </si>
  <si>
    <t>TXN2025-01405</t>
  </si>
  <si>
    <t>TXN2025-01406</t>
  </si>
  <si>
    <t>TXN2025-01407</t>
  </si>
  <si>
    <t>TXN2025-01408</t>
  </si>
  <si>
    <t>TXN2025-01409</t>
  </si>
  <si>
    <t>TXN2025-01410</t>
  </si>
  <si>
    <t>TXN2025-01411</t>
  </si>
  <si>
    <t>TXN2025-01412</t>
  </si>
  <si>
    <t>TXN2025-01413</t>
  </si>
  <si>
    <t>TXN2025-01414</t>
  </si>
  <si>
    <t>TXN2025-01415</t>
  </si>
  <si>
    <t>TXN2025-01416</t>
  </si>
  <si>
    <t>TXN2025-01417</t>
  </si>
  <si>
    <t>TXN2025-01418</t>
  </si>
  <si>
    <t>TXN2025-01419</t>
  </si>
  <si>
    <t>TXN2025-01420</t>
  </si>
  <si>
    <t>TXN2025-01421</t>
  </si>
  <si>
    <t>TXN2025-01422</t>
  </si>
  <si>
    <t>TXN2025-01423</t>
  </si>
  <si>
    <t>TXN2025-01424</t>
  </si>
  <si>
    <t>TXN2025-01425</t>
  </si>
  <si>
    <t>TXN2025-01426</t>
  </si>
  <si>
    <t>TXN2025-01427</t>
  </si>
  <si>
    <t>TXN2025-01428</t>
  </si>
  <si>
    <t>TXN2025-01429</t>
  </si>
  <si>
    <t>TXN2025-01430</t>
  </si>
  <si>
    <t>TXN2025-01431</t>
  </si>
  <si>
    <t>TXN2025-01432</t>
  </si>
  <si>
    <t>TXN2025-01433</t>
  </si>
  <si>
    <t>TXN2025-01434</t>
  </si>
  <si>
    <t>TXN2025-01435</t>
  </si>
  <si>
    <t>TXN2025-01436</t>
  </si>
  <si>
    <t>TXN2025-01437</t>
  </si>
  <si>
    <t>TXN2025-01438</t>
  </si>
  <si>
    <t>TXN2025-01439</t>
  </si>
  <si>
    <t>TXN2025-01440</t>
  </si>
  <si>
    <t>TXN2025-01441</t>
  </si>
  <si>
    <t>TXN2025-01442</t>
  </si>
  <si>
    <t>TXN2025-01443</t>
  </si>
  <si>
    <t>TXN2025-01444</t>
  </si>
  <si>
    <t>TXN2025-01445</t>
  </si>
  <si>
    <t>TXN2025-01446</t>
  </si>
  <si>
    <t>TXN2025-01447</t>
  </si>
  <si>
    <t>TXN2025-01448</t>
  </si>
  <si>
    <t>TXN2025-01449</t>
  </si>
  <si>
    <t>TXN2025-01450</t>
  </si>
  <si>
    <t>TXN2025-01451</t>
  </si>
  <si>
    <t>TXN2025-01452</t>
  </si>
  <si>
    <t>TXN2025-01453</t>
  </si>
  <si>
    <t>TXN2025-01454</t>
  </si>
  <si>
    <t>TXN2025-01455</t>
  </si>
  <si>
    <t>TXN2025-01456</t>
  </si>
  <si>
    <t>TXN2025-01457</t>
  </si>
  <si>
    <t>TXN2025-01458</t>
  </si>
  <si>
    <t>TXN2025-01459</t>
  </si>
  <si>
    <t>TXN2025-01460</t>
  </si>
  <si>
    <t>TXN2025-01461</t>
  </si>
  <si>
    <t>TXN2025-01462</t>
  </si>
  <si>
    <t>TXN2025-01463</t>
  </si>
  <si>
    <t>TXN2025-01464</t>
  </si>
  <si>
    <t>TXN2025-01465</t>
  </si>
  <si>
    <t>TXN2025-01466</t>
  </si>
  <si>
    <t>TXN2025-01467</t>
  </si>
  <si>
    <t>TXN2025-01468</t>
  </si>
  <si>
    <t>TXN2025-01469</t>
  </si>
  <si>
    <t>TXN2025-01470</t>
  </si>
  <si>
    <t>TXN2025-01471</t>
  </si>
  <si>
    <t>TXN2025-01472</t>
  </si>
  <si>
    <t>TXN2025-01473</t>
  </si>
  <si>
    <t>TXN2025-01474</t>
  </si>
  <si>
    <t>TXN2025-01475</t>
  </si>
  <si>
    <t>TXN2025-01476</t>
  </si>
  <si>
    <t>TXN2025-01477</t>
  </si>
  <si>
    <t>TXN2025-01478</t>
  </si>
  <si>
    <t>TXN2025-01479</t>
  </si>
  <si>
    <t>TXN2025-01480</t>
  </si>
  <si>
    <t>TXN2025-01481</t>
  </si>
  <si>
    <t>TXN2025-01482</t>
  </si>
  <si>
    <t>TXN2025-01483</t>
  </si>
  <si>
    <t>TXN2025-01484</t>
  </si>
  <si>
    <t>TXN2025-01485</t>
  </si>
  <si>
    <t>TXN2025-01486</t>
  </si>
  <si>
    <t>TXN2025-01487</t>
  </si>
  <si>
    <t>TXN2025-01488</t>
  </si>
  <si>
    <t>TXN2025-01489</t>
  </si>
  <si>
    <t>TXN2025-01490</t>
  </si>
  <si>
    <t>TXN2025-01491</t>
  </si>
  <si>
    <t>TXN2025-01492</t>
  </si>
  <si>
    <t>TXN2025-01493</t>
  </si>
  <si>
    <t>TXN2025-01494</t>
  </si>
  <si>
    <t>TXN2025-01495</t>
  </si>
  <si>
    <t>TXN2025-01496</t>
  </si>
  <si>
    <t>TXN2025-01497</t>
  </si>
  <si>
    <t>TXN2025-01498</t>
  </si>
  <si>
    <t>TXN2025-01499</t>
  </si>
  <si>
    <t>TXN2025-01500</t>
  </si>
  <si>
    <t>TXN2025-01501</t>
  </si>
  <si>
    <t>TXN2025-01502</t>
  </si>
  <si>
    <t>TXN2025-01503</t>
  </si>
  <si>
    <t>TXN2025-01504</t>
  </si>
  <si>
    <t>TXN2025-01505</t>
  </si>
  <si>
    <t>TXN2025-01506</t>
  </si>
  <si>
    <t>TXN2025-01507</t>
  </si>
  <si>
    <t>TXN2025-01508</t>
  </si>
  <si>
    <t>TXN2025-01509</t>
  </si>
  <si>
    <t>TXN2025-01510</t>
  </si>
  <si>
    <t>TXN2025-01511</t>
  </si>
  <si>
    <t>TXN2025-01512</t>
  </si>
  <si>
    <t>TXN2025-01513</t>
  </si>
  <si>
    <t>TXN2025-01514</t>
  </si>
  <si>
    <t>TXN2025-01515</t>
  </si>
  <si>
    <t>TXN2025-01516</t>
  </si>
  <si>
    <t>TXN2025-01517</t>
  </si>
  <si>
    <t>TXN2025-01518</t>
  </si>
  <si>
    <t>TXN2025-01519</t>
  </si>
  <si>
    <t>TXN2025-01520</t>
  </si>
  <si>
    <t>TXN2025-01521</t>
  </si>
  <si>
    <t>TXN2025-01522</t>
  </si>
  <si>
    <t>TXN2025-01523</t>
  </si>
  <si>
    <t>TXN2025-01524</t>
  </si>
  <si>
    <t>TXN2025-01525</t>
  </si>
  <si>
    <t>TXN2025-01526</t>
  </si>
  <si>
    <t>TXN2025-01527</t>
  </si>
  <si>
    <t>TXN2025-01528</t>
  </si>
  <si>
    <t>TXN2025-01529</t>
  </si>
  <si>
    <t>TXN2025-01530</t>
  </si>
  <si>
    <t>TXN2025-01531</t>
  </si>
  <si>
    <t>TXN2025-01532</t>
  </si>
  <si>
    <t>TXN2025-01533</t>
  </si>
  <si>
    <t>TXN2025-01534</t>
  </si>
  <si>
    <t>TXN2025-01535</t>
  </si>
  <si>
    <t>TXN2025-01536</t>
  </si>
  <si>
    <t>TXN2025-01537</t>
  </si>
  <si>
    <t>TXN2025-01538</t>
  </si>
  <si>
    <t>TXN2025-01539</t>
  </si>
  <si>
    <t>TXN2025-01540</t>
  </si>
  <si>
    <t>TXN2025-01541</t>
  </si>
  <si>
    <t>TXN2025-01542</t>
  </si>
  <si>
    <t>TXN2025-01543</t>
  </si>
  <si>
    <t>TXN2025-01544</t>
  </si>
  <si>
    <t>TXN2025-01545</t>
  </si>
  <si>
    <t>TXN2025-01546</t>
  </si>
  <si>
    <t>TXN2025-01547</t>
  </si>
  <si>
    <t>TXN2025-01548</t>
  </si>
  <si>
    <t>TXN2025-01549</t>
  </si>
  <si>
    <t>TXN2025-01550</t>
  </si>
  <si>
    <t>TXN2025-01551</t>
  </si>
  <si>
    <t>TXN2025-01552</t>
  </si>
  <si>
    <t>TXN2025-01553</t>
  </si>
  <si>
    <t>TXN2025-01554</t>
  </si>
  <si>
    <t>TXN2025-01555</t>
  </si>
  <si>
    <t>TXN2025-01556</t>
  </si>
  <si>
    <t>TXN2025-01557</t>
  </si>
  <si>
    <t>TXN2025-01558</t>
  </si>
  <si>
    <t>TXN2025-01559</t>
  </si>
  <si>
    <t>TXN2025-01560</t>
  </si>
  <si>
    <t>TXN2025-01561</t>
  </si>
  <si>
    <t>TXN2025-01562</t>
  </si>
  <si>
    <t>TXN2025-01563</t>
  </si>
  <si>
    <t>TXN2025-01564</t>
  </si>
  <si>
    <t>TXN2025-01565</t>
  </si>
  <si>
    <t>TXN2025-01566</t>
  </si>
  <si>
    <t>TXN2025-01567</t>
  </si>
  <si>
    <t>TXN2025-01568</t>
  </si>
  <si>
    <t>TXN2025-01569</t>
  </si>
  <si>
    <t>TXN2025-01570</t>
  </si>
  <si>
    <t>TXN2025-01571</t>
  </si>
  <si>
    <t>TXN2025-01572</t>
  </si>
  <si>
    <t>TXN2025-01573</t>
  </si>
  <si>
    <t>TXN2025-01574</t>
  </si>
  <si>
    <t>TXN2025-01575</t>
  </si>
  <si>
    <t>TXN2025-01576</t>
  </si>
  <si>
    <t>TXN2025-01577</t>
  </si>
  <si>
    <t>TXN2025-01578</t>
  </si>
  <si>
    <t>TXN2025-01579</t>
  </si>
  <si>
    <t>TXN2025-01580</t>
  </si>
  <si>
    <t>TXN2025-01581</t>
  </si>
  <si>
    <t>TXN2025-01582</t>
  </si>
  <si>
    <t>TXN2025-01583</t>
  </si>
  <si>
    <t>TXN2025-01584</t>
  </si>
  <si>
    <t>TXN2025-01585</t>
  </si>
  <si>
    <t>TXN2025-01586</t>
  </si>
  <si>
    <t>TXN2025-01587</t>
  </si>
  <si>
    <t>TXN2025-01588</t>
  </si>
  <si>
    <t>TXN2025-01589</t>
  </si>
  <si>
    <t>TXN2025-01590</t>
  </si>
  <si>
    <t>TXN2025-01591</t>
  </si>
  <si>
    <t>TXN2025-01592</t>
  </si>
  <si>
    <t>TXN2025-01593</t>
  </si>
  <si>
    <t>TXN2025-01594</t>
  </si>
  <si>
    <t>TXN2025-01595</t>
  </si>
  <si>
    <t>TXN2025-01596</t>
  </si>
  <si>
    <t>TXN2025-01597</t>
  </si>
  <si>
    <t>TXN2025-01598</t>
  </si>
  <si>
    <t>TXN2025-01599</t>
  </si>
  <si>
    <t>TXN2025-01600</t>
  </si>
  <si>
    <t>TXN2025-01601</t>
  </si>
  <si>
    <t>TXN2025-01602</t>
  </si>
  <si>
    <t>TXN2025-01603</t>
  </si>
  <si>
    <t>TXN2025-01604</t>
  </si>
  <si>
    <t>TXN2025-01605</t>
  </si>
  <si>
    <t>TXN2025-01606</t>
  </si>
  <si>
    <t>TXN2025-01607</t>
  </si>
  <si>
    <t>TXN2025-01608</t>
  </si>
  <si>
    <t>TXN2025-01609</t>
  </si>
  <si>
    <t>TXN2025-01610</t>
  </si>
  <si>
    <t>TXN2025-01611</t>
  </si>
  <si>
    <t>TXN2025-01612</t>
  </si>
  <si>
    <t>TXN2025-01613</t>
  </si>
  <si>
    <t>TXN2025-01614</t>
  </si>
  <si>
    <t>TXN2025-01615</t>
  </si>
  <si>
    <t>TXN2025-01616</t>
  </si>
  <si>
    <t>TXN2025-01617</t>
  </si>
  <si>
    <t>TXN2025-01618</t>
  </si>
  <si>
    <t>TXN2025-01619</t>
  </si>
  <si>
    <t>TXN2025-01620</t>
  </si>
  <si>
    <t>TXN2025-01621</t>
  </si>
  <si>
    <t>TXN2025-01622</t>
  </si>
  <si>
    <t>TXN2025-01623</t>
  </si>
  <si>
    <t>TXN2025-01624</t>
  </si>
  <si>
    <t>TXN2025-01625</t>
  </si>
  <si>
    <t>TXN2025-01626</t>
  </si>
  <si>
    <t>TXN2025-01627</t>
  </si>
  <si>
    <t>TXN2025-01628</t>
  </si>
  <si>
    <t>TXN2025-01629</t>
  </si>
  <si>
    <t>TXN2025-01630</t>
  </si>
  <si>
    <t>TXN2025-01631</t>
  </si>
  <si>
    <t>TXN2025-01632</t>
  </si>
  <si>
    <t>TXN2025-01633</t>
  </si>
  <si>
    <t>TXN2025-01634</t>
  </si>
  <si>
    <t>TXN2025-01635</t>
  </si>
  <si>
    <t>TXN2025-01636</t>
  </si>
  <si>
    <t>TXN2025-01637</t>
  </si>
  <si>
    <t>TXN2025-01638</t>
  </si>
  <si>
    <t>TXN2025-01639</t>
  </si>
  <si>
    <t>TXN2025-01640</t>
  </si>
  <si>
    <t>TXN2025-01641</t>
  </si>
  <si>
    <t>TXN2025-01642</t>
  </si>
  <si>
    <t>TXN2025-01643</t>
  </si>
  <si>
    <t>TXN2025-01644</t>
  </si>
  <si>
    <t>TXN2025-01645</t>
  </si>
  <si>
    <t>TXN2025-01646</t>
  </si>
  <si>
    <t>TXN2025-01647</t>
  </si>
  <si>
    <t>TXN2025-01648</t>
  </si>
  <si>
    <t>TXN2025-01649</t>
  </si>
  <si>
    <t>TXN2025-01650</t>
  </si>
  <si>
    <t>TXN2025-01651</t>
  </si>
  <si>
    <t>TXN2025-01652</t>
  </si>
  <si>
    <t>TXN2025-01653</t>
  </si>
  <si>
    <t>TXN2025-01654</t>
  </si>
  <si>
    <t>TXN2025-01655</t>
  </si>
  <si>
    <t>TXN2025-01656</t>
  </si>
  <si>
    <t>TXN2025-01657</t>
  </si>
  <si>
    <t>TXN2025-01658</t>
  </si>
  <si>
    <t>TXN2025-01659</t>
  </si>
  <si>
    <t>TXN2025-01660</t>
  </si>
  <si>
    <t>TXN2025-01661</t>
  </si>
  <si>
    <t>TXN2025-01662</t>
  </si>
  <si>
    <t>TXN2025-01663</t>
  </si>
  <si>
    <t>TXN2025-01664</t>
  </si>
  <si>
    <t>TXN2025-01665</t>
  </si>
  <si>
    <t>TXN2025-01666</t>
  </si>
  <si>
    <t>TXN2025-01667</t>
  </si>
  <si>
    <t>TXN2025-01668</t>
  </si>
  <si>
    <t>TXN2025-01669</t>
  </si>
  <si>
    <t>TXN2025-01670</t>
  </si>
  <si>
    <t>TXN2025-01671</t>
  </si>
  <si>
    <t>TXN2025-01672</t>
  </si>
  <si>
    <t>TXN2025-01673</t>
  </si>
  <si>
    <t>TXN2025-01674</t>
  </si>
  <si>
    <t>TXN2025-01675</t>
  </si>
  <si>
    <t>TXN2025-01676</t>
  </si>
  <si>
    <t>TXN2025-01677</t>
  </si>
  <si>
    <t>TXN2025-01678</t>
  </si>
  <si>
    <t>TXN2025-01679</t>
  </si>
  <si>
    <t>TXN2025-01680</t>
  </si>
  <si>
    <t>TXN2025-01681</t>
  </si>
  <si>
    <t>TXN2025-01682</t>
  </si>
  <si>
    <t>TXN2025-01683</t>
  </si>
  <si>
    <t>TXN2025-01684</t>
  </si>
  <si>
    <t>TXN2025-01685</t>
  </si>
  <si>
    <t>TXN2025-01686</t>
  </si>
  <si>
    <t>TXN2025-01687</t>
  </si>
  <si>
    <t>TXN2025-01688</t>
  </si>
  <si>
    <t>TXN2025-01689</t>
  </si>
  <si>
    <t>TXN2025-01690</t>
  </si>
  <si>
    <t>TXN2025-01691</t>
  </si>
  <si>
    <t>TXN2025-01692</t>
  </si>
  <si>
    <t>TXN2025-01693</t>
  </si>
  <si>
    <t>TXN2025-01694</t>
  </si>
  <si>
    <t>TXN2025-01695</t>
  </si>
  <si>
    <t>TXN2025-01696</t>
  </si>
  <si>
    <t>TXN2025-01697</t>
  </si>
  <si>
    <t>TXN2025-01698</t>
  </si>
  <si>
    <t>TXN2025-01699</t>
  </si>
  <si>
    <t>TXN2025-01700</t>
  </si>
  <si>
    <t>TXN2025-01701</t>
  </si>
  <si>
    <t>TXN2025-01702</t>
  </si>
  <si>
    <t>TXN2025-01703</t>
  </si>
  <si>
    <t>TXN2025-01704</t>
  </si>
  <si>
    <t>TXN2025-01705</t>
  </si>
  <si>
    <t>TXN2025-01706</t>
  </si>
  <si>
    <t>TXN2025-01707</t>
  </si>
  <si>
    <t>TXN2025-01708</t>
  </si>
  <si>
    <t>TXN2025-01709</t>
  </si>
  <si>
    <t>TXN2025-01710</t>
  </si>
  <si>
    <t>TXN2025-01711</t>
  </si>
  <si>
    <t>TXN2025-01712</t>
  </si>
  <si>
    <t>TXN2025-01713</t>
  </si>
  <si>
    <t>TXN2025-01714</t>
  </si>
  <si>
    <t>TXN2025-01715</t>
  </si>
  <si>
    <t>TXN2025-01716</t>
  </si>
  <si>
    <t>TXN2025-01717</t>
  </si>
  <si>
    <t>TXN2025-01718</t>
  </si>
  <si>
    <t>TXN2025-01719</t>
  </si>
  <si>
    <t>TXN2025-01720</t>
  </si>
  <si>
    <t>TXN2025-01721</t>
  </si>
  <si>
    <t>TXN2025-01722</t>
  </si>
  <si>
    <t>TXN2025-01723</t>
  </si>
  <si>
    <t>TXN2025-01724</t>
  </si>
  <si>
    <t>TXN2025-01725</t>
  </si>
  <si>
    <t>TXN2025-01726</t>
  </si>
  <si>
    <t>TXN2025-01727</t>
  </si>
  <si>
    <t>TXN2025-01728</t>
  </si>
  <si>
    <t>TXN2025-01729</t>
  </si>
  <si>
    <t>TXN2025-01730</t>
  </si>
  <si>
    <t>TXN2025-01731</t>
  </si>
  <si>
    <t>TXN2025-01732</t>
  </si>
  <si>
    <t>TXN2025-01733</t>
  </si>
  <si>
    <t>TXN2025-01734</t>
  </si>
  <si>
    <t>TXN2025-01735</t>
  </si>
  <si>
    <t>TXN2025-01736</t>
  </si>
  <si>
    <t>TXN2025-01737</t>
  </si>
  <si>
    <t>TXN2025-01738</t>
  </si>
  <si>
    <t>TXN2025-01739</t>
  </si>
  <si>
    <t>TXN2025-01740</t>
  </si>
  <si>
    <t>TXN2025-01741</t>
  </si>
  <si>
    <t>TXN2025-01742</t>
  </si>
  <si>
    <t>TXN2025-01743</t>
  </si>
  <si>
    <t>TXN2025-01744</t>
  </si>
  <si>
    <t>TXN2025-01745</t>
  </si>
  <si>
    <t>TXN2025-01746</t>
  </si>
  <si>
    <t>TXN2025-01747</t>
  </si>
  <si>
    <t>TXN2025-01748</t>
  </si>
  <si>
    <t>TXN2025-01749</t>
  </si>
  <si>
    <t>TXN2025-01750</t>
  </si>
  <si>
    <t>TXN2025-01751</t>
  </si>
  <si>
    <t>TXN2025-01752</t>
  </si>
  <si>
    <t>TXN2025-01753</t>
  </si>
  <si>
    <t>TXN2025-01754</t>
  </si>
  <si>
    <t>TXN2025-01755</t>
  </si>
  <si>
    <t>TXN2025-01756</t>
  </si>
  <si>
    <t>TXN2025-01757</t>
  </si>
  <si>
    <t>TXN2025-01758</t>
  </si>
  <si>
    <t>TXN2025-01759</t>
  </si>
  <si>
    <t>TXN2025-01760</t>
  </si>
  <si>
    <t>TXN2025-01761</t>
  </si>
  <si>
    <t>TXN2025-01762</t>
  </si>
  <si>
    <t>TXN2025-01763</t>
  </si>
  <si>
    <t>TXN2025-01764</t>
  </si>
  <si>
    <t>TXN2025-01765</t>
  </si>
  <si>
    <t>TXN2025-01766</t>
  </si>
  <si>
    <t>TXN2025-01767</t>
  </si>
  <si>
    <t>TXN2025-01768</t>
  </si>
  <si>
    <t>TXN2025-01769</t>
  </si>
  <si>
    <t>TXN2025-01770</t>
  </si>
  <si>
    <t>TXN2025-01771</t>
  </si>
  <si>
    <t>TXN2025-01772</t>
  </si>
  <si>
    <t>TXN2025-01773</t>
  </si>
  <si>
    <t>TXN2025-01774</t>
  </si>
  <si>
    <t>TXN2025-01775</t>
  </si>
  <si>
    <t>TXN2025-01776</t>
  </si>
  <si>
    <t>TXN2025-01777</t>
  </si>
  <si>
    <t>TXN2025-01778</t>
  </si>
  <si>
    <t>TXN2025-01779</t>
  </si>
  <si>
    <t>TXN2025-01780</t>
  </si>
  <si>
    <t>TXN2025-01781</t>
  </si>
  <si>
    <t>TXN2025-01782</t>
  </si>
  <si>
    <t>TXN2025-01783</t>
  </si>
  <si>
    <t>TXN2025-01784</t>
  </si>
  <si>
    <t>TXN2025-01785</t>
  </si>
  <si>
    <t>TXN2025-01786</t>
  </si>
  <si>
    <t>TXN2025-01787</t>
  </si>
  <si>
    <t>TXN2025-01788</t>
  </si>
  <si>
    <t>TXN2025-01789</t>
  </si>
  <si>
    <t>TXN2025-01790</t>
  </si>
  <si>
    <t>TXN2025-01791</t>
  </si>
  <si>
    <t>TXN2025-01792</t>
  </si>
  <si>
    <t>TXN2025-01793</t>
  </si>
  <si>
    <t>TXN2025-01794</t>
  </si>
  <si>
    <t>TXN2025-01795</t>
  </si>
  <si>
    <t>TXN2025-01796</t>
  </si>
  <si>
    <t>TXN2025-01797</t>
  </si>
  <si>
    <t>TXN2025-01798</t>
  </si>
  <si>
    <t>TXN2025-01799</t>
  </si>
  <si>
    <t>TXN2025-01800</t>
  </si>
  <si>
    <t>TXN2025-01801</t>
  </si>
  <si>
    <t>TXN2025-01802</t>
  </si>
  <si>
    <t>TXN2025-01803</t>
  </si>
  <si>
    <t>TXN2025-01804</t>
  </si>
  <si>
    <t>TXN2025-01805</t>
  </si>
  <si>
    <t>TXN2025-01806</t>
  </si>
  <si>
    <t>TXN2025-01807</t>
  </si>
  <si>
    <t>TXN2025-01808</t>
  </si>
  <si>
    <t>TXN2025-01809</t>
  </si>
  <si>
    <t>TXN2025-01810</t>
  </si>
  <si>
    <t>TXN2025-01811</t>
  </si>
  <si>
    <t>TXN2025-01812</t>
  </si>
  <si>
    <t>TXN2025-01813</t>
  </si>
  <si>
    <t>TXN2025-01814</t>
  </si>
  <si>
    <t>TXN2025-01815</t>
  </si>
  <si>
    <t>TXN2025-01816</t>
  </si>
  <si>
    <t>TXN2025-01817</t>
  </si>
  <si>
    <t>TXN2025-01818</t>
  </si>
  <si>
    <t>TXN2025-01819</t>
  </si>
  <si>
    <t>TXN2025-01820</t>
  </si>
  <si>
    <t>TXN2025-01821</t>
  </si>
  <si>
    <t>TXN2025-01822</t>
  </si>
  <si>
    <t>TXN2025-01823</t>
  </si>
  <si>
    <t>TXN2025-01824</t>
  </si>
  <si>
    <t>TXN2025-01825</t>
  </si>
  <si>
    <t>TXN2025-01826</t>
  </si>
  <si>
    <t>TXN2025-01827</t>
  </si>
  <si>
    <t>TXN2025-01828</t>
  </si>
  <si>
    <t>TXN2025-01829</t>
  </si>
  <si>
    <t>TXN2025-01830</t>
  </si>
  <si>
    <t>TXN2025-01831</t>
  </si>
  <si>
    <t>TXN2025-01832</t>
  </si>
  <si>
    <t>TXN2025-01833</t>
  </si>
  <si>
    <t>TXN2025-01834</t>
  </si>
  <si>
    <t>TXN2025-01835</t>
  </si>
  <si>
    <t>TXN2025-01836</t>
  </si>
  <si>
    <t>TXN2025-01837</t>
  </si>
  <si>
    <t>TXN2025-01838</t>
  </si>
  <si>
    <t>TXN2025-01839</t>
  </si>
  <si>
    <t>TXN2025-01840</t>
  </si>
  <si>
    <t>TXN2025-01841</t>
  </si>
  <si>
    <t>TXN2025-01842</t>
  </si>
  <si>
    <t>TXN2025-01843</t>
  </si>
  <si>
    <t>TXN2025-01844</t>
  </si>
  <si>
    <t>TXN2025-01845</t>
  </si>
  <si>
    <t>TXN2025-01846</t>
  </si>
  <si>
    <t>TXN2025-01847</t>
  </si>
  <si>
    <t>TXN2025-01848</t>
  </si>
  <si>
    <t>TXN2025-01849</t>
  </si>
  <si>
    <t>TXN2025-01850</t>
  </si>
  <si>
    <t>TXN2025-01851</t>
  </si>
  <si>
    <t>TXN2025-01852</t>
  </si>
  <si>
    <t>TXN2025-01853</t>
  </si>
  <si>
    <t>TXN2025-01854</t>
  </si>
  <si>
    <t>TXN2025-01855</t>
  </si>
  <si>
    <t>TXN2025-01856</t>
  </si>
  <si>
    <t>TXN2025-01857</t>
  </si>
  <si>
    <t>TXN2025-01858</t>
  </si>
  <si>
    <t>TXN2025-01859</t>
  </si>
  <si>
    <t>TXN2025-01860</t>
  </si>
  <si>
    <t>TXN2025-01861</t>
  </si>
  <si>
    <t>TXN2025-01862</t>
  </si>
  <si>
    <t>TXN2025-01863</t>
  </si>
  <si>
    <t>TXN2025-01864</t>
  </si>
  <si>
    <t>TXN2025-01865</t>
  </si>
  <si>
    <t>TXN2025-01866</t>
  </si>
  <si>
    <t>TXN2025-01867</t>
  </si>
  <si>
    <t>TXN2025-01868</t>
  </si>
  <si>
    <t>TXN2025-01869</t>
  </si>
  <si>
    <t>TXN2025-01870</t>
  </si>
  <si>
    <t>TXN2025-01871</t>
  </si>
  <si>
    <t>TXN2025-01872</t>
  </si>
  <si>
    <t>TXN2025-01873</t>
  </si>
  <si>
    <t>TXN2025-01874</t>
  </si>
  <si>
    <t>TXN2025-01875</t>
  </si>
  <si>
    <t>TXN2025-01876</t>
  </si>
  <si>
    <t>TXN2025-01877</t>
  </si>
  <si>
    <t>TXN2025-01878</t>
  </si>
  <si>
    <t>TXN2025-01879</t>
  </si>
  <si>
    <t>TXN2025-01880</t>
  </si>
  <si>
    <t>TXN2025-01881</t>
  </si>
  <si>
    <t>TXN2025-01882</t>
  </si>
  <si>
    <t>TXN2025-01883</t>
  </si>
  <si>
    <t>TXN2025-01884</t>
  </si>
  <si>
    <t>TXN2025-01885</t>
  </si>
  <si>
    <t>TXN2025-01886</t>
  </si>
  <si>
    <t>TXN2025-01887</t>
  </si>
  <si>
    <t>TXN2025-01888</t>
  </si>
  <si>
    <t>TXN2025-01889</t>
  </si>
  <si>
    <t>TXN2025-01890</t>
  </si>
  <si>
    <t>TXN2025-01891</t>
  </si>
  <si>
    <t>TXN2025-01892</t>
  </si>
  <si>
    <t>TXN2025-01893</t>
  </si>
  <si>
    <t>TXN2025-01894</t>
  </si>
  <si>
    <t>TXN2025-01895</t>
  </si>
  <si>
    <t>TXN2025-01896</t>
  </si>
  <si>
    <t>TXN2025-01897</t>
  </si>
  <si>
    <t>TXN2025-01898</t>
  </si>
  <si>
    <t>TXN2025-01899</t>
  </si>
  <si>
    <t>TXN2025-01900</t>
  </si>
  <si>
    <t>TXN2025-01901</t>
  </si>
  <si>
    <t>TXN2025-01902</t>
  </si>
  <si>
    <t>TXN2025-01903</t>
  </si>
  <si>
    <t>TXN2025-01904</t>
  </si>
  <si>
    <t>TXN2025-01905</t>
  </si>
  <si>
    <t>TXN2025-01906</t>
  </si>
  <si>
    <t>TXN2025-01907</t>
  </si>
  <si>
    <t>TXN2025-01908</t>
  </si>
  <si>
    <t>TXN2025-01909</t>
  </si>
  <si>
    <t>TXN2025-01910</t>
  </si>
  <si>
    <t>TXN2025-01911</t>
  </si>
  <si>
    <t>TXN2025-01912</t>
  </si>
  <si>
    <t>TXN2025-01913</t>
  </si>
  <si>
    <t>TXN2025-01914</t>
  </si>
  <si>
    <t>TXN2025-01915</t>
  </si>
  <si>
    <t>TXN2025-01916</t>
  </si>
  <si>
    <t>TXN2025-01917</t>
  </si>
  <si>
    <t>TXN2025-01918</t>
  </si>
  <si>
    <t>TXN2025-01919</t>
  </si>
  <si>
    <t>TXN2025-01920</t>
  </si>
  <si>
    <t>TXN2025-01921</t>
  </si>
  <si>
    <t>TXN2025-01922</t>
  </si>
  <si>
    <t>TXN2025-01923</t>
  </si>
  <si>
    <t>TXN2025-01924</t>
  </si>
  <si>
    <t>TXN2025-01925</t>
  </si>
  <si>
    <t>TXN2025-01926</t>
  </si>
  <si>
    <t>TXN2025-01927</t>
  </si>
  <si>
    <t>TXN2025-01928</t>
  </si>
  <si>
    <t>TXN2025-01929</t>
  </si>
  <si>
    <t>TXN2025-01930</t>
  </si>
  <si>
    <t>TXN2025-01931</t>
  </si>
  <si>
    <t>TXN2025-01932</t>
  </si>
  <si>
    <t>TXN2025-01933</t>
  </si>
  <si>
    <t>TXN2025-01934</t>
  </si>
  <si>
    <t>TXN2025-01935</t>
  </si>
  <si>
    <t>TXN2025-01936</t>
  </si>
  <si>
    <t>TXN2025-01937</t>
  </si>
  <si>
    <t>TXN2025-01938</t>
  </si>
  <si>
    <t>TXN2025-01939</t>
  </si>
  <si>
    <t>TXN2025-01940</t>
  </si>
  <si>
    <t>TXN2025-01941</t>
  </si>
  <si>
    <t>TXN2025-01942</t>
  </si>
  <si>
    <t>TXN2025-01943</t>
  </si>
  <si>
    <t>TXN2025-01944</t>
  </si>
  <si>
    <t>TXN2025-01945</t>
  </si>
  <si>
    <t>TXN2025-01946</t>
  </si>
  <si>
    <t>TXN2025-01947</t>
  </si>
  <si>
    <t>TXN2025-01948</t>
  </si>
  <si>
    <t>TXN2025-01949</t>
  </si>
  <si>
    <t>TXN2025-01950</t>
  </si>
  <si>
    <t>TXN2025-01951</t>
  </si>
  <si>
    <t>TXN2025-01952</t>
  </si>
  <si>
    <t>TXN2025-01953</t>
  </si>
  <si>
    <t>TXN2025-01954</t>
  </si>
  <si>
    <t>TXN2025-01955</t>
  </si>
  <si>
    <t>TXN2025-01956</t>
  </si>
  <si>
    <t>TXN2025-01957</t>
  </si>
  <si>
    <t>TXN2025-01958</t>
  </si>
  <si>
    <t>TXN2025-01959</t>
  </si>
  <si>
    <t>TXN2025-01960</t>
  </si>
  <si>
    <t>TXN2025-01961</t>
  </si>
  <si>
    <t>TXN2025-01962</t>
  </si>
  <si>
    <t>TXN2025-01963</t>
  </si>
  <si>
    <t>TXN2025-01964</t>
  </si>
  <si>
    <t>TXN2025-01965</t>
  </si>
  <si>
    <t>TXN2025-01966</t>
  </si>
  <si>
    <t>TXN2025-01967</t>
  </si>
  <si>
    <t>TXN2025-01968</t>
  </si>
  <si>
    <t>TXN2025-01969</t>
  </si>
  <si>
    <t>TXN2025-01970</t>
  </si>
  <si>
    <t>TXN2025-01971</t>
  </si>
  <si>
    <t>TXN2025-01972</t>
  </si>
  <si>
    <t>TXN2025-01973</t>
  </si>
  <si>
    <t>TXN2025-01974</t>
  </si>
  <si>
    <t>TXN2025-01975</t>
  </si>
  <si>
    <t>TXN2025-01976</t>
  </si>
  <si>
    <t>TXN2025-01977</t>
  </si>
  <si>
    <t>TXN2025-01978</t>
  </si>
  <si>
    <t>TXN2025-01979</t>
  </si>
  <si>
    <t>TXN2025-01980</t>
  </si>
  <si>
    <t>TXN2025-01981</t>
  </si>
  <si>
    <t>TXN2025-01982</t>
  </si>
  <si>
    <t>TXN2025-01983</t>
  </si>
  <si>
    <t>TXN2025-01984</t>
  </si>
  <si>
    <t>TXN2025-01985</t>
  </si>
  <si>
    <t>TXN2025-01986</t>
  </si>
  <si>
    <t>TXN2025-01987</t>
  </si>
  <si>
    <t>TXN2025-01988</t>
  </si>
  <si>
    <t>TXN2025-01989</t>
  </si>
  <si>
    <t>TXN2025-01990</t>
  </si>
  <si>
    <t>TXN2025-01991</t>
  </si>
  <si>
    <t>TXN2025-01992</t>
  </si>
  <si>
    <t>TXN2025-01993</t>
  </si>
  <si>
    <t>TXN2025-01994</t>
  </si>
  <si>
    <t>TXN2025-01995</t>
  </si>
  <si>
    <t>TXN2025-01996</t>
  </si>
  <si>
    <t>TXN2025-01997</t>
  </si>
  <si>
    <t>TXN2025-01998</t>
  </si>
  <si>
    <t>TXN2025-01999</t>
  </si>
  <si>
    <t>TXN2025-02000</t>
  </si>
  <si>
    <t>TXN2025-02001</t>
  </si>
  <si>
    <t>TXN2025-02002</t>
  </si>
  <si>
    <t>TXN2025-02003</t>
  </si>
  <si>
    <t>TXN2025-02004</t>
  </si>
  <si>
    <t>TXN2025-02005</t>
  </si>
  <si>
    <t>TXN2025-02006</t>
  </si>
  <si>
    <t>TXN2025-02007</t>
  </si>
  <si>
    <t>TXN2025-02008</t>
  </si>
  <si>
    <t>TXN2025-02009</t>
  </si>
  <si>
    <t>TXN2025-02010</t>
  </si>
  <si>
    <t>TXN2025-02011</t>
  </si>
  <si>
    <t>TXN2025-02012</t>
  </si>
  <si>
    <t>TXN2025-02013</t>
  </si>
  <si>
    <t>TXN2025-02014</t>
  </si>
  <si>
    <t>TXN2025-02015</t>
  </si>
  <si>
    <t>TXN2025-02016</t>
  </si>
  <si>
    <t>TXN2025-02017</t>
  </si>
  <si>
    <t>TXN2025-02018</t>
  </si>
  <si>
    <t>TXN2025-02019</t>
  </si>
  <si>
    <t>TXN2025-02020</t>
  </si>
  <si>
    <t>TXN2025-02021</t>
  </si>
  <si>
    <t>TXN2025-02022</t>
  </si>
  <si>
    <t>TXN2025-02023</t>
  </si>
  <si>
    <t>TXN2025-02024</t>
  </si>
  <si>
    <t>TXN2025-02025</t>
  </si>
  <si>
    <t>TXN2025-02026</t>
  </si>
  <si>
    <t>TXN2025-02027</t>
  </si>
  <si>
    <t>TXN2025-02028</t>
  </si>
  <si>
    <t>TXN2025-02029</t>
  </si>
  <si>
    <t>TXN2025-02030</t>
  </si>
  <si>
    <t>TXN2025-02031</t>
  </si>
  <si>
    <t>TXN2025-02032</t>
  </si>
  <si>
    <t>TXN2025-02033</t>
  </si>
  <si>
    <t>TXN2025-02034</t>
  </si>
  <si>
    <t>TXN2025-02035</t>
  </si>
  <si>
    <t>TXN2025-02036</t>
  </si>
  <si>
    <t>TXN2025-02037</t>
  </si>
  <si>
    <t>TXN2025-02038</t>
  </si>
  <si>
    <t>TXN2025-02039</t>
  </si>
  <si>
    <t>TXN2025-02040</t>
  </si>
  <si>
    <t>TXN2025-02041</t>
  </si>
  <si>
    <t>TXN2025-02042</t>
  </si>
  <si>
    <t>TXN2025-02043</t>
  </si>
  <si>
    <t>TXN2025-02044</t>
  </si>
  <si>
    <t>TXN2025-02045</t>
  </si>
  <si>
    <t>TXN2025-02046</t>
  </si>
  <si>
    <t>TXN2025-02047</t>
  </si>
  <si>
    <t>TXN2025-02048</t>
  </si>
  <si>
    <t>TXN2025-02049</t>
  </si>
  <si>
    <t>TXN2025-02050</t>
  </si>
  <si>
    <t>TXN2025-02051</t>
  </si>
  <si>
    <t>TXN2025-02052</t>
  </si>
  <si>
    <t>TXN2025-02053</t>
  </si>
  <si>
    <t>TXN2025-02054</t>
  </si>
  <si>
    <t>TXN2025-02055</t>
  </si>
  <si>
    <t>TXN2025-02056</t>
  </si>
  <si>
    <t>TXN2025-02057</t>
  </si>
  <si>
    <t>TXN2025-02058</t>
  </si>
  <si>
    <t>TXN2025-02059</t>
  </si>
  <si>
    <t>TXN2025-02060</t>
  </si>
  <si>
    <t>TXN2025-02061</t>
  </si>
  <si>
    <t>TXN2025-02062</t>
  </si>
  <si>
    <t>TXN2025-02063</t>
  </si>
  <si>
    <t>TXN2025-02064</t>
  </si>
  <si>
    <t>TXN2025-02065</t>
  </si>
  <si>
    <t>TXN2025-02066</t>
  </si>
  <si>
    <t>TXN2025-02067</t>
  </si>
  <si>
    <t>TXN2025-02068</t>
  </si>
  <si>
    <t>TXN2025-02069</t>
  </si>
  <si>
    <t>TXN2025-02070</t>
  </si>
  <si>
    <t>TXN2025-02071</t>
  </si>
  <si>
    <t>TXN2025-02072</t>
  </si>
  <si>
    <t>TXN2025-02073</t>
  </si>
  <si>
    <t>TXN2025-02074</t>
  </si>
  <si>
    <t>TXN2025-02075</t>
  </si>
  <si>
    <t>TXN2025-02076</t>
  </si>
  <si>
    <t>TXN2025-02077</t>
  </si>
  <si>
    <t>TXN2025-02078</t>
  </si>
  <si>
    <t>TXN2025-02079</t>
  </si>
  <si>
    <t>TXN2025-02080</t>
  </si>
  <si>
    <t>TXN2025-02081</t>
  </si>
  <si>
    <t>TXN2025-02082</t>
  </si>
  <si>
    <t>TXN2025-02083</t>
  </si>
  <si>
    <t>TXN2025-02084</t>
  </si>
  <si>
    <t>TXN2025-02085</t>
  </si>
  <si>
    <t>TXN2025-02086</t>
  </si>
  <si>
    <t>TXN2025-02087</t>
  </si>
  <si>
    <t>TXN2025-02088</t>
  </si>
  <si>
    <t>TXN2025-02089</t>
  </si>
  <si>
    <t>TXN2025-02090</t>
  </si>
  <si>
    <t>TXN2025-02091</t>
  </si>
  <si>
    <t>TXN2025-02092</t>
  </si>
  <si>
    <t>TXN2025-02093</t>
  </si>
  <si>
    <t>TXN2025-02094</t>
  </si>
  <si>
    <t>TXN2025-02095</t>
  </si>
  <si>
    <t>TXN2025-02096</t>
  </si>
  <si>
    <t>TXN2025-02097</t>
  </si>
  <si>
    <t>TXN2025-02098</t>
  </si>
  <si>
    <t>TXN2025-02099</t>
  </si>
  <si>
    <t>TXN2025-02100</t>
  </si>
  <si>
    <t>TXN2025-02101</t>
  </si>
  <si>
    <t>TXN2025-02102</t>
  </si>
  <si>
    <t>TXN2025-02103</t>
  </si>
  <si>
    <t>TXN2025-02104</t>
  </si>
  <si>
    <t>TXN2025-02105</t>
  </si>
  <si>
    <t>TXN2025-02106</t>
  </si>
  <si>
    <t>TXN2025-02107</t>
  </si>
  <si>
    <t>TXN2025-02108</t>
  </si>
  <si>
    <t>TXN2025-02109</t>
  </si>
  <si>
    <t>TXN2025-02110</t>
  </si>
  <si>
    <t>TXN2025-02111</t>
  </si>
  <si>
    <t>TXN2025-02112</t>
  </si>
  <si>
    <t>TXN2025-02113</t>
  </si>
  <si>
    <t>TXN2025-02114</t>
  </si>
  <si>
    <t>TXN2025-02115</t>
  </si>
  <si>
    <t>TXN2025-02116</t>
  </si>
  <si>
    <t>TXN2025-02117</t>
  </si>
  <si>
    <t>TXN2025-02118</t>
  </si>
  <si>
    <t>TXN2025-02119</t>
  </si>
  <si>
    <t>TXN2025-02120</t>
  </si>
  <si>
    <t>TXN2025-02121</t>
  </si>
  <si>
    <t>TXN2025-02122</t>
  </si>
  <si>
    <t>TXN2025-02123</t>
  </si>
  <si>
    <t>TXN2025-02124</t>
  </si>
  <si>
    <t>TXN2025-02125</t>
  </si>
  <si>
    <t>TXN2025-02126</t>
  </si>
  <si>
    <t>TXN2025-02127</t>
  </si>
  <si>
    <t>TXN2025-02128</t>
  </si>
  <si>
    <t>TXN2025-02129</t>
  </si>
  <si>
    <t>TXN2025-02130</t>
  </si>
  <si>
    <t>TXN2025-02131</t>
  </si>
  <si>
    <t>TXN2025-02132</t>
  </si>
  <si>
    <t>TXN2025-02133</t>
  </si>
  <si>
    <t>TXN2025-02134</t>
  </si>
  <si>
    <t>TXN2025-02135</t>
  </si>
  <si>
    <t>TXN2025-02136</t>
  </si>
  <si>
    <t>TXN2025-02137</t>
  </si>
  <si>
    <t>TXN2025-02138</t>
  </si>
  <si>
    <t>TXN2025-02139</t>
  </si>
  <si>
    <t>TXN2025-02140</t>
  </si>
  <si>
    <t>TXN2025-02141</t>
  </si>
  <si>
    <t>TXN2025-02142</t>
  </si>
  <si>
    <t>TXN2025-02143</t>
  </si>
  <si>
    <t>TXN2025-02144</t>
  </si>
  <si>
    <t>TXN2025-02145</t>
  </si>
  <si>
    <t>TXN2025-02146</t>
  </si>
  <si>
    <t>TXN2025-02147</t>
  </si>
  <si>
    <t>TXN2025-02148</t>
  </si>
  <si>
    <t>TXN2025-02149</t>
  </si>
  <si>
    <t>TXN2025-02150</t>
  </si>
  <si>
    <t>TXN2025-02151</t>
  </si>
  <si>
    <t>TXN2025-02152</t>
  </si>
  <si>
    <t>TXN2025-02153</t>
  </si>
  <si>
    <t>TXN2025-02154</t>
  </si>
  <si>
    <t>TXN2025-02155</t>
  </si>
  <si>
    <t>TXN2025-02156</t>
  </si>
  <si>
    <t>TXN2025-02157</t>
  </si>
  <si>
    <t>TXN2025-02158</t>
  </si>
  <si>
    <t>TXN2025-02159</t>
  </si>
  <si>
    <t>TXN2025-02160</t>
  </si>
  <si>
    <t>TXN2025-02161</t>
  </si>
  <si>
    <t>TXN2025-02162</t>
  </si>
  <si>
    <t>TXN2025-02163</t>
  </si>
  <si>
    <t>TXN2025-02164</t>
  </si>
  <si>
    <t>TXN2025-02165</t>
  </si>
  <si>
    <t>TXN2025-02166</t>
  </si>
  <si>
    <t>TXN2025-02167</t>
  </si>
  <si>
    <t>TXN2025-02168</t>
  </si>
  <si>
    <t>TXN2025-02169</t>
  </si>
  <si>
    <t>TXN2025-02170</t>
  </si>
  <si>
    <t>TXN2025-02171</t>
  </si>
  <si>
    <t>TXN2025-02172</t>
  </si>
  <si>
    <t>TXN2025-02173</t>
  </si>
  <si>
    <t>TXN2025-02174</t>
  </si>
  <si>
    <t>TXN2025-02175</t>
  </si>
  <si>
    <t>TXN2025-02176</t>
  </si>
  <si>
    <t>TXN2025-02177</t>
  </si>
  <si>
    <t>TXN2025-02178</t>
  </si>
  <si>
    <t>TXN2025-02179</t>
  </si>
  <si>
    <t>TXN2025-02180</t>
  </si>
  <si>
    <t>TXN2025-02181</t>
  </si>
  <si>
    <t>TXN2025-02182</t>
  </si>
  <si>
    <t>TXN2025-02183</t>
  </si>
  <si>
    <t>TXN2025-02184</t>
  </si>
  <si>
    <t>TXN2025-02185</t>
  </si>
  <si>
    <t>TXN2025-02186</t>
  </si>
  <si>
    <t>TXN2025-02187</t>
  </si>
  <si>
    <t>TXN2025-02188</t>
  </si>
  <si>
    <t>TXN2025-02189</t>
  </si>
  <si>
    <t>TXN2025-02190</t>
  </si>
  <si>
    <t>TXN2025-02191</t>
  </si>
  <si>
    <t>TXN2025-02192</t>
  </si>
  <si>
    <t>TXN2025-02193</t>
  </si>
  <si>
    <t>TXN2025-02194</t>
  </si>
  <si>
    <t>TXN2025-02195</t>
  </si>
  <si>
    <t>TXN2025-02196</t>
  </si>
  <si>
    <t>TXN2025-02197</t>
  </si>
  <si>
    <t>TXN2025-02198</t>
  </si>
  <si>
    <t>TXN2025-02199</t>
  </si>
  <si>
    <t>TXN2025-02200</t>
  </si>
  <si>
    <t>TXN2025-02201</t>
  </si>
  <si>
    <t>TXN2025-02202</t>
  </si>
  <si>
    <t>TXN2025-02203</t>
  </si>
  <si>
    <t>TXN2025-02204</t>
  </si>
  <si>
    <t>TXN2025-02205</t>
  </si>
  <si>
    <t>TXN2025-02206</t>
  </si>
  <si>
    <t>TXN2025-02207</t>
  </si>
  <si>
    <t>TXN2025-02208</t>
  </si>
  <si>
    <t>TXN2025-02209</t>
  </si>
  <si>
    <t>TXN2025-02210</t>
  </si>
  <si>
    <t>TXN2025-02211</t>
  </si>
  <si>
    <t>TXN2025-02212</t>
  </si>
  <si>
    <t>TXN2025-02213</t>
  </si>
  <si>
    <t>TXN2025-02214</t>
  </si>
  <si>
    <t>TXN2025-02215</t>
  </si>
  <si>
    <t>TXN2025-02216</t>
  </si>
  <si>
    <t>TXN2025-02217</t>
  </si>
  <si>
    <t>TXN2025-02218</t>
  </si>
  <si>
    <t>TXN2025-02219</t>
  </si>
  <si>
    <t>TXN2025-02220</t>
  </si>
  <si>
    <t>TXN2025-02221</t>
  </si>
  <si>
    <t>TXN2025-02222</t>
  </si>
  <si>
    <t>TXN2025-02223</t>
  </si>
  <si>
    <t>TXN2025-02224</t>
  </si>
  <si>
    <t>TXN2025-02225</t>
  </si>
  <si>
    <t>TXN2025-02226</t>
  </si>
  <si>
    <t>TXN2025-02227</t>
  </si>
  <si>
    <t>TXN2025-02228</t>
  </si>
  <si>
    <t>TXN2025-02229</t>
  </si>
  <si>
    <t>TXN2025-02230</t>
  </si>
  <si>
    <t>TXN2025-02231</t>
  </si>
  <si>
    <t>TXN2025-02232</t>
  </si>
  <si>
    <t>TXN2025-02233</t>
  </si>
  <si>
    <t>TXN2025-02234</t>
  </si>
  <si>
    <t>TXN2025-02235</t>
  </si>
  <si>
    <t>TXN2025-02236</t>
  </si>
  <si>
    <t>TXN2025-02237</t>
  </si>
  <si>
    <t>TXN2025-02238</t>
  </si>
  <si>
    <t>TXN2025-02239</t>
  </si>
  <si>
    <t>TXN2025-02240</t>
  </si>
  <si>
    <t>TXN2025-02241</t>
  </si>
  <si>
    <t>TXN2025-02242</t>
  </si>
  <si>
    <t>TXN2025-02243</t>
  </si>
  <si>
    <t>TXN2025-02244</t>
  </si>
  <si>
    <t>TXN2025-02245</t>
  </si>
  <si>
    <t>TXN2025-02246</t>
  </si>
  <si>
    <t>TXN2025-02247</t>
  </si>
  <si>
    <t>TXN2025-02248</t>
  </si>
  <si>
    <t>TXN2025-02249</t>
  </si>
  <si>
    <t>TXN2025-02250</t>
  </si>
  <si>
    <t>TXN2025-02251</t>
  </si>
  <si>
    <t>TXN2025-02252</t>
  </si>
  <si>
    <t>TXN2025-02253</t>
  </si>
  <si>
    <t>TXN2025-02254</t>
  </si>
  <si>
    <t>TXN2025-02255</t>
  </si>
  <si>
    <t>TXN2025-02256</t>
  </si>
  <si>
    <t>TXN2025-02257</t>
  </si>
  <si>
    <t>TXN2025-02258</t>
  </si>
  <si>
    <t>TXN2025-02259</t>
  </si>
  <si>
    <t>TXN2025-02260</t>
  </si>
  <si>
    <t>TXN2025-02261</t>
  </si>
  <si>
    <t>TXN2025-02262</t>
  </si>
  <si>
    <t>TXN2025-02263</t>
  </si>
  <si>
    <t>TXN2025-02264</t>
  </si>
  <si>
    <t>TXN2025-02265</t>
  </si>
  <si>
    <t>TXN2025-02266</t>
  </si>
  <si>
    <t>TXN2025-02267</t>
  </si>
  <si>
    <t>TXN2025-02268</t>
  </si>
  <si>
    <t>TXN2025-02269</t>
  </si>
  <si>
    <t>TXN2025-02270</t>
  </si>
  <si>
    <t>TXN2025-02271</t>
  </si>
  <si>
    <t>TXN2025-02272</t>
  </si>
  <si>
    <t>TXN2025-02273</t>
  </si>
  <si>
    <t>TXN2025-02274</t>
  </si>
  <si>
    <t>TXN2025-02275</t>
  </si>
  <si>
    <t>TXN2025-02276</t>
  </si>
  <si>
    <t>TXN2025-02277</t>
  </si>
  <si>
    <t>TXN2025-02278</t>
  </si>
  <si>
    <t>TXN2025-02279</t>
  </si>
  <si>
    <t>TXN2025-02280</t>
  </si>
  <si>
    <t>TXN2025-02281</t>
  </si>
  <si>
    <t>TXN2025-02282</t>
  </si>
  <si>
    <t>TXN2025-02283</t>
  </si>
  <si>
    <t>TXN2025-02284</t>
  </si>
  <si>
    <t>TXN2025-02285</t>
  </si>
  <si>
    <t>TXN2025-02286</t>
  </si>
  <si>
    <t>TXN2025-02287</t>
  </si>
  <si>
    <t>TXN2025-02288</t>
  </si>
  <si>
    <t>TXN2025-02289</t>
  </si>
  <si>
    <t>TXN2025-02290</t>
  </si>
  <si>
    <t>TXN2025-02291</t>
  </si>
  <si>
    <t>TXN2025-02292</t>
  </si>
  <si>
    <t>TXN2025-02293</t>
  </si>
  <si>
    <t>TXN2025-02294</t>
  </si>
  <si>
    <t>TXN2025-02295</t>
  </si>
  <si>
    <t>TXN2025-02296</t>
  </si>
  <si>
    <t>TXN2025-02297</t>
  </si>
  <si>
    <t>TXN2025-02298</t>
  </si>
  <si>
    <t>TXN2025-02299</t>
  </si>
  <si>
    <t>TXN2025-02300</t>
  </si>
  <si>
    <t>TXN2025-02301</t>
  </si>
  <si>
    <t>TXN2025-02302</t>
  </si>
  <si>
    <t>TXN2025-02303</t>
  </si>
  <si>
    <t>TXN2025-02304</t>
  </si>
  <si>
    <t>TXN2025-02305</t>
  </si>
  <si>
    <t>TXN2025-02306</t>
  </si>
  <si>
    <t>TXN2025-02307</t>
  </si>
  <si>
    <t>TXN2025-02308</t>
  </si>
  <si>
    <t>TXN2025-02309</t>
  </si>
  <si>
    <t>TXN2025-02310</t>
  </si>
  <si>
    <t>TXN2025-02311</t>
  </si>
  <si>
    <t>TXN2025-02312</t>
  </si>
  <si>
    <t>TXN2025-02313</t>
  </si>
  <si>
    <t>TXN2025-02314</t>
  </si>
  <si>
    <t>TXN2025-02315</t>
  </si>
  <si>
    <t>TXN2025-02316</t>
  </si>
  <si>
    <t>TXN2025-02317</t>
  </si>
  <si>
    <t>TXN2025-02318</t>
  </si>
  <si>
    <t>TXN2025-02319</t>
  </si>
  <si>
    <t>TXN2025-02320</t>
  </si>
  <si>
    <t>TXN2025-02321</t>
  </si>
  <si>
    <t>TXN2025-02322</t>
  </si>
  <si>
    <t>TXN2025-02323</t>
  </si>
  <si>
    <t>TXN2025-02324</t>
  </si>
  <si>
    <t>TXN2025-02325</t>
  </si>
  <si>
    <t>TXN2025-02326</t>
  </si>
  <si>
    <t>TXN2025-02327</t>
  </si>
  <si>
    <t>TXN2025-02328</t>
  </si>
  <si>
    <t>TXN2025-02329</t>
  </si>
  <si>
    <t>TXN2025-02330</t>
  </si>
  <si>
    <t>TXN2025-02331</t>
  </si>
  <si>
    <t>TXN2025-02332</t>
  </si>
  <si>
    <t>TXN2025-02333</t>
  </si>
  <si>
    <t>TXN2025-02334</t>
  </si>
  <si>
    <t>TXN2025-02335</t>
  </si>
  <si>
    <t>TXN2025-02336</t>
  </si>
  <si>
    <t>TXN2025-02337</t>
  </si>
  <si>
    <t>TXN2025-02338</t>
  </si>
  <si>
    <t>TXN2025-02339</t>
  </si>
  <si>
    <t>TXN2025-02340</t>
  </si>
  <si>
    <t>TXN2025-02341</t>
  </si>
  <si>
    <t>TXN2025-02342</t>
  </si>
  <si>
    <t>TXN2025-02343</t>
  </si>
  <si>
    <t>TXN2025-02344</t>
  </si>
  <si>
    <t>TXN2025-02345</t>
  </si>
  <si>
    <t>TXN2025-02346</t>
  </si>
  <si>
    <t>TXN2025-02347</t>
  </si>
  <si>
    <t>TXN2025-02348</t>
  </si>
  <si>
    <t>TXN2025-02349</t>
  </si>
  <si>
    <t>TXN2025-02350</t>
  </si>
  <si>
    <t>TXN2025-02351</t>
  </si>
  <si>
    <t>TXN2025-02352</t>
  </si>
  <si>
    <t>TXN2025-02353</t>
  </si>
  <si>
    <t>TXN2025-02354</t>
  </si>
  <si>
    <t>TXN2025-02355</t>
  </si>
  <si>
    <t>TXN2025-02356</t>
  </si>
  <si>
    <t>TXN2025-02357</t>
  </si>
  <si>
    <t>TXN2025-02358</t>
  </si>
  <si>
    <t>TXN2025-02359</t>
  </si>
  <si>
    <t>TXN2025-02360</t>
  </si>
  <si>
    <t>TXN2025-02361</t>
  </si>
  <si>
    <t>TXN2025-02362</t>
  </si>
  <si>
    <t>TXN2025-02363</t>
  </si>
  <si>
    <t>TXN2025-02364</t>
  </si>
  <si>
    <t>TXN2025-02365</t>
  </si>
  <si>
    <t>TXN2025-02366</t>
  </si>
  <si>
    <t>TXN2025-02367</t>
  </si>
  <si>
    <t>TXN2025-02368</t>
  </si>
  <si>
    <t>TXN2025-02369</t>
  </si>
  <si>
    <t>TXN2025-02370</t>
  </si>
  <si>
    <t>TXN2025-02371</t>
  </si>
  <si>
    <t>TXN2025-02372</t>
  </si>
  <si>
    <t>TXN2025-02373</t>
  </si>
  <si>
    <t>TXN2025-02374</t>
  </si>
  <si>
    <t>TXN2025-02375</t>
  </si>
  <si>
    <t>TXN2025-02376</t>
  </si>
  <si>
    <t>TXN2025-02377</t>
  </si>
  <si>
    <t>TXN2025-02378</t>
  </si>
  <si>
    <t>TXN2025-02379</t>
  </si>
  <si>
    <t>TXN2025-02380</t>
  </si>
  <si>
    <t>TXN2025-02381</t>
  </si>
  <si>
    <t>TXN2025-02382</t>
  </si>
  <si>
    <t>TXN2025-02383</t>
  </si>
  <si>
    <t>TXN2025-02384</t>
  </si>
  <si>
    <t>TXN2025-02385</t>
  </si>
  <si>
    <t>TXN2025-02386</t>
  </si>
  <si>
    <t>TXN2025-02387</t>
  </si>
  <si>
    <t>TXN2025-02388</t>
  </si>
  <si>
    <t>TXN2025-02389</t>
  </si>
  <si>
    <t>TXN2025-02390</t>
  </si>
  <si>
    <t>TXN2025-02391</t>
  </si>
  <si>
    <t>TXN2025-02392</t>
  </si>
  <si>
    <t>TXN2025-02393</t>
  </si>
  <si>
    <t>TXN2025-02394</t>
  </si>
  <si>
    <t>TXN2025-02395</t>
  </si>
  <si>
    <t>TXN2025-02396</t>
  </si>
  <si>
    <t>TXN2025-02397</t>
  </si>
  <si>
    <t>TXN2025-02398</t>
  </si>
  <si>
    <t>TXN2025-02399</t>
  </si>
  <si>
    <t>TXN2025-02400</t>
  </si>
  <si>
    <t>TXN2025-02401</t>
  </si>
  <si>
    <t>TXN2025-02402</t>
  </si>
  <si>
    <t>TXN2025-02403</t>
  </si>
  <si>
    <t>TXN2025-02404</t>
  </si>
  <si>
    <t>TXN2025-02405</t>
  </si>
  <si>
    <t>TXN2025-02406</t>
  </si>
  <si>
    <t>TXN2025-02407</t>
  </si>
  <si>
    <t>TXN2025-02408</t>
  </si>
  <si>
    <t>TXN2025-02409</t>
  </si>
  <si>
    <t>TXN2025-02410</t>
  </si>
  <si>
    <t>TXN2025-02411</t>
  </si>
  <si>
    <t>TXN2025-02412</t>
  </si>
  <si>
    <t>TXN2025-02413</t>
  </si>
  <si>
    <t>TXN2025-02414</t>
  </si>
  <si>
    <t>TXN2025-02415</t>
  </si>
  <si>
    <t>TXN2025-02416</t>
  </si>
  <si>
    <t>TXN2025-02417</t>
  </si>
  <si>
    <t>TXN2025-02418</t>
  </si>
  <si>
    <t>TXN2025-02419</t>
  </si>
  <si>
    <t>TXN2025-02420</t>
  </si>
  <si>
    <t>TXN2025-02421</t>
  </si>
  <si>
    <t>TXN2025-02422</t>
  </si>
  <si>
    <t>TXN2025-02423</t>
  </si>
  <si>
    <t>TXN2025-02424</t>
  </si>
  <si>
    <t>TXN2025-02425</t>
  </si>
  <si>
    <t>TXN2025-02426</t>
  </si>
  <si>
    <t>TXN2025-02427</t>
  </si>
  <si>
    <t>TXN2025-02428</t>
  </si>
  <si>
    <t>TXN2025-02429</t>
  </si>
  <si>
    <t>TXN2025-02430</t>
  </si>
  <si>
    <t>TXN2025-02431</t>
  </si>
  <si>
    <t>TXN2025-02432</t>
  </si>
  <si>
    <t>TXN2025-02433</t>
  </si>
  <si>
    <t>TXN2025-02434</t>
  </si>
  <si>
    <t>TXN2025-02435</t>
  </si>
  <si>
    <t>TXN2025-02436</t>
  </si>
  <si>
    <t>TXN2025-02437</t>
  </si>
  <si>
    <t>TXN2025-02438</t>
  </si>
  <si>
    <t>TXN2025-02439</t>
  </si>
  <si>
    <t>TXN2025-02440</t>
  </si>
  <si>
    <t>TXN2025-02441</t>
  </si>
  <si>
    <t>TXN2025-02442</t>
  </si>
  <si>
    <t>TXN2025-02443</t>
  </si>
  <si>
    <t>TXN2025-02444</t>
  </si>
  <si>
    <t>TXN2025-02445</t>
  </si>
  <si>
    <t>TXN2025-02446</t>
  </si>
  <si>
    <t>TXN2025-02447</t>
  </si>
  <si>
    <t>TXN2025-02448</t>
  </si>
  <si>
    <t>TXN2025-02449</t>
  </si>
  <si>
    <t>TXN2025-02450</t>
  </si>
  <si>
    <t>TXN2025-02451</t>
  </si>
  <si>
    <t>TXN2025-02452</t>
  </si>
  <si>
    <t>TXN2025-02453</t>
  </si>
  <si>
    <t>TXN2025-02454</t>
  </si>
  <si>
    <t>TXN2025-02455</t>
  </si>
  <si>
    <t>TXN2025-02456</t>
  </si>
  <si>
    <t>TXN2025-02457</t>
  </si>
  <si>
    <t>TXN2025-02458</t>
  </si>
  <si>
    <t>TXN2025-02459</t>
  </si>
  <si>
    <t>TXN2025-02460</t>
  </si>
  <si>
    <t>TXN2025-02461</t>
  </si>
  <si>
    <t>TXN2025-02462</t>
  </si>
  <si>
    <t>TXN2025-02463</t>
  </si>
  <si>
    <t>TXN2025-02464</t>
  </si>
  <si>
    <t>TXN2025-02465</t>
  </si>
  <si>
    <t>TXN2025-02466</t>
  </si>
  <si>
    <t>TXN2025-02467</t>
  </si>
  <si>
    <t>TXN2025-02468</t>
  </si>
  <si>
    <t>TXN2025-02469</t>
  </si>
  <si>
    <t>TXN2025-02470</t>
  </si>
  <si>
    <t>TXN2025-02471</t>
  </si>
  <si>
    <t>TXN2025-02472</t>
  </si>
  <si>
    <t>TXN2025-02473</t>
  </si>
  <si>
    <t>TXN2025-02474</t>
  </si>
  <si>
    <t>TXN2025-02475</t>
  </si>
  <si>
    <t>TXN2025-02476</t>
  </si>
  <si>
    <t>TXN2025-02477</t>
  </si>
  <si>
    <t>TXN2025-02478</t>
  </si>
  <si>
    <t>TXN2025-02479</t>
  </si>
  <si>
    <t>TXN2025-02480</t>
  </si>
  <si>
    <t>TXN2025-02481</t>
  </si>
  <si>
    <t>TXN2025-02482</t>
  </si>
  <si>
    <t>TXN2025-02483</t>
  </si>
  <si>
    <t>TXN2025-02484</t>
  </si>
  <si>
    <t>TXN2025-02485</t>
  </si>
  <si>
    <t>TXN2025-02486</t>
  </si>
  <si>
    <t>TXN2025-02487</t>
  </si>
  <si>
    <t>TXN2025-02488</t>
  </si>
  <si>
    <t>TXN2025-02489</t>
  </si>
  <si>
    <t>TXN2025-02490</t>
  </si>
  <si>
    <t>TXN2025-02491</t>
  </si>
  <si>
    <t>TXN2025-02492</t>
  </si>
  <si>
    <t>TXN2025-02493</t>
  </si>
  <si>
    <t>TXN2025-02494</t>
  </si>
  <si>
    <t>TXN2025-02495</t>
  </si>
  <si>
    <t>TXN2025-02496</t>
  </si>
  <si>
    <t>TXN2025-02497</t>
  </si>
  <si>
    <t>TXN2025-02498</t>
  </si>
  <si>
    <t>TXN2025-02499</t>
  </si>
  <si>
    <t>TXN2025-02500</t>
  </si>
  <si>
    <t>TXN2025-02501</t>
  </si>
  <si>
    <t>TXN2025-02502</t>
  </si>
  <si>
    <t>TXN2025-02503</t>
  </si>
  <si>
    <t>TXN2025-02504</t>
  </si>
  <si>
    <t>TXN2025-02505</t>
  </si>
  <si>
    <t>TXN2025-02506</t>
  </si>
  <si>
    <t>TXN2025-02507</t>
  </si>
  <si>
    <t>TXN2025-02508</t>
  </si>
  <si>
    <t>TXN2025-02509</t>
  </si>
  <si>
    <t>TXN2025-02510</t>
  </si>
  <si>
    <t>TXN2025-02511</t>
  </si>
  <si>
    <t>TXN2025-02512</t>
  </si>
  <si>
    <t>TXN2025-02513</t>
  </si>
  <si>
    <t>TXN2025-02514</t>
  </si>
  <si>
    <t>TXN2025-02515</t>
  </si>
  <si>
    <t>TXN2025-02516</t>
  </si>
  <si>
    <t>TXN2025-02517</t>
  </si>
  <si>
    <t>TXN2025-02518</t>
  </si>
  <si>
    <t>TXN2025-02519</t>
  </si>
  <si>
    <t>TXN2025-02520</t>
  </si>
  <si>
    <t>TXN2025-02521</t>
  </si>
  <si>
    <t>TXN2025-02522</t>
  </si>
  <si>
    <t>TXN2025-02523</t>
  </si>
  <si>
    <t>TXN2025-02524</t>
  </si>
  <si>
    <t>TXN2025-02525</t>
  </si>
  <si>
    <t>TXN2025-02526</t>
  </si>
  <si>
    <t>TXN2025-02527</t>
  </si>
  <si>
    <t>TXN2025-02528</t>
  </si>
  <si>
    <t>TXN2025-02529</t>
  </si>
  <si>
    <t>TXN2025-02530</t>
  </si>
  <si>
    <t>TXN2025-02531</t>
  </si>
  <si>
    <t>TXN2025-02532</t>
  </si>
  <si>
    <t>TXN2025-02533</t>
  </si>
  <si>
    <t>TXN2025-02534</t>
  </si>
  <si>
    <t>TXN2025-02535</t>
  </si>
  <si>
    <t>TXN2025-02536</t>
  </si>
  <si>
    <t>TXN2025-02537</t>
  </si>
  <si>
    <t>TXN2025-02538</t>
  </si>
  <si>
    <t>TXN2025-02539</t>
  </si>
  <si>
    <t>TXN2025-02540</t>
  </si>
  <si>
    <t>TXN2025-02541</t>
  </si>
  <si>
    <t>TXN2025-02542</t>
  </si>
  <si>
    <t>TXN2025-02543</t>
  </si>
  <si>
    <t>TXN2025-02544</t>
  </si>
  <si>
    <t>TXN2025-02545</t>
  </si>
  <si>
    <t>TXN2025-02546</t>
  </si>
  <si>
    <t>TXN2025-02547</t>
  </si>
  <si>
    <t>TXN2025-02548</t>
  </si>
  <si>
    <t>TXN2025-02549</t>
  </si>
  <si>
    <t>TXN2025-02550</t>
  </si>
  <si>
    <t>TXN2025-02551</t>
  </si>
  <si>
    <t>TXN2025-02552</t>
  </si>
  <si>
    <t>TXN2025-02553</t>
  </si>
  <si>
    <t>TXN2025-02554</t>
  </si>
  <si>
    <t>TXN2025-02555</t>
  </si>
  <si>
    <t>TXN2025-02556</t>
  </si>
  <si>
    <t>TXN2025-02557</t>
  </si>
  <si>
    <t>TXN2025-02558</t>
  </si>
  <si>
    <t>TXN2025-02559</t>
  </si>
  <si>
    <t>TXN2025-02560</t>
  </si>
  <si>
    <t>TXN2025-02561</t>
  </si>
  <si>
    <t>TXN2025-02562</t>
  </si>
  <si>
    <t>TXN2025-02563</t>
  </si>
  <si>
    <t>TXN2025-02564</t>
  </si>
  <si>
    <t>TXN2025-02565</t>
  </si>
  <si>
    <t>TXN2025-02566</t>
  </si>
  <si>
    <t>TXN2025-02567</t>
  </si>
  <si>
    <t>TXN2025-02568</t>
  </si>
  <si>
    <t>TXN2025-02569</t>
  </si>
  <si>
    <t>TXN2025-02570</t>
  </si>
  <si>
    <t>TXN2025-02571</t>
  </si>
  <si>
    <t>TXN2025-02572</t>
  </si>
  <si>
    <t>TXN2025-02573</t>
  </si>
  <si>
    <t>TXN2025-02574</t>
  </si>
  <si>
    <t>TXN2025-02575</t>
  </si>
  <si>
    <t>TXN2025-02576</t>
  </si>
  <si>
    <t>TXN2025-02577</t>
  </si>
  <si>
    <t>TXN2025-02578</t>
  </si>
  <si>
    <t>TXN2025-02579</t>
  </si>
  <si>
    <t>TXN2025-02580</t>
  </si>
  <si>
    <t>TXN2025-02581</t>
  </si>
  <si>
    <t>TXN2025-02582</t>
  </si>
  <si>
    <t>TXN2025-02583</t>
  </si>
  <si>
    <t>TXN2025-02584</t>
  </si>
  <si>
    <t>TXN2025-02585</t>
  </si>
  <si>
    <t>TXN2025-02586</t>
  </si>
  <si>
    <t>TXN2025-02587</t>
  </si>
  <si>
    <t>TXN2025-02588</t>
  </si>
  <si>
    <t>TXN2025-02589</t>
  </si>
  <si>
    <t>TXN2025-02590</t>
  </si>
  <si>
    <t>TXN2025-02591</t>
  </si>
  <si>
    <t>TXN2025-02592</t>
  </si>
  <si>
    <t>TXN2025-02593</t>
  </si>
  <si>
    <t>TXN2025-02594</t>
  </si>
  <si>
    <t>TXN2025-02595</t>
  </si>
  <si>
    <t>TXN2025-02596</t>
  </si>
  <si>
    <t>TXN2025-02597</t>
  </si>
  <si>
    <t>TXN2025-02598</t>
  </si>
  <si>
    <t>TXN2025-02599</t>
  </si>
  <si>
    <t>TXN2025-02600</t>
  </si>
  <si>
    <t>TXN2025-02601</t>
  </si>
  <si>
    <t>TXN2025-02602</t>
  </si>
  <si>
    <t>TXN2025-02603</t>
  </si>
  <si>
    <t>TXN2025-02604</t>
  </si>
  <si>
    <t>TXN2025-02605</t>
  </si>
  <si>
    <t>TXN2025-02606</t>
  </si>
  <si>
    <t>TXN2025-02607</t>
  </si>
  <si>
    <t>TXN2025-02608</t>
  </si>
  <si>
    <t>TXN2025-02609</t>
  </si>
  <si>
    <t>TXN2025-02610</t>
  </si>
  <si>
    <t>TXN2025-02611</t>
  </si>
  <si>
    <t>TXN2025-02612</t>
  </si>
  <si>
    <t>TXN2025-02613</t>
  </si>
  <si>
    <t>TXN2025-02614</t>
  </si>
  <si>
    <t>TXN2025-02615</t>
  </si>
  <si>
    <t>TXN2025-02616</t>
  </si>
  <si>
    <t>TXN2025-02617</t>
  </si>
  <si>
    <t>TXN2025-02618</t>
  </si>
  <si>
    <t>TXN2025-02619</t>
  </si>
  <si>
    <t>TXN2025-02620</t>
  </si>
  <si>
    <t>TXN2025-02621</t>
  </si>
  <si>
    <t>TXN2025-02622</t>
  </si>
  <si>
    <t>TXN2025-02623</t>
  </si>
  <si>
    <t>TXN2025-02624</t>
  </si>
  <si>
    <t>TXN2025-02625</t>
  </si>
  <si>
    <t>TXN2025-02626</t>
  </si>
  <si>
    <t>TXN2025-02627</t>
  </si>
  <si>
    <t>TXN2025-02628</t>
  </si>
  <si>
    <t>TXN2025-02629</t>
  </si>
  <si>
    <t>TXN2025-02630</t>
  </si>
  <si>
    <t>TXN2025-02631</t>
  </si>
  <si>
    <t>TXN2025-02632</t>
  </si>
  <si>
    <t>TXN2025-02633</t>
  </si>
  <si>
    <t>TXN2025-02634</t>
  </si>
  <si>
    <t>TXN2025-02635</t>
  </si>
  <si>
    <t>TXN2025-02636</t>
  </si>
  <si>
    <t>TXN2025-02637</t>
  </si>
  <si>
    <t>TXN2025-02638</t>
  </si>
  <si>
    <t>TXN2025-02639</t>
  </si>
  <si>
    <t>TXN2025-02640</t>
  </si>
  <si>
    <t>TXN2025-02641</t>
  </si>
  <si>
    <t>TXN2025-02642</t>
  </si>
  <si>
    <t>TXN2025-02643</t>
  </si>
  <si>
    <t>TXN2025-02644</t>
  </si>
  <si>
    <t>TXN2025-02645</t>
  </si>
  <si>
    <t>TXN2025-02646</t>
  </si>
  <si>
    <t>TXN2025-02647</t>
  </si>
  <si>
    <t>TXN2025-02648</t>
  </si>
  <si>
    <t>TXN2025-02649</t>
  </si>
  <si>
    <t>TXN2025-02650</t>
  </si>
  <si>
    <t>TXN2025-02651</t>
  </si>
  <si>
    <t>TXN2025-02652</t>
  </si>
  <si>
    <t>TXN2025-02653</t>
  </si>
  <si>
    <t>TXN2025-02654</t>
  </si>
  <si>
    <t>TXN2025-02655</t>
  </si>
  <si>
    <t>TXN2025-02656</t>
  </si>
  <si>
    <t>TXN2025-02657</t>
  </si>
  <si>
    <t>TXN2025-02658</t>
  </si>
  <si>
    <t>TXN2025-02659</t>
  </si>
  <si>
    <t>TXN2025-02660</t>
  </si>
  <si>
    <t>TXN2025-02661</t>
  </si>
  <si>
    <t>TXN2025-02662</t>
  </si>
  <si>
    <t>TXN2025-02663</t>
  </si>
  <si>
    <t>TXN2025-02664</t>
  </si>
  <si>
    <t>TXN2025-02665</t>
  </si>
  <si>
    <t>TXN2025-02666</t>
  </si>
  <si>
    <t>TXN2025-02667</t>
  </si>
  <si>
    <t>TXN2025-02668</t>
  </si>
  <si>
    <t>TXN2025-02669</t>
  </si>
  <si>
    <t>TXN2025-02670</t>
  </si>
  <si>
    <t>TXN2025-02671</t>
  </si>
  <si>
    <t>TXN2025-02672</t>
  </si>
  <si>
    <t>TXN2025-02673</t>
  </si>
  <si>
    <t>TXN2025-02674</t>
  </si>
  <si>
    <t>TXN2025-02675</t>
  </si>
  <si>
    <t>TXN2025-02676</t>
  </si>
  <si>
    <t>TXN2025-02677</t>
  </si>
  <si>
    <t>TXN2025-02678</t>
  </si>
  <si>
    <t>TXN2025-02679</t>
  </si>
  <si>
    <t>TXN2025-02680</t>
  </si>
  <si>
    <t>TXN2025-02681</t>
  </si>
  <si>
    <t>TXN2025-02682</t>
  </si>
  <si>
    <t>TXN2025-02683</t>
  </si>
  <si>
    <t>TXN2025-02684</t>
  </si>
  <si>
    <t>TXN2025-02685</t>
  </si>
  <si>
    <t>TXN2025-02686</t>
  </si>
  <si>
    <t>TXN2025-02687</t>
  </si>
  <si>
    <t>TXN2025-02688</t>
  </si>
  <si>
    <t>TXN2025-02689</t>
  </si>
  <si>
    <t>TXN2025-02690</t>
  </si>
  <si>
    <t>TXN2025-02691</t>
  </si>
  <si>
    <t>TXN2025-02692</t>
  </si>
  <si>
    <t>TXN2025-02693</t>
  </si>
  <si>
    <t>TXN2025-02694</t>
  </si>
  <si>
    <t>TXN2025-02695</t>
  </si>
  <si>
    <t>TXN2025-02696</t>
  </si>
  <si>
    <t>TXN2025-02697</t>
  </si>
  <si>
    <t>TXN2025-02698</t>
  </si>
  <si>
    <t>TXN2025-02699</t>
  </si>
  <si>
    <t>TXN2025-02700</t>
  </si>
  <si>
    <t>TXN2025-02701</t>
  </si>
  <si>
    <t>TXN2025-02702</t>
  </si>
  <si>
    <t>TXN2025-02703</t>
  </si>
  <si>
    <t>TXN2025-02704</t>
  </si>
  <si>
    <t>TXN2025-02705</t>
  </si>
  <si>
    <t>TXN2025-02706</t>
  </si>
  <si>
    <t>TXN2025-02707</t>
  </si>
  <si>
    <t>TXN2025-02708</t>
  </si>
  <si>
    <t>TXN2025-02709</t>
  </si>
  <si>
    <t>TXN2025-02710</t>
  </si>
  <si>
    <t>TXN2025-02711</t>
  </si>
  <si>
    <t>TXN2025-02712</t>
  </si>
  <si>
    <t>TXN2025-02713</t>
  </si>
  <si>
    <t>TXN2025-02714</t>
  </si>
  <si>
    <t>TXN2025-02715</t>
  </si>
  <si>
    <t>TXN2025-02716</t>
  </si>
  <si>
    <t>TXN2025-02717</t>
  </si>
  <si>
    <t>TXN2025-02718</t>
  </si>
  <si>
    <t>TXN2025-02719</t>
  </si>
  <si>
    <t>TXN2025-02720</t>
  </si>
  <si>
    <t>TXN2025-02721</t>
  </si>
  <si>
    <t>TXN2025-02722</t>
  </si>
  <si>
    <t>TXN2025-02723</t>
  </si>
  <si>
    <t>TXN2025-02724</t>
  </si>
  <si>
    <t>TXN2025-02725</t>
  </si>
  <si>
    <t>TXN2025-02726</t>
  </si>
  <si>
    <t>TXN2025-02727</t>
  </si>
  <si>
    <t>TXN2025-02728</t>
  </si>
  <si>
    <t>TXN2025-02729</t>
  </si>
  <si>
    <t>TXN2025-02730</t>
  </si>
  <si>
    <t>TXN2025-02731</t>
  </si>
  <si>
    <t>TXN2025-02732</t>
  </si>
  <si>
    <t>TXN2025-02733</t>
  </si>
  <si>
    <t>TXN2025-02734</t>
  </si>
  <si>
    <t>TXN2025-02735</t>
  </si>
  <si>
    <t>TXN2025-02736</t>
  </si>
  <si>
    <t>TXN2025-02737</t>
  </si>
  <si>
    <t>TXN2025-02738</t>
  </si>
  <si>
    <t>TXN2025-02739</t>
  </si>
  <si>
    <t>TXN2025-02740</t>
  </si>
  <si>
    <t>TXN2025-02741</t>
  </si>
  <si>
    <t>TXN2025-02742</t>
  </si>
  <si>
    <t>TXN2025-02743</t>
  </si>
  <si>
    <t>TXN2025-02744</t>
  </si>
  <si>
    <t>TXN2025-02745</t>
  </si>
  <si>
    <t>TXN2025-02746</t>
  </si>
  <si>
    <t>TXN2025-02747</t>
  </si>
  <si>
    <t>TXN2025-02748</t>
  </si>
  <si>
    <t>TXN2025-02749</t>
  </si>
  <si>
    <t>TXN2025-02750</t>
  </si>
  <si>
    <t>TXN2025-02751</t>
  </si>
  <si>
    <t>TXN2025-02752</t>
  </si>
  <si>
    <t>TXN2025-02753</t>
  </si>
  <si>
    <t>TXN2025-02754</t>
  </si>
  <si>
    <t>TXN2025-02755</t>
  </si>
  <si>
    <t>TXN2025-02756</t>
  </si>
  <si>
    <t>TXN2025-02757</t>
  </si>
  <si>
    <t>TXN2025-02758</t>
  </si>
  <si>
    <t>TXN2025-02759</t>
  </si>
  <si>
    <t>TXN2025-02760</t>
  </si>
  <si>
    <t>TXN2025-02761</t>
  </si>
  <si>
    <t>TXN2025-02762</t>
  </si>
  <si>
    <t>TXN2025-02763</t>
  </si>
  <si>
    <t>TXN2025-02764</t>
  </si>
  <si>
    <t>TXN2025-02765</t>
  </si>
  <si>
    <t>TXN2025-02766</t>
  </si>
  <si>
    <t>TXN2025-02767</t>
  </si>
  <si>
    <t>TXN2025-02768</t>
  </si>
  <si>
    <t>TXN2025-02769</t>
  </si>
  <si>
    <t>TXN2025-02770</t>
  </si>
  <si>
    <t>TXN2025-02771</t>
  </si>
  <si>
    <t>TXN2025-02772</t>
  </si>
  <si>
    <t>TXN2025-02773</t>
  </si>
  <si>
    <t>TXN2025-02774</t>
  </si>
  <si>
    <t>TXN2025-02775</t>
  </si>
  <si>
    <t>TXN2025-02776</t>
  </si>
  <si>
    <t>TXN2025-02777</t>
  </si>
  <si>
    <t>TXN2025-02778</t>
  </si>
  <si>
    <t>TXN2025-02779</t>
  </si>
  <si>
    <t>TXN2025-02780</t>
  </si>
  <si>
    <t>TXN2025-02781</t>
  </si>
  <si>
    <t>TXN2025-02782</t>
  </si>
  <si>
    <t>TXN2025-02783</t>
  </si>
  <si>
    <t>TXN2025-02784</t>
  </si>
  <si>
    <t>TXN2025-02785</t>
  </si>
  <si>
    <t>TXN2025-02786</t>
  </si>
  <si>
    <t>TXN2025-02787</t>
  </si>
  <si>
    <t>TXN2025-02788</t>
  </si>
  <si>
    <t>TXN2025-02789</t>
  </si>
  <si>
    <t>TXN2025-02790</t>
  </si>
  <si>
    <t>TXN2025-02791</t>
  </si>
  <si>
    <t>TXN2025-02792</t>
  </si>
  <si>
    <t>TXN2025-02793</t>
  </si>
  <si>
    <t>TXN2025-02794</t>
  </si>
  <si>
    <t>TXN2025-02795</t>
  </si>
  <si>
    <t>TXN2025-02796</t>
  </si>
  <si>
    <t>TXN2025-02797</t>
  </si>
  <si>
    <t>TXN2025-02798</t>
  </si>
  <si>
    <t>TXN2025-02799</t>
  </si>
  <si>
    <t>TXN2025-02800</t>
  </si>
  <si>
    <t>TXN2025-02801</t>
  </si>
  <si>
    <t>TXN2025-02802</t>
  </si>
  <si>
    <t>TXN2025-02803</t>
  </si>
  <si>
    <t>TXN2025-02804</t>
  </si>
  <si>
    <t>TXN2025-02805</t>
  </si>
  <si>
    <t>TXN2025-02806</t>
  </si>
  <si>
    <t>TXN2025-02807</t>
  </si>
  <si>
    <t>TXN2025-02808</t>
  </si>
  <si>
    <t>TXN2025-02809</t>
  </si>
  <si>
    <t>TXN2025-02810</t>
  </si>
  <si>
    <t>TXN2025-02811</t>
  </si>
  <si>
    <t>TXN2025-02812</t>
  </si>
  <si>
    <t>TXN2025-02813</t>
  </si>
  <si>
    <t>TXN2025-02814</t>
  </si>
  <si>
    <t>TXN2025-02815</t>
  </si>
  <si>
    <t>TXN2025-02816</t>
  </si>
  <si>
    <t>TXN2025-02817</t>
  </si>
  <si>
    <t>TXN2025-02818</t>
  </si>
  <si>
    <t>TXN2025-02819</t>
  </si>
  <si>
    <t>TXN2025-02820</t>
  </si>
  <si>
    <t>TXN2025-02821</t>
  </si>
  <si>
    <t>TXN2025-02822</t>
  </si>
  <si>
    <t>TXN2025-02823</t>
  </si>
  <si>
    <t>TXN2025-02824</t>
  </si>
  <si>
    <t>TXN2025-02825</t>
  </si>
  <si>
    <t>TXN2025-02826</t>
  </si>
  <si>
    <t>TXN2025-02827</t>
  </si>
  <si>
    <t>TXN2025-02828</t>
  </si>
  <si>
    <t>TXN2025-02829</t>
  </si>
  <si>
    <t>TXN2025-02830</t>
  </si>
  <si>
    <t>TXN2025-02831</t>
  </si>
  <si>
    <t>TXN2025-02832</t>
  </si>
  <si>
    <t>TXN2025-02833</t>
  </si>
  <si>
    <t>TXN2025-02834</t>
  </si>
  <si>
    <t>TXN2025-02835</t>
  </si>
  <si>
    <t>TXN2025-02836</t>
  </si>
  <si>
    <t>TXN2025-02837</t>
  </si>
  <si>
    <t>TXN2025-02838</t>
  </si>
  <si>
    <t>TXN2025-02839</t>
  </si>
  <si>
    <t>TXN2025-02840</t>
  </si>
  <si>
    <t>TXN2025-02841</t>
  </si>
  <si>
    <t>TXN2025-02842</t>
  </si>
  <si>
    <t>TXN2025-02843</t>
  </si>
  <si>
    <t>TXN2025-02844</t>
  </si>
  <si>
    <t>TXN2025-02845</t>
  </si>
  <si>
    <t>TXN2025-02846</t>
  </si>
  <si>
    <t>TXN2025-02847</t>
  </si>
  <si>
    <t>TXN2025-02848</t>
  </si>
  <si>
    <t>TXN2025-02849</t>
  </si>
  <si>
    <t>TXN2025-02850</t>
  </si>
  <si>
    <t>TXN2025-02851</t>
  </si>
  <si>
    <t>TXN2025-02852</t>
  </si>
  <si>
    <t>TXN2025-02853</t>
  </si>
  <si>
    <t>TXN2025-02854</t>
  </si>
  <si>
    <t>TXN2025-02855</t>
  </si>
  <si>
    <t>TXN2025-02856</t>
  </si>
  <si>
    <t>TXN2025-02857</t>
  </si>
  <si>
    <t>TXN2025-02858</t>
  </si>
  <si>
    <t>TXN2025-02859</t>
  </si>
  <si>
    <t>TXN2025-02860</t>
  </si>
  <si>
    <t>TXN2025-02861</t>
  </si>
  <si>
    <t>TXN2025-02862</t>
  </si>
  <si>
    <t>TXN2025-02863</t>
  </si>
  <si>
    <t>TXN2025-02864</t>
  </si>
  <si>
    <t>TXN2025-02865</t>
  </si>
  <si>
    <t>TXN2025-02866</t>
  </si>
  <si>
    <t>TXN2025-02867</t>
  </si>
  <si>
    <t>TXN2025-02868</t>
  </si>
  <si>
    <t>TXN2025-02869</t>
  </si>
  <si>
    <t>TXN2025-02870</t>
  </si>
  <si>
    <t>TXN2025-02871</t>
  </si>
  <si>
    <t>TXN2025-02872</t>
  </si>
  <si>
    <t>TXN2025-02873</t>
  </si>
  <si>
    <t>TXN2025-02874</t>
  </si>
  <si>
    <t>TXN2025-02875</t>
  </si>
  <si>
    <t>TXN2025-02876</t>
  </si>
  <si>
    <t>TXN2025-02877</t>
  </si>
  <si>
    <t>TXN2025-02878</t>
  </si>
  <si>
    <t>TXN2025-02879</t>
  </si>
  <si>
    <t>TXN2025-02880</t>
  </si>
  <si>
    <t>TXN2025-02881</t>
  </si>
  <si>
    <t>TXN2025-02882</t>
  </si>
  <si>
    <t>TXN2025-02883</t>
  </si>
  <si>
    <t>TXN2025-02884</t>
  </si>
  <si>
    <t>TXN2025-02885</t>
  </si>
  <si>
    <t>TXN2025-02886</t>
  </si>
  <si>
    <t>TXN2025-02887</t>
  </si>
  <si>
    <t>TXN2025-02888</t>
  </si>
  <si>
    <t>TXN2025-02889</t>
  </si>
  <si>
    <t>TXN2025-02890</t>
  </si>
  <si>
    <t>TXN2025-02891</t>
  </si>
  <si>
    <t>TXN2025-02892</t>
  </si>
  <si>
    <t>TXN2025-02893</t>
  </si>
  <si>
    <t>TXN2025-02894</t>
  </si>
  <si>
    <t>TXN2025-02895</t>
  </si>
  <si>
    <t>TXN2025-02896</t>
  </si>
  <si>
    <t>TXN2025-02897</t>
  </si>
  <si>
    <t>TXN2025-02898</t>
  </si>
  <si>
    <t>TXN2025-02899</t>
  </si>
  <si>
    <t>TXN2025-02900</t>
  </si>
  <si>
    <t>TXN2025-02901</t>
  </si>
  <si>
    <t>TXN2025-02902</t>
  </si>
  <si>
    <t>TXN2025-02903</t>
  </si>
  <si>
    <t>TXN2025-02904</t>
  </si>
  <si>
    <t>TXN2025-02905</t>
  </si>
  <si>
    <t>TXN2025-02906</t>
  </si>
  <si>
    <t>TXN2025-02907</t>
  </si>
  <si>
    <t>TXN2025-02908</t>
  </si>
  <si>
    <t>TXN2025-02909</t>
  </si>
  <si>
    <t>TXN2025-02910</t>
  </si>
  <si>
    <t>TXN2025-02911</t>
  </si>
  <si>
    <t>TXN2025-02912</t>
  </si>
  <si>
    <t>TXN2025-02913</t>
  </si>
  <si>
    <t>TXN2025-02914</t>
  </si>
  <si>
    <t>TXN2025-02915</t>
  </si>
  <si>
    <t>TXN2025-02916</t>
  </si>
  <si>
    <t>TXN2025-02917</t>
  </si>
  <si>
    <t>TXN2025-02918</t>
  </si>
  <si>
    <t>TXN2025-02919</t>
  </si>
  <si>
    <t>TXN2025-02920</t>
  </si>
  <si>
    <t>TXN2025-02921</t>
  </si>
  <si>
    <t>TXN2025-02922</t>
  </si>
  <si>
    <t>TXN2025-02923</t>
  </si>
  <si>
    <t>TXN2025-02924</t>
  </si>
  <si>
    <t>TXN2025-02925</t>
  </si>
  <si>
    <t>TXN2025-02926</t>
  </si>
  <si>
    <t>TXN2025-02927</t>
  </si>
  <si>
    <t>TXN2025-02928</t>
  </si>
  <si>
    <t>TXN2025-02929</t>
  </si>
  <si>
    <t>TXN2025-02930</t>
  </si>
  <si>
    <t>TXN2025-02931</t>
  </si>
  <si>
    <t>TXN2025-02932</t>
  </si>
  <si>
    <t>TXN2025-02933</t>
  </si>
  <si>
    <t>TXN2025-02934</t>
  </si>
  <si>
    <t>TXN2025-02935</t>
  </si>
  <si>
    <t>TXN2025-02936</t>
  </si>
  <si>
    <t>TXN2025-02937</t>
  </si>
  <si>
    <t>TXN2025-02938</t>
  </si>
  <si>
    <t>TXN2025-02939</t>
  </si>
  <si>
    <t>TXN2025-02940</t>
  </si>
  <si>
    <t>TXN2025-02941</t>
  </si>
  <si>
    <t>TXN2025-02942</t>
  </si>
  <si>
    <t>TXN2025-02943</t>
  </si>
  <si>
    <t>TXN2025-02944</t>
  </si>
  <si>
    <t>TXN2025-02945</t>
  </si>
  <si>
    <t>TXN2025-02946</t>
  </si>
  <si>
    <t>TXN2025-02947</t>
  </si>
  <si>
    <t>TXN2025-02948</t>
  </si>
  <si>
    <t>TXN2025-02949</t>
  </si>
  <si>
    <t>TXN2025-02950</t>
  </si>
  <si>
    <t>TXN2025-02951</t>
  </si>
  <si>
    <t>TXN2025-02952</t>
  </si>
  <si>
    <t>TXN2025-02953</t>
  </si>
  <si>
    <t>TXN2025-02954</t>
  </si>
  <si>
    <t>TXN2025-02955</t>
  </si>
  <si>
    <t>TXN2025-02956</t>
  </si>
  <si>
    <t>TXN2025-02957</t>
  </si>
  <si>
    <t>TXN2025-02958</t>
  </si>
  <si>
    <t>TXN2025-02959</t>
  </si>
  <si>
    <t>TXN2025-02960</t>
  </si>
  <si>
    <t>TXN2025-02961</t>
  </si>
  <si>
    <t>TXN2025-02962</t>
  </si>
  <si>
    <t>TXN2025-02963</t>
  </si>
  <si>
    <t>TXN2025-02964</t>
  </si>
  <si>
    <t>TXN2025-02965</t>
  </si>
  <si>
    <t>TXN2025-02966</t>
  </si>
  <si>
    <t>TXN2025-02967</t>
  </si>
  <si>
    <t>TXN2025-02968</t>
  </si>
  <si>
    <t>TXN2025-02969</t>
  </si>
  <si>
    <t>TXN2025-02970</t>
  </si>
  <si>
    <t>TXN2025-02971</t>
  </si>
  <si>
    <t>TXN2025-02972</t>
  </si>
  <si>
    <t>TXN2025-02973</t>
  </si>
  <si>
    <t>TXN2025-02974</t>
  </si>
  <si>
    <t>TXN2025-02975</t>
  </si>
  <si>
    <t>TXN2025-02976</t>
  </si>
  <si>
    <t>TXN2025-02977</t>
  </si>
  <si>
    <t>TXN2025-02978</t>
  </si>
  <si>
    <t>TXN2025-02979</t>
  </si>
  <si>
    <t>TXN2025-02980</t>
  </si>
  <si>
    <t>TXN2025-02981</t>
  </si>
  <si>
    <t>TXN2025-02982</t>
  </si>
  <si>
    <t>TXN2025-02983</t>
  </si>
  <si>
    <t>TXN2025-02984</t>
  </si>
  <si>
    <t>TXN2025-02985</t>
  </si>
  <si>
    <t>TXN2025-02986</t>
  </si>
  <si>
    <t>TXN2025-02987</t>
  </si>
  <si>
    <t>TXN2025-02988</t>
  </si>
  <si>
    <t>TXN2025-02989</t>
  </si>
  <si>
    <t>TXN2025-02990</t>
  </si>
  <si>
    <t>TXN2025-02991</t>
  </si>
  <si>
    <t>TXN2025-02992</t>
  </si>
  <si>
    <t>TXN2025-02993</t>
  </si>
  <si>
    <t>TXN2025-02994</t>
  </si>
  <si>
    <t>TXN2025-02995</t>
  </si>
  <si>
    <t>TXN2025-02996</t>
  </si>
  <si>
    <t>TXN2025-02997</t>
  </si>
  <si>
    <t>TXN2025-02998</t>
  </si>
  <si>
    <t>TXN2025-02999</t>
  </si>
  <si>
    <t>TXN2025-03000</t>
  </si>
  <si>
    <t>TXN2025-03001</t>
  </si>
  <si>
    <t>TXN2025-03002</t>
  </si>
  <si>
    <t>TXN2025-03003</t>
  </si>
  <si>
    <t>TXN2025-03004</t>
  </si>
  <si>
    <t>TXN2025-03005</t>
  </si>
  <si>
    <t>TXN2025-03006</t>
  </si>
  <si>
    <t>TXN2025-03007</t>
  </si>
  <si>
    <t>TXN2025-03008</t>
  </si>
  <si>
    <t>TXN2025-03009</t>
  </si>
  <si>
    <t>TXN2025-03010</t>
  </si>
  <si>
    <t>TXN2025-03011</t>
  </si>
  <si>
    <t>TXN2025-03012</t>
  </si>
  <si>
    <t>TXN2025-03013</t>
  </si>
  <si>
    <t>TXN2025-03014</t>
  </si>
  <si>
    <t>TXN2025-03015</t>
  </si>
  <si>
    <t>TXN2025-03016</t>
  </si>
  <si>
    <t>TXN2025-03017</t>
  </si>
  <si>
    <t>TXN2025-03018</t>
  </si>
  <si>
    <t>TXN2025-03019</t>
  </si>
  <si>
    <t>TXN2025-03020</t>
  </si>
  <si>
    <t>TXN2025-03021</t>
  </si>
  <si>
    <t>TXN2025-03022</t>
  </si>
  <si>
    <t>TXN2025-03023</t>
  </si>
  <si>
    <t>TXN2025-03024</t>
  </si>
  <si>
    <t>TXN2025-03025</t>
  </si>
  <si>
    <t>TXN2025-03026</t>
  </si>
  <si>
    <t>TXN2025-03027</t>
  </si>
  <si>
    <t>TXN2025-03028</t>
  </si>
  <si>
    <t>TXN2025-03029</t>
  </si>
  <si>
    <t>TXN2025-03030</t>
  </si>
  <si>
    <t>TXN2025-03031</t>
  </si>
  <si>
    <t>TXN2025-03032</t>
  </si>
  <si>
    <t>TXN2025-03033</t>
  </si>
  <si>
    <t>TXN2025-03034</t>
  </si>
  <si>
    <t>TXN2025-03035</t>
  </si>
  <si>
    <t>TXN2025-03036</t>
  </si>
  <si>
    <t>TXN2025-03037</t>
  </si>
  <si>
    <t>TXN2025-03038</t>
  </si>
  <si>
    <t>TXN2025-03039</t>
  </si>
  <si>
    <t>TXN2025-03040</t>
  </si>
  <si>
    <t>TXN2025-03041</t>
  </si>
  <si>
    <t>TXN2025-03042</t>
  </si>
  <si>
    <t>TXN2025-03043</t>
  </si>
  <si>
    <t>TXN2025-03044</t>
  </si>
  <si>
    <t>TXN2025-03045</t>
  </si>
  <si>
    <t>TXN2025-03046</t>
  </si>
  <si>
    <t>TXN2025-03047</t>
  </si>
  <si>
    <t>TXN2025-03048</t>
  </si>
  <si>
    <t>TXN2025-03049</t>
  </si>
  <si>
    <t>TXN2025-03050</t>
  </si>
  <si>
    <t>TXN2025-03051</t>
  </si>
  <si>
    <t>TXN2025-03052</t>
  </si>
  <si>
    <t>TXN2025-03053</t>
  </si>
  <si>
    <t>TXN2025-03054</t>
  </si>
  <si>
    <t>TXN2025-03055</t>
  </si>
  <si>
    <t>TXN2025-03056</t>
  </si>
  <si>
    <t>TXN2025-03057</t>
  </si>
  <si>
    <t>TXN2025-03058</t>
  </si>
  <si>
    <t>TXN2025-03059</t>
  </si>
  <si>
    <t>TXN2025-03060</t>
  </si>
  <si>
    <t>TXN2025-03061</t>
  </si>
  <si>
    <t>TXN2025-03062</t>
  </si>
  <si>
    <t>TXN2025-03063</t>
  </si>
  <si>
    <t>TXN2025-03064</t>
  </si>
  <si>
    <t>TXN2025-03065</t>
  </si>
  <si>
    <t>TXN2025-03066</t>
  </si>
  <si>
    <t>TXN2025-03067</t>
  </si>
  <si>
    <t>TXN2025-03068</t>
  </si>
  <si>
    <t>TXN2025-03069</t>
  </si>
  <si>
    <t>TXN2025-03070</t>
  </si>
  <si>
    <t>TXN2025-03071</t>
  </si>
  <si>
    <t>TXN2025-03072</t>
  </si>
  <si>
    <t>TXN2025-03073</t>
  </si>
  <si>
    <t>TXN2025-03074</t>
  </si>
  <si>
    <t>TXN2025-03075</t>
  </si>
  <si>
    <t>TXN2025-03076</t>
  </si>
  <si>
    <t>TXN2025-03077</t>
  </si>
  <si>
    <t>TXN2025-03078</t>
  </si>
  <si>
    <t>TXN2025-03079</t>
  </si>
  <si>
    <t>TXN2025-03080</t>
  </si>
  <si>
    <t>TXN2025-03081</t>
  </si>
  <si>
    <t>TXN2025-03082</t>
  </si>
  <si>
    <t>TXN2025-03083</t>
  </si>
  <si>
    <t>TXN2025-03084</t>
  </si>
  <si>
    <t>TXN2025-03085</t>
  </si>
  <si>
    <t>TXN2025-03086</t>
  </si>
  <si>
    <t>TXN2025-03087</t>
  </si>
  <si>
    <t>TXN2025-03088</t>
  </si>
  <si>
    <t>TXN2025-03089</t>
  </si>
  <si>
    <t>TXN2025-03090</t>
  </si>
  <si>
    <t>TXN2025-03091</t>
  </si>
  <si>
    <t>TXN2025-03092</t>
  </si>
  <si>
    <t>TXN2025-03093</t>
  </si>
  <si>
    <t>TXN2025-03094</t>
  </si>
  <si>
    <t>TXN2025-03095</t>
  </si>
  <si>
    <t>TXN2025-03096</t>
  </si>
  <si>
    <t>TXN2025-03097</t>
  </si>
  <si>
    <t>TXN2025-03098</t>
  </si>
  <si>
    <t>TXN2025-03099</t>
  </si>
  <si>
    <t>TXN2025-03100</t>
  </si>
  <si>
    <t>TXN2025-03101</t>
  </si>
  <si>
    <t>TXN2025-03102</t>
  </si>
  <si>
    <t>TXN2025-03103</t>
  </si>
  <si>
    <t>TXN2025-03104</t>
  </si>
  <si>
    <t>TXN2025-03105</t>
  </si>
  <si>
    <t>TXN2025-03106</t>
  </si>
  <si>
    <t>TXN2025-03107</t>
  </si>
  <si>
    <t>TXN2025-03108</t>
  </si>
  <si>
    <t>TXN2025-03109</t>
  </si>
  <si>
    <t>TXN2025-03110</t>
  </si>
  <si>
    <t>TXN2025-03111</t>
  </si>
  <si>
    <t>TXN2025-03112</t>
  </si>
  <si>
    <t>TXN2025-03113</t>
  </si>
  <si>
    <t>TXN2025-03114</t>
  </si>
  <si>
    <t>TXN2025-03115</t>
  </si>
  <si>
    <t>TXN2025-03116</t>
  </si>
  <si>
    <t>TXN2025-03117</t>
  </si>
  <si>
    <t>TXN2025-03118</t>
  </si>
  <si>
    <t>TXN2025-03119</t>
  </si>
  <si>
    <t>TXN2025-03120</t>
  </si>
  <si>
    <t>TXN2025-03121</t>
  </si>
  <si>
    <t>TXN2025-03122</t>
  </si>
  <si>
    <t>TXN2025-03123</t>
  </si>
  <si>
    <t>TXN2025-03124</t>
  </si>
  <si>
    <t>TXN2025-03125</t>
  </si>
  <si>
    <t>TXN2025-03126</t>
  </si>
  <si>
    <t>TXN2025-03127</t>
  </si>
  <si>
    <t>TXN2025-03128</t>
  </si>
  <si>
    <t>TXN2025-03129</t>
  </si>
  <si>
    <t>TXN2025-03130</t>
  </si>
  <si>
    <t>TXN2025-03131</t>
  </si>
  <si>
    <t>TXN2025-03132</t>
  </si>
  <si>
    <t>TXN2025-03133</t>
  </si>
  <si>
    <t>TXN2025-03134</t>
  </si>
  <si>
    <t>TXN2025-03135</t>
  </si>
  <si>
    <t>TXN2025-03136</t>
  </si>
  <si>
    <t>TXN2025-03137</t>
  </si>
  <si>
    <t>TXN2025-03138</t>
  </si>
  <si>
    <t>TXN2025-03139</t>
  </si>
  <si>
    <t>TXN2025-03140</t>
  </si>
  <si>
    <t>TXN2025-03141</t>
  </si>
  <si>
    <t>TXN2025-03142</t>
  </si>
  <si>
    <t>TXN2025-03143</t>
  </si>
  <si>
    <t>TXN2025-03144</t>
  </si>
  <si>
    <t>TXN2025-03145</t>
  </si>
  <si>
    <t>TXN2025-03146</t>
  </si>
  <si>
    <t>TXN2025-03147</t>
  </si>
  <si>
    <t>TXN2025-03148</t>
  </si>
  <si>
    <t>TXN2025-03149</t>
  </si>
  <si>
    <t>TXN2025-03150</t>
  </si>
  <si>
    <t>TXN2025-03151</t>
  </si>
  <si>
    <t>TXN2025-03152</t>
  </si>
  <si>
    <t>TXN2025-03153</t>
  </si>
  <si>
    <t>TXN2025-03154</t>
  </si>
  <si>
    <t>TXN2025-03155</t>
  </si>
  <si>
    <t>TXN2025-03156</t>
  </si>
  <si>
    <t>TXN2025-03157</t>
  </si>
  <si>
    <t>TXN2025-03158</t>
  </si>
  <si>
    <t>TXN2025-03159</t>
  </si>
  <si>
    <t>TXN2025-03160</t>
  </si>
  <si>
    <t>TXN2025-03161</t>
  </si>
  <si>
    <t>TXN2025-03162</t>
  </si>
  <si>
    <t>TXN2025-03163</t>
  </si>
  <si>
    <t>TXN2025-03164</t>
  </si>
  <si>
    <t>TXN2025-03165</t>
  </si>
  <si>
    <t>TXN2025-03166</t>
  </si>
  <si>
    <t>TXN2025-03167</t>
  </si>
  <si>
    <t>TXN2025-03168</t>
  </si>
  <si>
    <t>TXN2025-03169</t>
  </si>
  <si>
    <t>TXN2025-03170</t>
  </si>
  <si>
    <t>TXN2025-03171</t>
  </si>
  <si>
    <t>TXN2025-03172</t>
  </si>
  <si>
    <t>TXN2025-03173</t>
  </si>
  <si>
    <t>TXN2025-03174</t>
  </si>
  <si>
    <t>TXN2025-03175</t>
  </si>
  <si>
    <t>TXN2025-03176</t>
  </si>
  <si>
    <t>TXN2025-03177</t>
  </si>
  <si>
    <t>TXN2025-03178</t>
  </si>
  <si>
    <t>TXN2025-03179</t>
  </si>
  <si>
    <t>TXN2025-03180</t>
  </si>
  <si>
    <t>TXN2025-03181</t>
  </si>
  <si>
    <t>TXN2025-03182</t>
  </si>
  <si>
    <t>TXN2025-03183</t>
  </si>
  <si>
    <t>TXN2025-03184</t>
  </si>
  <si>
    <t>TXN2025-03185</t>
  </si>
  <si>
    <t>TXN2025-03186</t>
  </si>
  <si>
    <t>TXN2025-03187</t>
  </si>
  <si>
    <t>TXN2025-03188</t>
  </si>
  <si>
    <t>TXN2025-03189</t>
  </si>
  <si>
    <t>TXN2025-03190</t>
  </si>
  <si>
    <t>TXN2025-03191</t>
  </si>
  <si>
    <t>TXN2025-03192</t>
  </si>
  <si>
    <t>TXN2025-03193</t>
  </si>
  <si>
    <t>TXN2025-03194</t>
  </si>
  <si>
    <t>TXN2025-03195</t>
  </si>
  <si>
    <t>TXN2025-03196</t>
  </si>
  <si>
    <t>TXN2025-03197</t>
  </si>
  <si>
    <t>TXN2025-03198</t>
  </si>
  <si>
    <t>TXN2025-03199</t>
  </si>
  <si>
    <t>TXN2025-03200</t>
  </si>
  <si>
    <t>TXN2025-03201</t>
  </si>
  <si>
    <t>TXN2025-03202</t>
  </si>
  <si>
    <t>TXN2025-03203</t>
  </si>
  <si>
    <t>TXN2025-03204</t>
  </si>
  <si>
    <t>TXN2025-03205</t>
  </si>
  <si>
    <t>TXN2025-03206</t>
  </si>
  <si>
    <t>TXN2025-03207</t>
  </si>
  <si>
    <t>TXN2025-03208</t>
  </si>
  <si>
    <t>TXN2025-03209</t>
  </si>
  <si>
    <t>TXN2025-03210</t>
  </si>
  <si>
    <t>TXN2025-03211</t>
  </si>
  <si>
    <t>TXN2025-03212</t>
  </si>
  <si>
    <t>TXN2025-03213</t>
  </si>
  <si>
    <t>TXN2025-03214</t>
  </si>
  <si>
    <t>TXN2025-03215</t>
  </si>
  <si>
    <t>TXN2025-03216</t>
  </si>
  <si>
    <t>TXN2025-03217</t>
  </si>
  <si>
    <t>TXN2025-03218</t>
  </si>
  <si>
    <t>TXN2025-03219</t>
  </si>
  <si>
    <t>TXN2025-03220</t>
  </si>
  <si>
    <t>TXN2025-03221</t>
  </si>
  <si>
    <t>TXN2025-03222</t>
  </si>
  <si>
    <t>TXN2025-03223</t>
  </si>
  <si>
    <t>TXN2025-03224</t>
  </si>
  <si>
    <t>TXN2025-03225</t>
  </si>
  <si>
    <t>TXN2025-03226</t>
  </si>
  <si>
    <t>TXN2025-03227</t>
  </si>
  <si>
    <t>TXN2025-03228</t>
  </si>
  <si>
    <t>TXN2025-03229</t>
  </si>
  <si>
    <t>TXN2025-03230</t>
  </si>
  <si>
    <t>TXN2025-03231</t>
  </si>
  <si>
    <t>TXN2025-03232</t>
  </si>
  <si>
    <t>TXN2025-03233</t>
  </si>
  <si>
    <t>TXN2025-03234</t>
  </si>
  <si>
    <t>TXN2025-03235</t>
  </si>
  <si>
    <t>TXN2025-03236</t>
  </si>
  <si>
    <t>TXN2025-03237</t>
  </si>
  <si>
    <t>TXN2025-03238</t>
  </si>
  <si>
    <t>TXN2025-03239</t>
  </si>
  <si>
    <t>TXN2025-03240</t>
  </si>
  <si>
    <t>TXN2025-03241</t>
  </si>
  <si>
    <t>TXN2025-03242</t>
  </si>
  <si>
    <t>TXN2025-03243</t>
  </si>
  <si>
    <t>TXN2025-03244</t>
  </si>
  <si>
    <t>TXN2025-03245</t>
  </si>
  <si>
    <t>TXN2025-03246</t>
  </si>
  <si>
    <t>TXN2025-03247</t>
  </si>
  <si>
    <t>TXN2025-03248</t>
  </si>
  <si>
    <t>TXN2025-03249</t>
  </si>
  <si>
    <t>TXN2025-03250</t>
  </si>
  <si>
    <t>TXN2025-03251</t>
  </si>
  <si>
    <t>TXN2025-03252</t>
  </si>
  <si>
    <t>TXN2025-03253</t>
  </si>
  <si>
    <t>TXN2025-03254</t>
  </si>
  <si>
    <t>TXN2025-03255</t>
  </si>
  <si>
    <t>TXN2025-03256</t>
  </si>
  <si>
    <t>TXN2025-03257</t>
  </si>
  <si>
    <t>TXN2025-03258</t>
  </si>
  <si>
    <t>TXN2025-03259</t>
  </si>
  <si>
    <t>TXN2025-03260</t>
  </si>
  <si>
    <t>TXN2025-03261</t>
  </si>
  <si>
    <t>TXN2025-03262</t>
  </si>
  <si>
    <t>TXN2025-03263</t>
  </si>
  <si>
    <t>TXN2025-03264</t>
  </si>
  <si>
    <t>TXN2025-03265</t>
  </si>
  <si>
    <t>TXN2025-03266</t>
  </si>
  <si>
    <t>TXN2025-03267</t>
  </si>
  <si>
    <t>TXN2025-03268</t>
  </si>
  <si>
    <t>TXN2025-03269</t>
  </si>
  <si>
    <t>TXN2025-03270</t>
  </si>
  <si>
    <t>TXN2025-03271</t>
  </si>
  <si>
    <t>TXN2025-03272</t>
  </si>
  <si>
    <t>TXN2025-03273</t>
  </si>
  <si>
    <t>TXN2025-03274</t>
  </si>
  <si>
    <t>TXN2025-03275</t>
  </si>
  <si>
    <t>TXN2025-03276</t>
  </si>
  <si>
    <t>TXN2025-03277</t>
  </si>
  <si>
    <t>TXN2025-03278</t>
  </si>
  <si>
    <t>TXN2025-03279</t>
  </si>
  <si>
    <t>TXN2025-03280</t>
  </si>
  <si>
    <t>TXN2025-03281</t>
  </si>
  <si>
    <t>TXN2025-03282</t>
  </si>
  <si>
    <t>TXN2025-03283</t>
  </si>
  <si>
    <t>TXN2025-03284</t>
  </si>
  <si>
    <t>TXN2025-03285</t>
  </si>
  <si>
    <t>TXN2025-03286</t>
  </si>
  <si>
    <t>TXN2025-03287</t>
  </si>
  <si>
    <t>TXN2025-03288</t>
  </si>
  <si>
    <t>TXN2025-03289</t>
  </si>
  <si>
    <t>TXN2025-03290</t>
  </si>
  <si>
    <t>TXN2025-03291</t>
  </si>
  <si>
    <t>TXN2025-03292</t>
  </si>
  <si>
    <t>TXN2025-03293</t>
  </si>
  <si>
    <t>TXN2025-03294</t>
  </si>
  <si>
    <t>TXN2025-03295</t>
  </si>
  <si>
    <t>TXN2025-03296</t>
  </si>
  <si>
    <t>TXN2025-03297</t>
  </si>
  <si>
    <t>TXN2025-03298</t>
  </si>
  <si>
    <t>TXN2025-03299</t>
  </si>
  <si>
    <t>TXN2025-03300</t>
  </si>
  <si>
    <t>TXN2025-03301</t>
  </si>
  <si>
    <t>TXN2025-03302</t>
  </si>
  <si>
    <t>TXN2025-03303</t>
  </si>
  <si>
    <t>TXN2025-03304</t>
  </si>
  <si>
    <t>TXN2025-03305</t>
  </si>
  <si>
    <t>TXN2025-03306</t>
  </si>
  <si>
    <t>TXN2025-03307</t>
  </si>
  <si>
    <t>TXN2025-03308</t>
  </si>
  <si>
    <t>TXN2025-03309</t>
  </si>
  <si>
    <t>TXN2025-03310</t>
  </si>
  <si>
    <t>TXN2025-03311</t>
  </si>
  <si>
    <t>TXN2025-03312</t>
  </si>
  <si>
    <t>TXN2025-03313</t>
  </si>
  <si>
    <t>TXN2025-03314</t>
  </si>
  <si>
    <t>TXN2025-03315</t>
  </si>
  <si>
    <t>TXN2025-03316</t>
  </si>
  <si>
    <t>TXN2025-03317</t>
  </si>
  <si>
    <t>TXN2025-03318</t>
  </si>
  <si>
    <t>TXN2025-03319</t>
  </si>
  <si>
    <t>TXN2025-03320</t>
  </si>
  <si>
    <t>TXN2025-03321</t>
  </si>
  <si>
    <t>TXN2025-03322</t>
  </si>
  <si>
    <t>TXN2025-03323</t>
  </si>
  <si>
    <t>TXN2025-03324</t>
  </si>
  <si>
    <t>TXN2025-03325</t>
  </si>
  <si>
    <t>TXN2025-03326</t>
  </si>
  <si>
    <t>TXN2025-03327</t>
  </si>
  <si>
    <t>TXN2025-03328</t>
  </si>
  <si>
    <t>TXN2025-03329</t>
  </si>
  <si>
    <t>TXN2025-03330</t>
  </si>
  <si>
    <t>TXN2025-03331</t>
  </si>
  <si>
    <t>TXN2025-03332</t>
  </si>
  <si>
    <t>TXN2025-03333</t>
  </si>
  <si>
    <t>TXN2025-03334</t>
  </si>
  <si>
    <t>TXN2025-03335</t>
  </si>
  <si>
    <t>TXN2025-03336</t>
  </si>
  <si>
    <t>TXN2025-03337</t>
  </si>
  <si>
    <t>TXN2025-03338</t>
  </si>
  <si>
    <t>TXN2025-03339</t>
  </si>
  <si>
    <t>TXN2025-03340</t>
  </si>
  <si>
    <t>TXN2025-03341</t>
  </si>
  <si>
    <t>TXN2025-03342</t>
  </si>
  <si>
    <t>TXN2025-03343</t>
  </si>
  <si>
    <t>TXN2025-03344</t>
  </si>
  <si>
    <t>TXN2025-03345</t>
  </si>
  <si>
    <t>TXN2025-03346</t>
  </si>
  <si>
    <t>TXN2025-03347</t>
  </si>
  <si>
    <t>TXN2025-03348</t>
  </si>
  <si>
    <t>TXN2025-03349</t>
  </si>
  <si>
    <t>TXN2025-03350</t>
  </si>
  <si>
    <t>TXN2025-03351</t>
  </si>
  <si>
    <t>TXN2025-03352</t>
  </si>
  <si>
    <t>TXN2025-03353</t>
  </si>
  <si>
    <t>TXN2025-03354</t>
  </si>
  <si>
    <t>TXN2025-03355</t>
  </si>
  <si>
    <t>TXN2025-03356</t>
  </si>
  <si>
    <t>TXN2025-03357</t>
  </si>
  <si>
    <t>TXN2025-03358</t>
  </si>
  <si>
    <t>TXN2025-03359</t>
  </si>
  <si>
    <t>TXN2025-03360</t>
  </si>
  <si>
    <t>TXN2025-03361</t>
  </si>
  <si>
    <t>TXN2025-03362</t>
  </si>
  <si>
    <t>TXN2025-03363</t>
  </si>
  <si>
    <t>TXN2025-03364</t>
  </si>
  <si>
    <t>TXN2025-03365</t>
  </si>
  <si>
    <t>TXN2025-03366</t>
  </si>
  <si>
    <t>TXN2025-03367</t>
  </si>
  <si>
    <t>TXN2025-03368</t>
  </si>
  <si>
    <t>TXN2025-03369</t>
  </si>
  <si>
    <t>TXN2025-03370</t>
  </si>
  <si>
    <t>TXN2025-03371</t>
  </si>
  <si>
    <t>TXN2025-03372</t>
  </si>
  <si>
    <t>TXN2025-03373</t>
  </si>
  <si>
    <t>TXN2025-03374</t>
  </si>
  <si>
    <t>TXN2025-03375</t>
  </si>
  <si>
    <t>TXN2025-03376</t>
  </si>
  <si>
    <t>TXN2025-03377</t>
  </si>
  <si>
    <t>TXN2025-03378</t>
  </si>
  <si>
    <t>TXN2025-03379</t>
  </si>
  <si>
    <t>TXN2025-03380</t>
  </si>
  <si>
    <t>TXN2025-03381</t>
  </si>
  <si>
    <t>TXN2025-03382</t>
  </si>
  <si>
    <t>TXN2025-03383</t>
  </si>
  <si>
    <t>TXN2025-03384</t>
  </si>
  <si>
    <t>TXN2025-03385</t>
  </si>
  <si>
    <t>TXN2025-03386</t>
  </si>
  <si>
    <t>TXN2025-03387</t>
  </si>
  <si>
    <t>TXN2025-03388</t>
  </si>
  <si>
    <t>TXN2025-03389</t>
  </si>
  <si>
    <t>TXN2025-03390</t>
  </si>
  <si>
    <t>TXN2025-03391</t>
  </si>
  <si>
    <t>TXN2025-03392</t>
  </si>
  <si>
    <t>TXN2025-03393</t>
  </si>
  <si>
    <t>TXN2025-03394</t>
  </si>
  <si>
    <t>TXN2025-03395</t>
  </si>
  <si>
    <t>TXN2025-03396</t>
  </si>
  <si>
    <t>TXN2025-03397</t>
  </si>
  <si>
    <t>TXN2025-03398</t>
  </si>
  <si>
    <t>TXN2025-03399</t>
  </si>
  <si>
    <t>TXN2025-03400</t>
  </si>
  <si>
    <t>TXN2025-03401</t>
  </si>
  <si>
    <t>TXN2025-03402</t>
  </si>
  <si>
    <t>TXN2025-03403</t>
  </si>
  <si>
    <t>TXN2025-03404</t>
  </si>
  <si>
    <t>TXN2025-03405</t>
  </si>
  <si>
    <t>TXN2025-03406</t>
  </si>
  <si>
    <t>TXN2025-03407</t>
  </si>
  <si>
    <t>TXN2025-03408</t>
  </si>
  <si>
    <t>TXN2025-03409</t>
  </si>
  <si>
    <t>TXN2025-03410</t>
  </si>
  <si>
    <t>TXN2025-03411</t>
  </si>
  <si>
    <t>TXN2025-03412</t>
  </si>
  <si>
    <t>TXN2025-03413</t>
  </si>
  <si>
    <t>TXN2025-03414</t>
  </si>
  <si>
    <t>TXN2025-03415</t>
  </si>
  <si>
    <t>TXN2025-03416</t>
  </si>
  <si>
    <t>TXN2025-03417</t>
  </si>
  <si>
    <t>TXN2025-03418</t>
  </si>
  <si>
    <t>TXN2025-03419</t>
  </si>
  <si>
    <t>TXN2025-03420</t>
  </si>
  <si>
    <t>TXN2025-03421</t>
  </si>
  <si>
    <t>TXN2025-03422</t>
  </si>
  <si>
    <t>TXN2025-03423</t>
  </si>
  <si>
    <t>TXN2025-03424</t>
  </si>
  <si>
    <t>TXN2025-03425</t>
  </si>
  <si>
    <t>TXN2025-03426</t>
  </si>
  <si>
    <t>TXN2025-03427</t>
  </si>
  <si>
    <t>TXN2025-03428</t>
  </si>
  <si>
    <t>TXN2025-03429</t>
  </si>
  <si>
    <t>TXN2025-03430</t>
  </si>
  <si>
    <t>TXN2025-03431</t>
  </si>
  <si>
    <t>TXN2025-03432</t>
  </si>
  <si>
    <t>TXN2025-03433</t>
  </si>
  <si>
    <t>TXN2025-03434</t>
  </si>
  <si>
    <t>TXN2025-03435</t>
  </si>
  <si>
    <t>TXN2025-03436</t>
  </si>
  <si>
    <t>TXN2025-03437</t>
  </si>
  <si>
    <t>TXN2025-03438</t>
  </si>
  <si>
    <t>TXN2025-03439</t>
  </si>
  <si>
    <t>TXN2025-03440</t>
  </si>
  <si>
    <t>TXN2025-03441</t>
  </si>
  <si>
    <t>TXN2025-03442</t>
  </si>
  <si>
    <t>TXN2025-03443</t>
  </si>
  <si>
    <t>TXN2025-03444</t>
  </si>
  <si>
    <t>TXN2025-03445</t>
  </si>
  <si>
    <t>TXN2025-03446</t>
  </si>
  <si>
    <t>TXN2025-03447</t>
  </si>
  <si>
    <t>TXN2025-03448</t>
  </si>
  <si>
    <t>TXN2025-03449</t>
  </si>
  <si>
    <t>TXN2025-03450</t>
  </si>
  <si>
    <t>TXN2025-03451</t>
  </si>
  <si>
    <t>TXN2025-03452</t>
  </si>
  <si>
    <t>TXN2025-03453</t>
  </si>
  <si>
    <t>TXN2025-03454</t>
  </si>
  <si>
    <t>TXN2025-03455</t>
  </si>
  <si>
    <t>TXN2025-03456</t>
  </si>
  <si>
    <t>TXN2025-03457</t>
  </si>
  <si>
    <t>TXN2025-03458</t>
  </si>
  <si>
    <t>TXN2025-03459</t>
  </si>
  <si>
    <t>TXN2025-03460</t>
  </si>
  <si>
    <t>TXN2025-03461</t>
  </si>
  <si>
    <t>TXN2025-03462</t>
  </si>
  <si>
    <t>TXN2025-03463</t>
  </si>
  <si>
    <t>TXN2025-03464</t>
  </si>
  <si>
    <t>TXN2025-03465</t>
  </si>
  <si>
    <t>TXN2025-03466</t>
  </si>
  <si>
    <t>TXN2025-03467</t>
  </si>
  <si>
    <t>TXN2025-03468</t>
  </si>
  <si>
    <t>TXN2025-03469</t>
  </si>
  <si>
    <t>TXN2025-03470</t>
  </si>
  <si>
    <t>TXN2025-03471</t>
  </si>
  <si>
    <t>TXN2025-03472</t>
  </si>
  <si>
    <t>TXN2025-03473</t>
  </si>
  <si>
    <t>TXN2025-03474</t>
  </si>
  <si>
    <t>TXN2025-03475</t>
  </si>
  <si>
    <t>TXN2025-03476</t>
  </si>
  <si>
    <t>TXN2025-03477</t>
  </si>
  <si>
    <t>TXN2025-03478</t>
  </si>
  <si>
    <t>TXN2025-03479</t>
  </si>
  <si>
    <t>TXN2025-03480</t>
  </si>
  <si>
    <t>TXN2025-03481</t>
  </si>
  <si>
    <t>TXN2025-03482</t>
  </si>
  <si>
    <t>TXN2025-03483</t>
  </si>
  <si>
    <t>TXN2025-03484</t>
  </si>
  <si>
    <t>TXN2025-03485</t>
  </si>
  <si>
    <t>TXN2025-03486</t>
  </si>
  <si>
    <t>TXN2025-03487</t>
  </si>
  <si>
    <t>TXN2025-03488</t>
  </si>
  <si>
    <t>TXN2025-03489</t>
  </si>
  <si>
    <t>TXN2025-03490</t>
  </si>
  <si>
    <t>TXN2025-03491</t>
  </si>
  <si>
    <t>TXN2025-03492</t>
  </si>
  <si>
    <t>TXN2025-03493</t>
  </si>
  <si>
    <t>TXN2025-03494</t>
  </si>
  <si>
    <t>TXN2025-03495</t>
  </si>
  <si>
    <t>TXN2025-03496</t>
  </si>
  <si>
    <t>TXN2025-03497</t>
  </si>
  <si>
    <t>TXN2025-03498</t>
  </si>
  <si>
    <t>TXN2025-03499</t>
  </si>
  <si>
    <t>TXN2025-03500</t>
  </si>
  <si>
    <t>MIN1012</t>
  </si>
  <si>
    <t>federal_funding</t>
  </si>
  <si>
    <t>provincial_funding</t>
  </si>
  <si>
    <t>grant_funding</t>
  </si>
  <si>
    <t>internally_gen_funding</t>
  </si>
  <si>
    <t>funding_source</t>
  </si>
  <si>
    <t>funding_amount</t>
  </si>
  <si>
    <t>CAPEX-01</t>
  </si>
  <si>
    <t>CAPEX-02</t>
  </si>
  <si>
    <t>CAPEX-03</t>
  </si>
  <si>
    <t>CAPEX-04</t>
  </si>
  <si>
    <t>CAPEX-05</t>
  </si>
  <si>
    <t>CAPEX-06</t>
  </si>
  <si>
    <t>CAPEX-07</t>
  </si>
  <si>
    <t>CAPEX-08</t>
  </si>
  <si>
    <t>CAPEX-09</t>
  </si>
  <si>
    <t>CAPEX-10</t>
  </si>
  <si>
    <t>OPEX-01</t>
  </si>
  <si>
    <t>OPEX-02</t>
  </si>
  <si>
    <t>OPEX-03</t>
  </si>
  <si>
    <t>OPEX-04</t>
  </si>
  <si>
    <t>OPEX-05</t>
  </si>
  <si>
    <t>OPEX-06</t>
  </si>
  <si>
    <t>OPEX-07</t>
  </si>
  <si>
    <t>OPEX-08</t>
  </si>
  <si>
    <t>OPEX-09</t>
  </si>
  <si>
    <t>OPEX-10</t>
  </si>
  <si>
    <t>FUND-001</t>
  </si>
  <si>
    <t>FUND-002</t>
  </si>
  <si>
    <t>FUND-003</t>
  </si>
  <si>
    <t>FUND-004</t>
  </si>
  <si>
    <t>Row Labels</t>
  </si>
  <si>
    <t>Grand Total</t>
  </si>
  <si>
    <t>Sum of budget_amount</t>
  </si>
  <si>
    <t>Sum of funding_amount</t>
  </si>
  <si>
    <t>Sum of amount_spent</t>
  </si>
  <si>
    <t>trans_date (yyyy-mm)</t>
  </si>
  <si>
    <t>expense_category_id</t>
  </si>
  <si>
    <t>expense_type_id</t>
  </si>
  <si>
    <t>CAPEX</t>
  </si>
  <si>
    <t>OPEX</t>
  </si>
  <si>
    <t>funding_source_id</t>
  </si>
  <si>
    <t xml:space="preserve"> budget_amount </t>
  </si>
  <si>
    <t>total approved budget</t>
  </si>
  <si>
    <t>total actual expenditure</t>
  </si>
  <si>
    <t>budget utilization</t>
  </si>
  <si>
    <t>capital expense utilization %</t>
  </si>
  <si>
    <t>operational expense utilization %</t>
  </si>
  <si>
    <t>utilization%</t>
  </si>
  <si>
    <t>ministries below 50% utilization</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</si>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</sst>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6">
    <font>
      <sz val="11"/>
      <color theme="1"/>
      <name val="Calibri"/>
      <family val="2"/>
      <scheme val="minor"/>
    </font>
    <font>
      <b/>
      <sz val="11"/>
      <color theme="1"/>
      <name val="Calibri"/>
      <family val="2"/>
      <scheme val="minor"/>
    </font>
    <font>
      <sz val="11"/>
      <color theme="1"/>
      <name val="Calibri"/>
      <family val="2"/>
      <scheme val="minor"/>
    </font>
    <font>
      <b/>
      <sz val="11"/>
      <name val="Calibri"/>
    </font>
    <font>
      <sz val="11"/>
      <color indexed="8"/>
      <name val="Calibri"/>
      <charset val="134"/>
    </font>
    <font>
      <sz val="11"/>
      <color indexed="8"/>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43" fontId="0" fillId="0" borderId="0" xfId="1" applyFont="1"/>
    <xf numFmtId="0" fontId="3" fillId="0" borderId="0" xfId="0" applyFont="1" applyBorder="1" applyAlignment="1">
      <alignment horizontal="center" vertical="top"/>
    </xf>
    <xf numFmtId="0" fontId="0" fillId="0" borderId="0" xfId="0" applyNumberFormat="1"/>
    <xf numFmtId="0" fontId="4" fillId="0" borderId="0" xfId="0" applyNumberFormat="1" applyFont="1" applyFill="1" applyBorder="1" applyAlignment="1" applyProtection="1">
      <alignment vertical="center"/>
    </xf>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5" fillId="0" borderId="0" xfId="0" applyNumberFormat="1" applyFont="1" applyFill="1" applyAlignment="1" applyProtection="1">
      <alignment vertical="center"/>
    </xf>
    <xf numFmtId="14" fontId="5" fillId="0" borderId="0" xfId="0" applyNumberFormat="1" applyFont="1" applyFill="1" applyAlignment="1" applyProtection="1">
      <alignment vertical="center"/>
    </xf>
    <xf numFmtId="9" fontId="0" fillId="0" borderId="0" xfId="2" applyFont="1"/>
    <xf numFmtId="164" fontId="0" fillId="0" borderId="0" xfId="0" applyNumberFormat="1"/>
    <xf numFmtId="164" fontId="0" fillId="0" borderId="0" xfId="1" applyNumberFormat="1" applyFont="1"/>
    <xf numFmtId="0" fontId="0" fillId="0" borderId="0" xfId="0" applyAlignment="1">
      <alignment horizontal="left" indent="1"/>
    </xf>
    <xf numFmtId="43" fontId="0" fillId="0" borderId="0" xfId="0" applyNumberFormat="1"/>
    <xf numFmtId="9" fontId="1" fillId="0" borderId="0" xfId="2" applyFont="1"/>
  </cellXfs>
  <cellStyles count="3">
    <cellStyle name="Comma" xfId="1" builtinId="3"/>
    <cellStyle name="Normal" xfId="0" builtinId="0"/>
    <cellStyle name="Percent" xfId="2" builtinId="5"/>
  </cellStyles>
  <dxfs count="25">
    <dxf>
      <numFmt numFmtId="35" formatCode="_-* #,##0.00_-;\-* #,##0.00_-;_-* &quot;-&quot;??_-;_-@_-"/>
    </dxf>
    <dxf>
      <font>
        <b val="0"/>
        <i val="0"/>
        <strike val="0"/>
        <condense val="0"/>
        <extend val="0"/>
        <outline val="0"/>
        <shadow val="0"/>
        <u val="none"/>
        <vertAlign val="baseline"/>
        <sz val="11"/>
        <color theme="1"/>
        <name val="Calibri"/>
        <scheme val="minor"/>
      </font>
    </dxf>
    <dxf>
      <numFmt numFmtId="19" formatCode="yyyy/mm/dd"/>
    </dxf>
    <dxf>
      <numFmt numFmtId="19" formatCode="yyyy/mm/dd"/>
    </dxf>
    <dxf>
      <font>
        <b val="0"/>
        <i val="0"/>
        <strike val="0"/>
        <condense val="0"/>
        <extend val="0"/>
        <outline val="0"/>
        <shadow val="0"/>
        <u val="none"/>
        <vertAlign val="baseline"/>
        <sz val="11"/>
        <color indexed="8"/>
        <name val="Calibri"/>
        <scheme val="none"/>
      </font>
      <numFmt numFmtId="19" formatCode="yyyy/mm/dd"/>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0_-;\-* #,##0_-;_-* &quot;-&quot;??_-;_-@_-"/>
    </dxf>
    <dxf>
      <numFmt numFmtId="165" formatCode="_-* #,##0.0_-;\-* #,##0.0_-;_-* &quot;-&quot;??_-;_-@_-"/>
    </dxf>
    <dxf>
      <numFmt numFmtId="35" formatCode="_-* #,##0.00_-;\-* #,##0.00_-;_-* &quot;-&quot;??_-;_-@_-"/>
    </dxf>
    <dxf>
      <font>
        <b val="0"/>
        <i val="0"/>
        <strike val="0"/>
        <condense val="0"/>
        <extend val="0"/>
        <outline val="0"/>
        <shadow val="0"/>
        <u val="none"/>
        <vertAlign val="baseline"/>
        <sz val="11"/>
        <color theme="1"/>
        <name val="Calibri"/>
        <scheme val="minor"/>
      </font>
    </dxf>
    <dxf>
      <numFmt numFmtId="164" formatCode="_-* #,##0_-;\-* #,##0_-;_-* &quot;-&quot;??_-;_-@_-"/>
    </dxf>
    <dxf>
      <numFmt numFmtId="164" formatCode="_-* #,##0_-;\-* #,##0_-;_-* &quot;-&quot;??_-;_-@_-"/>
    </dxf>
  </dxfs>
  <tableStyles count="1" defaultTableStyle="TableStyleMedium9" defaultPivotStyle="PivotStyleLight16">
    <tableStyle name="Slicer Style 1" pivot="0" table="0" count="0"/>
  </tableStyles>
  <colors>
    <mruColors>
      <color rgb="FF5F7656"/>
      <color rgb="FF82714A"/>
      <color rgb="FF736A59"/>
      <color rgb="FFCC9900"/>
      <color rgb="FF996633"/>
      <color rgb="FF0066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worksheet" Target="worksheets/sheet10.xml"/><Relationship Id="rId19" Type="http://schemas.microsoft.com/office/2007/relationships/slicerCache" Target="slicerCaches/slicerCache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5.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[ministry_master_table.xlsx]pivot_table!PivotTable2</c:name>
    <c:fmtId val="24"/>
  </c:pivotSource>
  <c:chart>
    <c:title>
      <c:tx>
        <c:rich>
          <a:bodyPr rot="0" spcFirstLastPara="1" vertOverflow="ellipsis" vert="horz" wrap="square" anchor="ctr" anchorCtr="0"/>
          <a:lstStyle/>
          <a:p>
            <a:pPr>
              <a:defRPr sz="1400" b="0" i="0" u="none" strike="noStrike" kern="1200" spc="0" baseline="0">
                <a:ln>
                  <a:noFill/>
                </a:ln>
                <a:solidFill>
                  <a:sysClr val="windowText" lastClr="000000"/>
                </a:solidFill>
                <a:latin typeface="+mn-lt"/>
                <a:ea typeface="+mn-ea"/>
                <a:cs typeface="+mn-cs"/>
              </a:defRPr>
            </a:pPr>
            <a:r>
              <a:rPr lang="en-CA" b="1"/>
              <a:t>Total</a:t>
            </a:r>
            <a:r>
              <a:rPr lang="en-CA" b="1" baseline="0"/>
              <a:t> Budget Vs Expenditure</a:t>
            </a:r>
            <a:endParaRPr lang="en-CA" b="1"/>
          </a:p>
        </c:rich>
      </c:tx>
      <c:layout>
        <c:manualLayout>
          <c:xMode val="edge"/>
          <c:yMode val="edge"/>
          <c:x val="0.33671007304754075"/>
          <c:y val="8.7828356635475974E-2"/>
        </c:manualLayout>
      </c:layout>
      <c:overlay val="0"/>
      <c:spPr>
        <a:noFill/>
        <a:ln>
          <a:noFill/>
        </a:ln>
        <a:effectLst/>
      </c:spPr>
      <c:txPr>
        <a:bodyPr rot="0" spcFirstLastPara="1" vertOverflow="ellipsis" vert="horz" wrap="square" anchor="ctr" anchorCtr="0"/>
        <a:lstStyle/>
        <a:p>
          <a:pPr>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stacked"/>
        <c:varyColors val="0"/>
        <c:ser>
          <c:idx val="0"/>
          <c:order val="0"/>
          <c:tx>
            <c:strRef>
              <c:f>pivot_table!$B$1</c:f>
              <c:strCache>
                <c:ptCount val="1"/>
                <c:pt idx="0">
                  <c:v>Sum of budget_amount</c:v>
                </c:pt>
              </c:strCache>
            </c:strRef>
          </c:tx>
          <c:spPr>
            <a:solidFill>
              <a:schemeClr val="accent1"/>
            </a:solidFill>
            <a:ln>
              <a:noFill/>
            </a:ln>
            <a:effectLst/>
          </c:spPr>
          <c:invertIfNegative val="0"/>
          <c:cat>
            <c:strRef>
              <c:f>pivot_table!$A$2:$A$18</c:f>
              <c:strCache>
                <c:ptCount val="16"/>
                <c:pt idx="0">
                  <c:v>Ministry of Agriculture</c:v>
                </c:pt>
                <c:pt idx="1">
                  <c:v>Ministry of Artificial Intelligence</c:v>
                </c:pt>
                <c:pt idx="2">
                  <c:v>Ministry of Emergency Management</c:v>
                </c:pt>
                <c:pt idx="3">
                  <c:v>Ministry of Energy and Natural Resources</c:v>
                </c:pt>
                <c:pt idx="4">
                  <c:v>Ministry of Fisheries</c:v>
                </c:pt>
                <c:pt idx="5">
                  <c:v>Ministry of Health</c:v>
                </c:pt>
                <c:pt idx="6">
                  <c:v>Ministry of Housing and Infrastructure</c:v>
                </c:pt>
                <c:pt idx="7">
                  <c:v>Ministry of Immigration</c:v>
                </c:pt>
                <c:pt idx="8">
                  <c:v>Ministry of Indigenous Services</c:v>
                </c:pt>
                <c:pt idx="9">
                  <c:v>Ministry of International Trade</c:v>
                </c:pt>
                <c:pt idx="10">
                  <c:v>Ministry of Justice</c:v>
                </c:pt>
                <c:pt idx="11">
                  <c:v>Ministry of National Defence</c:v>
                </c:pt>
                <c:pt idx="12">
                  <c:v>Ministry of Public Safety</c:v>
                </c:pt>
                <c:pt idx="13">
                  <c:v>Ministry of Public Works</c:v>
                </c:pt>
                <c:pt idx="14">
                  <c:v>Ministry of Tourism</c:v>
                </c:pt>
                <c:pt idx="15">
                  <c:v>Ministry of Transport</c:v>
                </c:pt>
              </c:strCache>
            </c:strRef>
          </c:cat>
          <c:val>
            <c:numRef>
              <c:f>pivot_table!$B$2:$B$18</c:f>
              <c:numCache>
                <c:formatCode>_-* #,##0_-;\-* #,##0_-;_-* "-"??_-;_-@_-</c:formatCode>
                <c:ptCount val="16"/>
                <c:pt idx="0">
                  <c:v>871773000.00000012</c:v>
                </c:pt>
                <c:pt idx="1">
                  <c:v>2409840000.0999999</c:v>
                </c:pt>
                <c:pt idx="2">
                  <c:v>2343609210.0000005</c:v>
                </c:pt>
                <c:pt idx="3">
                  <c:v>5937825000</c:v>
                </c:pt>
                <c:pt idx="4">
                  <c:v>754036500</c:v>
                </c:pt>
                <c:pt idx="5">
                  <c:v>7624024000</c:v>
                </c:pt>
                <c:pt idx="6">
                  <c:v>426926400</c:v>
                </c:pt>
                <c:pt idx="7">
                  <c:v>4502940000</c:v>
                </c:pt>
                <c:pt idx="8">
                  <c:v>540578999.99999988</c:v>
                </c:pt>
                <c:pt idx="9">
                  <c:v>1554366800</c:v>
                </c:pt>
                <c:pt idx="10">
                  <c:v>3127334000</c:v>
                </c:pt>
                <c:pt idx="11">
                  <c:v>20820749999.999996</c:v>
                </c:pt>
                <c:pt idx="12">
                  <c:v>2569223999.9999995</c:v>
                </c:pt>
                <c:pt idx="13">
                  <c:v>8514730000.000001</c:v>
                </c:pt>
                <c:pt idx="14">
                  <c:v>1402953999.9999998</c:v>
                </c:pt>
                <c:pt idx="15">
                  <c:v>2472064000.0000005</c:v>
                </c:pt>
              </c:numCache>
            </c:numRef>
          </c:val>
          <c:extLst>
            <c:ext xmlns:c16="http://schemas.microsoft.com/office/drawing/2014/chart" uri="{C3380CC4-5D6E-409C-BE32-E72D297353CC}">
              <c16:uniqueId val="{00000000-BE39-4031-AAA5-53F30922D7AE}"/>
            </c:ext>
          </c:extLst>
        </c:ser>
        <c:ser>
          <c:idx val="1"/>
          <c:order val="1"/>
          <c:tx>
            <c:strRef>
              <c:f>pivot_table!$C$1</c:f>
              <c:strCache>
                <c:ptCount val="1"/>
                <c:pt idx="0">
                  <c:v>Sum of amount_spent</c:v>
                </c:pt>
              </c:strCache>
            </c:strRef>
          </c:tx>
          <c:spPr>
            <a:solidFill>
              <a:schemeClr val="accent2"/>
            </a:solidFill>
            <a:ln>
              <a:noFill/>
            </a:ln>
            <a:effectLst/>
          </c:spPr>
          <c:invertIfNegative val="0"/>
          <c:cat>
            <c:strRef>
              <c:f>pivot_table!$A$2:$A$18</c:f>
              <c:strCache>
                <c:ptCount val="16"/>
                <c:pt idx="0">
                  <c:v>Ministry of Agriculture</c:v>
                </c:pt>
                <c:pt idx="1">
                  <c:v>Ministry of Artificial Intelligence</c:v>
                </c:pt>
                <c:pt idx="2">
                  <c:v>Ministry of Emergency Management</c:v>
                </c:pt>
                <c:pt idx="3">
                  <c:v>Ministry of Energy and Natural Resources</c:v>
                </c:pt>
                <c:pt idx="4">
                  <c:v>Ministry of Fisheries</c:v>
                </c:pt>
                <c:pt idx="5">
                  <c:v>Ministry of Health</c:v>
                </c:pt>
                <c:pt idx="6">
                  <c:v>Ministry of Housing and Infrastructure</c:v>
                </c:pt>
                <c:pt idx="7">
                  <c:v>Ministry of Immigration</c:v>
                </c:pt>
                <c:pt idx="8">
                  <c:v>Ministry of Indigenous Services</c:v>
                </c:pt>
                <c:pt idx="9">
                  <c:v>Ministry of International Trade</c:v>
                </c:pt>
                <c:pt idx="10">
                  <c:v>Ministry of Justice</c:v>
                </c:pt>
                <c:pt idx="11">
                  <c:v>Ministry of National Defence</c:v>
                </c:pt>
                <c:pt idx="12">
                  <c:v>Ministry of Public Safety</c:v>
                </c:pt>
                <c:pt idx="13">
                  <c:v>Ministry of Public Works</c:v>
                </c:pt>
                <c:pt idx="14">
                  <c:v>Ministry of Tourism</c:v>
                </c:pt>
                <c:pt idx="15">
                  <c:v>Ministry of Transport</c:v>
                </c:pt>
              </c:strCache>
            </c:strRef>
          </c:cat>
          <c:val>
            <c:numRef>
              <c:f>pivot_table!$C$2:$C$18</c:f>
              <c:numCache>
                <c:formatCode>_-* #,##0_-;\-* #,##0_-;_-* "-"??_-;_-@_-</c:formatCode>
                <c:ptCount val="16"/>
                <c:pt idx="0">
                  <c:v>343459253.68999988</c:v>
                </c:pt>
                <c:pt idx="1">
                  <c:v>1088331844.6799998</c:v>
                </c:pt>
                <c:pt idx="2">
                  <c:v>1695694555.1200004</c:v>
                </c:pt>
                <c:pt idx="3">
                  <c:v>1700477417.2500005</c:v>
                </c:pt>
                <c:pt idx="4">
                  <c:v>592619806.95000005</c:v>
                </c:pt>
                <c:pt idx="5">
                  <c:v>918129366.44999957</c:v>
                </c:pt>
                <c:pt idx="6">
                  <c:v>265459115.73000005</c:v>
                </c:pt>
                <c:pt idx="7">
                  <c:v>644154261.20000005</c:v>
                </c:pt>
                <c:pt idx="8">
                  <c:v>297782131.50000006</c:v>
                </c:pt>
                <c:pt idx="9">
                  <c:v>1017979059.6599995</c:v>
                </c:pt>
                <c:pt idx="10">
                  <c:v>2012140646.8299997</c:v>
                </c:pt>
                <c:pt idx="11">
                  <c:v>149665199.50999993</c:v>
                </c:pt>
                <c:pt idx="12">
                  <c:v>1555735018.3700011</c:v>
                </c:pt>
                <c:pt idx="13">
                  <c:v>2039709319.0300012</c:v>
                </c:pt>
                <c:pt idx="14">
                  <c:v>1117666057.97</c:v>
                </c:pt>
                <c:pt idx="15">
                  <c:v>1276101377.8299999</c:v>
                </c:pt>
              </c:numCache>
            </c:numRef>
          </c:val>
          <c:extLst>
            <c:ext xmlns:c16="http://schemas.microsoft.com/office/drawing/2014/chart" uri="{C3380CC4-5D6E-409C-BE32-E72D297353CC}">
              <c16:uniqueId val="{00000001-BE39-4031-AAA5-53F30922D7AE}"/>
            </c:ext>
          </c:extLst>
        </c:ser>
        <c:dLbls>
          <c:showLegendKey val="0"/>
          <c:showVal val="0"/>
          <c:showCatName val="0"/>
          <c:showSerName val="0"/>
          <c:showPercent val="0"/>
          <c:showBubbleSize val="0"/>
        </c:dLbls>
        <c:gapWidth val="150"/>
        <c:overlap val="100"/>
        <c:axId val="207857807"/>
        <c:axId val="207858639"/>
      </c:barChart>
      <c:catAx>
        <c:axId val="20785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207858639"/>
        <c:crosses val="autoZero"/>
        <c:auto val="1"/>
        <c:lblAlgn val="ctr"/>
        <c:lblOffset val="100"/>
        <c:noMultiLvlLbl val="0"/>
      </c:catAx>
      <c:valAx>
        <c:axId val="207858639"/>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crossAx val="20785780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ln>
                <a:noFill/>
              </a:ln>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ln>
            <a:no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[ministry_master_table.xlsx]pivot_table!PivotTable16</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CA" b="1"/>
              <a:t>Capital</a:t>
            </a:r>
            <a:r>
              <a:rPr lang="en-CA" b="1" baseline="0"/>
              <a:t> Vs Operational Expenditure</a:t>
            </a:r>
            <a:endParaRPr lang="en-CA"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2.8109622362717135E-2"/>
              <c:y val="-2.494209170160623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dLbl>
          <c:idx val="0"/>
          <c:layout>
            <c:manualLayout>
              <c:x val="3.7479496483622733E-2"/>
              <c:y val="-2.494209170160623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3.0452090892943384E-2"/>
              <c:y val="6.0573651275329272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chemeClr val="accent1"/>
          </a:solidFill>
          <a:ln w="19050">
            <a:solidFill>
              <a:schemeClr val="lt1"/>
            </a:solidFill>
          </a:ln>
          <a:effectLst/>
        </c:spPr>
        <c:dLbl>
          <c:idx val="0"/>
          <c:layout>
            <c:manualLayout>
              <c:x val="-3.045209089294347E-2"/>
              <c:y val="-2.4942091701606234E-2"/>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pivot_table!$F$1</c:f>
              <c:strCache>
                <c:ptCount val="1"/>
                <c:pt idx="0">
                  <c:v>Sum of budget_amount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0F-49F4-8343-C962DE4E50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0F-49F4-8343-C962DE4E50CC}"/>
              </c:ext>
            </c:extLst>
          </c:dPt>
          <c:dLbls>
            <c:dLbl>
              <c:idx val="0"/>
              <c:layout>
                <c:manualLayout>
                  <c:x val="-2.8109622362717135E-2"/>
                  <c:y val="-2.494209170160623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350F-49F4-8343-C962DE4E50CC}"/>
                </c:ext>
              </c:extLst>
            </c:dLbl>
            <c:dLbl>
              <c:idx val="1"/>
              <c:layout>
                <c:manualLayout>
                  <c:x val="3.7479496483622733E-2"/>
                  <c:y val="-2.494209170160623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350F-49F4-8343-C962DE4E50CC}"/>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pivot_table!$E$2:$E$4</c:f>
              <c:strCache>
                <c:ptCount val="2"/>
                <c:pt idx="0">
                  <c:v>Capital</c:v>
                </c:pt>
                <c:pt idx="1">
                  <c:v>Operational</c:v>
                </c:pt>
              </c:strCache>
            </c:strRef>
          </c:cat>
          <c:val>
            <c:numRef>
              <c:f>pivot_table!$F$2:$F$4</c:f>
              <c:numCache>
                <c:formatCode>General</c:formatCode>
                <c:ptCount val="2"/>
                <c:pt idx="0">
                  <c:v>38897920000.000015</c:v>
                </c:pt>
                <c:pt idx="1">
                  <c:v>26975055910.099991</c:v>
                </c:pt>
              </c:numCache>
            </c:numRef>
          </c:val>
          <c:extLst>
            <c:ext xmlns:c16="http://schemas.microsoft.com/office/drawing/2014/chart" uri="{C3380CC4-5D6E-409C-BE32-E72D297353CC}">
              <c16:uniqueId val="{00000008-D47E-4222-8885-F3A969C86A69}"/>
            </c:ext>
          </c:extLst>
        </c:ser>
        <c:ser>
          <c:idx val="1"/>
          <c:order val="1"/>
          <c:tx>
            <c:strRef>
              <c:f>pivot_table!$G$1</c:f>
              <c:strCache>
                <c:ptCount val="1"/>
                <c:pt idx="0">
                  <c:v>Sum of amount_spent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50F-49F4-8343-C962DE4E50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50F-49F4-8343-C962DE4E50CC}"/>
              </c:ext>
            </c:extLst>
          </c:dPt>
          <c:dLbls>
            <c:dLbl>
              <c:idx val="0"/>
              <c:layout>
                <c:manualLayout>
                  <c:x val="3.0452090892943384E-2"/>
                  <c:y val="6.057365127532927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350F-49F4-8343-C962DE4E50CC}"/>
                </c:ext>
              </c:extLst>
            </c:dLbl>
            <c:dLbl>
              <c:idx val="1"/>
              <c:layout>
                <c:manualLayout>
                  <c:x val="-3.045209089294347E-2"/>
                  <c:y val="-2.494209170160623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350F-49F4-8343-C962DE4E50CC}"/>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pivot_table!$E$2:$E$4</c:f>
              <c:strCache>
                <c:ptCount val="2"/>
                <c:pt idx="0">
                  <c:v>Capital</c:v>
                </c:pt>
                <c:pt idx="1">
                  <c:v>Operational</c:v>
                </c:pt>
              </c:strCache>
            </c:strRef>
          </c:cat>
          <c:val>
            <c:numRef>
              <c:f>pivot_table!$G$2:$G$4</c:f>
              <c:numCache>
                <c:formatCode>General</c:formatCode>
                <c:ptCount val="2"/>
                <c:pt idx="0">
                  <c:v>8013411126.1500092</c:v>
                </c:pt>
                <c:pt idx="1">
                  <c:v>8701693305.6200161</c:v>
                </c:pt>
              </c:numCache>
            </c:numRef>
          </c:val>
          <c:extLst>
            <c:ext xmlns:c16="http://schemas.microsoft.com/office/drawing/2014/chart" uri="{C3380CC4-5D6E-409C-BE32-E72D297353CC}">
              <c16:uniqueId val="{00000009-D47E-4222-8885-F3A969C86A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[ministry_master_table.xlsx]pivot_table!PivotTable1</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Budget</a:t>
            </a:r>
            <a:r>
              <a:rPr lang="en-US" b="1" baseline="0"/>
              <a:t> Funding Types</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9"/>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0"/>
        <c:spPr>
          <a:solidFill>
            <a:schemeClr val="accent1"/>
          </a:solidFill>
          <a:ln w="19050">
            <a:solidFill>
              <a:schemeClr val="lt1"/>
            </a:solidFill>
          </a:ln>
          <a:effectLst/>
        </c:spPr>
      </c:pivotFmt>
    </c:pivotFmts>
    <c:plotArea>
      <c:layout/>
      <c:pieChart>
        <c:varyColors val="1"/>
        <c:ser>
          <c:idx val="0"/>
          <c:order val="0"/>
          <c:tx>
            <c:strRef>
              <c:f>pivot_table!$F$7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62-48B0-B558-581A930360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62-48B0-B558-581A930360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62-48B0-B558-581A930360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62-48B0-B558-581A93036031}"/>
              </c:ext>
            </c:extLst>
          </c:dPt>
          <c:dLbls>
            <c:dLbl>
              <c:idx val="0"/>
              <c:layout/>
              <c:dLblPos val="outEnd"/>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E62-48B0-B558-581A93036031}"/>
                </c:ext>
              </c:extLst>
            </c:dLbl>
            <c:dLbl>
              <c:idx val="2"/>
              <c:layout/>
              <c:dLblPos val="outEnd"/>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5E62-48B0-B558-581A93036031}"/>
                </c:ext>
              </c:extLst>
            </c:dLbl>
            <c:dLbl>
              <c:idx val="3"/>
              <c:layout/>
              <c:dLblPos val="outEnd"/>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5E62-48B0-B558-581A9303603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pivot_table!$E$8:$E$12</c:f>
              <c:strCache>
                <c:ptCount val="4"/>
                <c:pt idx="0">
                  <c:v>federal_funding</c:v>
                </c:pt>
                <c:pt idx="1">
                  <c:v>grant_funding</c:v>
                </c:pt>
                <c:pt idx="2">
                  <c:v>internally_gen_funding</c:v>
                </c:pt>
                <c:pt idx="3">
                  <c:v>provincial_funding</c:v>
                </c:pt>
              </c:strCache>
            </c:strRef>
          </c:cat>
          <c:val>
            <c:numRef>
              <c:f>pivot_table!$F$8:$F$12</c:f>
              <c:numCache>
                <c:formatCode>General</c:formatCode>
                <c:ptCount val="4"/>
                <c:pt idx="0">
                  <c:v>36230136750.5</c:v>
                </c:pt>
                <c:pt idx="1">
                  <c:v>9880946386.5</c:v>
                </c:pt>
                <c:pt idx="2">
                  <c:v>3293648795.5</c:v>
                </c:pt>
                <c:pt idx="3">
                  <c:v>16468243977.5</c:v>
                </c:pt>
              </c:numCache>
            </c:numRef>
          </c:val>
          <c:extLst>
            <c:ext xmlns:c16="http://schemas.microsoft.com/office/drawing/2014/chart" uri="{C3380CC4-5D6E-409C-BE32-E72D297353CC}">
              <c16:uniqueId val="{00000008-5E62-48B0-B558-581A93036031}"/>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CA" b="1"/>
              <a:t>8</a:t>
            </a:r>
            <a:r>
              <a:rPr lang="en-CA" b="1" baseline="0"/>
              <a:t> Ministries with Spending &lt; 50% of Budget</a:t>
            </a:r>
            <a:endParaRPr lang="en-CA"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'rough_work ref_to_dashboard'!$H$1</c:f>
              <c:strCache>
                <c:ptCount val="1"/>
                <c:pt idx="0">
                  <c:v>Sum of budget_amount</c:v>
                </c:pt>
              </c:strCache>
            </c:strRef>
          </c:tx>
          <c:spPr>
            <a:solidFill>
              <a:schemeClr val="accent1"/>
            </a:solidFill>
            <a:ln>
              <a:noFill/>
            </a:ln>
            <a:effectLst/>
          </c:spPr>
          <c:invertIfNegative val="0"/>
          <c:cat>
            <c:strRef>
              <c:f>'rough_work ref_to_dashboard'!$G$2:$G$9</c:f>
              <c:strCache>
                <c:ptCount val="8"/>
                <c:pt idx="0">
                  <c:v>Ministry of Artificial Intelligence</c:v>
                </c:pt>
                <c:pt idx="1">
                  <c:v>Ministry of Agriculture</c:v>
                </c:pt>
                <c:pt idx="2">
                  <c:v>Ministry of Energy and Natural Resources</c:v>
                </c:pt>
                <c:pt idx="3">
                  <c:v>Grand Total</c:v>
                </c:pt>
                <c:pt idx="4">
                  <c:v>Ministry of Public Works</c:v>
                </c:pt>
                <c:pt idx="5">
                  <c:v>Ministry of Immigration</c:v>
                </c:pt>
                <c:pt idx="6">
                  <c:v>Ministry of Health</c:v>
                </c:pt>
                <c:pt idx="7">
                  <c:v>Ministry of National Defence</c:v>
                </c:pt>
              </c:strCache>
            </c:strRef>
          </c:cat>
          <c:val>
            <c:numRef>
              <c:f>'rough_work ref_to_dashboard'!$H$2:$H$9</c:f>
              <c:numCache>
                <c:formatCode>_-* #,##0_-;\-* #,##0_-;_-* "-"??_-;_-@_-</c:formatCode>
                <c:ptCount val="8"/>
                <c:pt idx="0">
                  <c:v>2409840000.0999999</c:v>
                </c:pt>
                <c:pt idx="1">
                  <c:v>871773000.00000012</c:v>
                </c:pt>
                <c:pt idx="2">
                  <c:v>5937825000</c:v>
                </c:pt>
                <c:pt idx="3">
                  <c:v>65872975910.099968</c:v>
                </c:pt>
                <c:pt idx="4">
                  <c:v>8514730000.000001</c:v>
                </c:pt>
                <c:pt idx="5">
                  <c:v>4502940000</c:v>
                </c:pt>
                <c:pt idx="6">
                  <c:v>7624024000</c:v>
                </c:pt>
                <c:pt idx="7">
                  <c:v>20820749999.999996</c:v>
                </c:pt>
              </c:numCache>
            </c:numRef>
          </c:val>
          <c:extLst>
            <c:ext xmlns:c16="http://schemas.microsoft.com/office/drawing/2014/chart" uri="{C3380CC4-5D6E-409C-BE32-E72D297353CC}">
              <c16:uniqueId val="{00000000-58B9-48DF-865E-74902EE7BF57}"/>
            </c:ext>
          </c:extLst>
        </c:ser>
        <c:ser>
          <c:idx val="1"/>
          <c:order val="1"/>
          <c:tx>
            <c:strRef>
              <c:f>'rough_work ref_to_dashboard'!$I$1</c:f>
              <c:strCache>
                <c:ptCount val="1"/>
                <c:pt idx="0">
                  <c:v>Sum of amount_spent</c:v>
                </c:pt>
              </c:strCache>
            </c:strRef>
          </c:tx>
          <c:spPr>
            <a:solidFill>
              <a:schemeClr val="accent2"/>
            </a:solidFill>
            <a:ln>
              <a:noFill/>
            </a:ln>
            <a:effectLst/>
          </c:spPr>
          <c:invertIfNegative val="0"/>
          <c:cat>
            <c:strRef>
              <c:f>'rough_work ref_to_dashboard'!$G$2:$G$9</c:f>
              <c:strCache>
                <c:ptCount val="8"/>
                <c:pt idx="0">
                  <c:v>Ministry of Artificial Intelligence</c:v>
                </c:pt>
                <c:pt idx="1">
                  <c:v>Ministry of Agriculture</c:v>
                </c:pt>
                <c:pt idx="2">
                  <c:v>Ministry of Energy and Natural Resources</c:v>
                </c:pt>
                <c:pt idx="3">
                  <c:v>Grand Total</c:v>
                </c:pt>
                <c:pt idx="4">
                  <c:v>Ministry of Public Works</c:v>
                </c:pt>
                <c:pt idx="5">
                  <c:v>Ministry of Immigration</c:v>
                </c:pt>
                <c:pt idx="6">
                  <c:v>Ministry of Health</c:v>
                </c:pt>
                <c:pt idx="7">
                  <c:v>Ministry of National Defence</c:v>
                </c:pt>
              </c:strCache>
            </c:strRef>
          </c:cat>
          <c:val>
            <c:numRef>
              <c:f>'rough_work ref_to_dashboard'!$I$2:$I$9</c:f>
              <c:numCache>
                <c:formatCode>_-* #,##0_-;\-* #,##0_-;_-* "-"??_-;_-@_-</c:formatCode>
                <c:ptCount val="8"/>
                <c:pt idx="0">
                  <c:v>1088331844.6799998</c:v>
                </c:pt>
                <c:pt idx="1">
                  <c:v>343459253.68999988</c:v>
                </c:pt>
                <c:pt idx="2">
                  <c:v>1700477417.2500005</c:v>
                </c:pt>
                <c:pt idx="3">
                  <c:v>16715104431.770002</c:v>
                </c:pt>
                <c:pt idx="4">
                  <c:v>2039709319.0300012</c:v>
                </c:pt>
                <c:pt idx="5">
                  <c:v>644154261.20000005</c:v>
                </c:pt>
                <c:pt idx="6">
                  <c:v>918129366.44999957</c:v>
                </c:pt>
                <c:pt idx="7">
                  <c:v>149665199.50999993</c:v>
                </c:pt>
              </c:numCache>
            </c:numRef>
          </c:val>
          <c:extLst>
            <c:ext xmlns:c16="http://schemas.microsoft.com/office/drawing/2014/chart" uri="{C3380CC4-5D6E-409C-BE32-E72D297353CC}">
              <c16:uniqueId val="{00000001-58B9-48DF-865E-74902EE7BF57}"/>
            </c:ext>
          </c:extLst>
        </c:ser>
        <c:dLbls>
          <c:showLegendKey val="0"/>
          <c:showVal val="0"/>
          <c:showCatName val="0"/>
          <c:showSerName val="0"/>
          <c:showPercent val="0"/>
          <c:showBubbleSize val="0"/>
        </c:dLbls>
        <c:gapWidth val="182"/>
        <c:axId val="1364741488"/>
        <c:axId val="1364741904"/>
      </c:barChart>
      <c:catAx>
        <c:axId val="136474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64741904"/>
        <c:crosses val="autoZero"/>
        <c:auto val="1"/>
        <c:lblAlgn val="ctr"/>
        <c:lblOffset val="100"/>
        <c:noMultiLvlLbl val="0"/>
      </c:catAx>
      <c:valAx>
        <c:axId val="1364741904"/>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647414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Ministry of National Defence              Budget Vs</a:t>
            </a:r>
            <a:r>
              <a:rPr lang="en-US" b="1" baseline="0"/>
              <a:t> Spending</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tx>
            <c:strRef>
              <c:f>'rough_work ref_to_dashboard'!$G$14</c:f>
              <c:strCache>
                <c:ptCount val="1"/>
                <c:pt idx="0">
                  <c:v>Ministry of National Defence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0B-41A3-AA3A-EFC6A0198E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0B-41A3-AA3A-EFC6A0198E2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'rough_work ref_to_dashboard'!$H$13:$I$13</c:f>
              <c:strCache>
                <c:ptCount val="2"/>
                <c:pt idx="0">
                  <c:v>Sum of budget_amount</c:v>
                </c:pt>
                <c:pt idx="1">
                  <c:v>Sum of amount_spent</c:v>
                </c:pt>
              </c:strCache>
            </c:strRef>
          </c:cat>
          <c:val>
            <c:numRef>
              <c:f>'rough_work ref_to_dashboard'!$H$14:$I$14</c:f>
              <c:numCache>
                <c:formatCode>_(* #,##0.00_);_(* \(#,##0.00\);_(* "-"??_);_(@_)</c:formatCode>
                <c:ptCount val="2"/>
                <c:pt idx="0" formatCode="_-* #,##0_-;\-* #,##0_-;_-* &quot;-&quot;??_-;_-@_-">
                  <c:v>20820749999.999996</c:v>
                </c:pt>
                <c:pt idx="1">
                  <c:v>149665199.50999993</c:v>
                </c:pt>
              </c:numCache>
            </c:numRef>
          </c:val>
          <c:extLst>
            <c:ext xmlns:c16="http://schemas.microsoft.com/office/drawing/2014/chart" uri="{C3380CC4-5D6E-409C-BE32-E72D297353CC}">
              <c16:uniqueId val="{00000004-F70B-41A3-AA3A-EFC6A0198E2C}"/>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CA" b="1"/>
              <a:t>8</a:t>
            </a:r>
            <a:r>
              <a:rPr lang="en-CA" b="1" baseline="0"/>
              <a:t> Least Spending to Budget Expenditure</a:t>
            </a:r>
            <a:endParaRPr lang="en-CA"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'rough_work ref_to_dashboard'!$B$11</c:f>
              <c:strCache>
                <c:ptCount val="1"/>
                <c:pt idx="0">
                  <c:v>Sum of budget_amount</c:v>
                </c:pt>
              </c:strCache>
            </c:strRef>
          </c:tx>
          <c:spPr>
            <a:solidFill>
              <a:schemeClr val="accent1"/>
            </a:solidFill>
            <a:ln>
              <a:noFill/>
            </a:ln>
            <a:effectLst/>
          </c:spPr>
          <c:invertIfNegative val="0"/>
          <c:cat>
            <c:strRef>
              <c:f>'rough_work ref_to_dashboard'!$A$12:$A$19</c:f>
              <c:strCache>
                <c:ptCount val="8"/>
                <c:pt idx="0">
                  <c:v>Building Construction and Renovation</c:v>
                </c:pt>
                <c:pt idx="1">
                  <c:v>Employee Benefits and Pensions</c:v>
                </c:pt>
                <c:pt idx="2">
                  <c:v>IT Systems Implementation (ERP, Cybersecurity Systems)</c:v>
                </c:pt>
                <c:pt idx="3">
                  <c:v>Major Technology Hardware Purchases</c:v>
                </c:pt>
                <c:pt idx="4">
                  <c:v>Office Supplies and Consumables</c:v>
                </c:pt>
                <c:pt idx="5">
                  <c:v>Public Facility Expansion Projects</c:v>
                </c:pt>
                <c:pt idx="6">
                  <c:v>Research and Innovation Capital Projects</c:v>
                </c:pt>
                <c:pt idx="7">
                  <c:v>Vehicle Fleet Acquisition</c:v>
                </c:pt>
              </c:strCache>
            </c:strRef>
          </c:cat>
          <c:val>
            <c:numRef>
              <c:f>'rough_work ref_to_dashboard'!$B$12:$B$19</c:f>
              <c:numCache>
                <c:formatCode>_(* #,##0.00_);_(* \(#,##0.00\);_(* "-"??_);_(@_)</c:formatCode>
                <c:ptCount val="8"/>
                <c:pt idx="0">
                  <c:v>3886129480.71</c:v>
                </c:pt>
                <c:pt idx="1">
                  <c:v>3282632627.7900004</c:v>
                </c:pt>
                <c:pt idx="2">
                  <c:v>5413730734.6099997</c:v>
                </c:pt>
                <c:pt idx="3">
                  <c:v>10006235303.610004</c:v>
                </c:pt>
                <c:pt idx="4">
                  <c:v>3081207953.0199995</c:v>
                </c:pt>
                <c:pt idx="5">
                  <c:v>3239020576.1299996</c:v>
                </c:pt>
                <c:pt idx="6">
                  <c:v>2957308787.1499996</c:v>
                </c:pt>
                <c:pt idx="7">
                  <c:v>4880529680.3499994</c:v>
                </c:pt>
              </c:numCache>
            </c:numRef>
          </c:val>
          <c:extLst>
            <c:ext xmlns:c16="http://schemas.microsoft.com/office/drawing/2014/chart" uri="{C3380CC4-5D6E-409C-BE32-E72D297353CC}">
              <c16:uniqueId val="{00000000-6EB4-496D-887F-CCFD917E8229}"/>
            </c:ext>
          </c:extLst>
        </c:ser>
        <c:ser>
          <c:idx val="1"/>
          <c:order val="1"/>
          <c:tx>
            <c:strRef>
              <c:f>'rough_work ref_to_dashboard'!$C$11</c:f>
              <c:strCache>
                <c:ptCount val="1"/>
                <c:pt idx="0">
                  <c:v>Sum of amount_spent</c:v>
                </c:pt>
              </c:strCache>
            </c:strRef>
          </c:tx>
          <c:spPr>
            <a:solidFill>
              <a:schemeClr val="accent2"/>
            </a:solidFill>
            <a:ln>
              <a:noFill/>
            </a:ln>
            <a:effectLst/>
          </c:spPr>
          <c:invertIfNegative val="0"/>
          <c:cat>
            <c:strRef>
              <c:f>'rough_work ref_to_dashboard'!$A$12:$A$19</c:f>
              <c:strCache>
                <c:ptCount val="8"/>
                <c:pt idx="0">
                  <c:v>Building Construction and Renovation</c:v>
                </c:pt>
                <c:pt idx="1">
                  <c:v>Employee Benefits and Pensions</c:v>
                </c:pt>
                <c:pt idx="2">
                  <c:v>IT Systems Implementation (ERP, Cybersecurity Systems)</c:v>
                </c:pt>
                <c:pt idx="3">
                  <c:v>Major Technology Hardware Purchases</c:v>
                </c:pt>
                <c:pt idx="4">
                  <c:v>Office Supplies and Consumables</c:v>
                </c:pt>
                <c:pt idx="5">
                  <c:v>Public Facility Expansion Projects</c:v>
                </c:pt>
                <c:pt idx="6">
                  <c:v>Research and Innovation Capital Projects</c:v>
                </c:pt>
                <c:pt idx="7">
                  <c:v>Vehicle Fleet Acquisition</c:v>
                </c:pt>
              </c:strCache>
            </c:strRef>
          </c:cat>
          <c:val>
            <c:numRef>
              <c:f>'rough_work ref_to_dashboard'!$C$12:$C$19</c:f>
              <c:numCache>
                <c:formatCode>_(* #,##0.00_);_(* \(#,##0.00\);_(* "-"??_);_(@_)</c:formatCode>
                <c:ptCount val="8"/>
                <c:pt idx="0">
                  <c:v>678433853.46000016</c:v>
                </c:pt>
                <c:pt idx="1">
                  <c:v>759886901.77999997</c:v>
                </c:pt>
                <c:pt idx="2">
                  <c:v>559400384.86999989</c:v>
                </c:pt>
                <c:pt idx="3">
                  <c:v>659498684.73000002</c:v>
                </c:pt>
                <c:pt idx="4">
                  <c:v>544558145.84000003</c:v>
                </c:pt>
                <c:pt idx="5">
                  <c:v>581927300.58999991</c:v>
                </c:pt>
                <c:pt idx="6">
                  <c:v>673977522.25999999</c:v>
                </c:pt>
                <c:pt idx="7">
                  <c:v>1171236394.28</c:v>
                </c:pt>
              </c:numCache>
            </c:numRef>
          </c:val>
          <c:extLst>
            <c:ext xmlns:c16="http://schemas.microsoft.com/office/drawing/2014/chart" uri="{C3380CC4-5D6E-409C-BE32-E72D297353CC}">
              <c16:uniqueId val="{00000001-6EB4-496D-887F-CCFD917E8229}"/>
            </c:ext>
          </c:extLst>
        </c:ser>
        <c:dLbls>
          <c:showLegendKey val="0"/>
          <c:showVal val="0"/>
          <c:showCatName val="0"/>
          <c:showSerName val="0"/>
          <c:showPercent val="0"/>
          <c:showBubbleSize val="0"/>
        </c:dLbls>
        <c:gapWidth val="182"/>
        <c:axId val="2049576735"/>
        <c:axId val="2049577983"/>
      </c:barChart>
      <c:catAx>
        <c:axId val="204957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9577983"/>
        <c:crosses val="autoZero"/>
        <c:auto val="1"/>
        <c:lblAlgn val="ctr"/>
        <c:lblOffset val="100"/>
        <c:noMultiLvlLbl val="0"/>
      </c:catAx>
      <c:valAx>
        <c:axId val="2049577983"/>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957673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171449</xdr:rowOff>
    </xdr:from>
    <xdr:to>
      <xdr:col>41</xdr:col>
      <xdr:colOff>468086</xdr:colOff>
      <xdr:row>62</xdr:row>
      <xdr:rowOff>12246</xdr:rowOff>
    </xdr:to>
    <xdr:sp macro="" textlink="">
      <xdr:nvSpPr>
        <xdr:cNvPr id="2" name="Rectangle 1"/>
        <xdr:cNvSpPr/>
      </xdr:nvSpPr>
      <xdr:spPr>
        <a:xfrm>
          <a:off x="0" y="171449"/>
          <a:ext cx="25461686" cy="11061247"/>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68580</xdr:colOff>
      <xdr:row>0</xdr:row>
      <xdr:rowOff>53341</xdr:rowOff>
    </xdr:from>
    <xdr:to>
      <xdr:col>27</xdr:col>
      <xdr:colOff>250371</xdr:colOff>
      <xdr:row>3</xdr:row>
      <xdr:rowOff>130630</xdr:rowOff>
    </xdr:to>
    <xdr:sp macro="" textlink="">
      <xdr:nvSpPr>
        <xdr:cNvPr id="4" name="TextBox 3"/>
        <xdr:cNvSpPr txBox="1"/>
      </xdr:nvSpPr>
      <xdr:spPr>
        <a:xfrm>
          <a:off x="68580" y="53341"/>
          <a:ext cx="16640991" cy="63246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4000" b="1">
              <a:latin typeface="Verdana" panose="020B0604030504040204" pitchFamily="34" charset="0"/>
              <a:ea typeface="Verdana" panose="020B0604030504040204" pitchFamily="34" charset="0"/>
            </a:rPr>
            <a:t>Government Ministries Budget Analysis</a:t>
          </a:r>
        </a:p>
      </xdr:txBody>
    </xdr:sp>
    <xdr:clientData/>
  </xdr:twoCellAnchor>
  <xdr:twoCellAnchor>
    <xdr:from>
      <xdr:col>7</xdr:col>
      <xdr:colOff>333375</xdr:colOff>
      <xdr:row>3</xdr:row>
      <xdr:rowOff>173355</xdr:rowOff>
    </xdr:from>
    <xdr:to>
      <xdr:col>10</xdr:col>
      <xdr:colOff>417195</xdr:colOff>
      <xdr:row>8</xdr:row>
      <xdr:rowOff>179070</xdr:rowOff>
    </xdr:to>
    <xdr:sp macro="" textlink="">
      <xdr:nvSpPr>
        <xdr:cNvPr id="10" name="Rounded Rectangle 9"/>
        <xdr:cNvSpPr/>
      </xdr:nvSpPr>
      <xdr:spPr>
        <a:xfrm>
          <a:off x="4600575" y="716280"/>
          <a:ext cx="1912620" cy="910590"/>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7</xdr:col>
      <xdr:colOff>415290</xdr:colOff>
      <xdr:row>6</xdr:row>
      <xdr:rowOff>59055</xdr:rowOff>
    </xdr:from>
    <xdr:to>
      <xdr:col>10</xdr:col>
      <xdr:colOff>293370</xdr:colOff>
      <xdr:row>7</xdr:row>
      <xdr:rowOff>171450</xdr:rowOff>
    </xdr:to>
    <xdr:sp macro="" textlink="">
      <xdr:nvSpPr>
        <xdr:cNvPr id="3" name="TextBox 2"/>
        <xdr:cNvSpPr txBox="1"/>
      </xdr:nvSpPr>
      <xdr:spPr>
        <a:xfrm>
          <a:off x="4682490" y="1144905"/>
          <a:ext cx="170688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000">
              <a:ln>
                <a:noFill/>
              </a:ln>
              <a:solidFill>
                <a:sysClr val="windowText" lastClr="000000"/>
              </a:solidFill>
              <a:latin typeface="Verdana" panose="020B0604030504040204" pitchFamily="34" charset="0"/>
              <a:ea typeface="Verdana" panose="020B0604030504040204" pitchFamily="34" charset="0"/>
            </a:rPr>
            <a:t>Total Approved Budget</a:t>
          </a:r>
        </a:p>
      </xdr:txBody>
    </xdr:sp>
    <xdr:clientData/>
  </xdr:twoCellAnchor>
  <xdr:twoCellAnchor>
    <xdr:from>
      <xdr:col>10</xdr:col>
      <xdr:colOff>470535</xdr:colOff>
      <xdr:row>3</xdr:row>
      <xdr:rowOff>161925</xdr:rowOff>
    </xdr:from>
    <xdr:to>
      <xdr:col>13</xdr:col>
      <xdr:colOff>554355</xdr:colOff>
      <xdr:row>8</xdr:row>
      <xdr:rowOff>169545</xdr:rowOff>
    </xdr:to>
    <xdr:sp macro="" textlink="">
      <xdr:nvSpPr>
        <xdr:cNvPr id="15" name="Rounded Rectangle 14"/>
        <xdr:cNvSpPr/>
      </xdr:nvSpPr>
      <xdr:spPr>
        <a:xfrm>
          <a:off x="6566535" y="704850"/>
          <a:ext cx="1912620" cy="912495"/>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14</xdr:col>
      <xdr:colOff>1905</xdr:colOff>
      <xdr:row>3</xdr:row>
      <xdr:rowOff>171450</xdr:rowOff>
    </xdr:from>
    <xdr:to>
      <xdr:col>17</xdr:col>
      <xdr:colOff>85725</xdr:colOff>
      <xdr:row>8</xdr:row>
      <xdr:rowOff>179070</xdr:rowOff>
    </xdr:to>
    <xdr:sp macro="" textlink="">
      <xdr:nvSpPr>
        <xdr:cNvPr id="16" name="Rounded Rectangle 15"/>
        <xdr:cNvSpPr/>
      </xdr:nvSpPr>
      <xdr:spPr>
        <a:xfrm>
          <a:off x="8536305" y="714375"/>
          <a:ext cx="1912620" cy="912495"/>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17</xdr:col>
      <xdr:colOff>135255</xdr:colOff>
      <xdr:row>3</xdr:row>
      <xdr:rowOff>160020</xdr:rowOff>
    </xdr:from>
    <xdr:to>
      <xdr:col>20</xdr:col>
      <xdr:colOff>219075</xdr:colOff>
      <xdr:row>8</xdr:row>
      <xdr:rowOff>167640</xdr:rowOff>
    </xdr:to>
    <xdr:sp macro="" textlink="">
      <xdr:nvSpPr>
        <xdr:cNvPr id="17" name="Rounded Rectangle 16"/>
        <xdr:cNvSpPr/>
      </xdr:nvSpPr>
      <xdr:spPr>
        <a:xfrm>
          <a:off x="10498455" y="702945"/>
          <a:ext cx="1912620" cy="912495"/>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10</xdr:col>
      <xdr:colOff>539115</xdr:colOff>
      <xdr:row>6</xdr:row>
      <xdr:rowOff>62865</xdr:rowOff>
    </xdr:from>
    <xdr:to>
      <xdr:col>13</xdr:col>
      <xdr:colOff>417195</xdr:colOff>
      <xdr:row>7</xdr:row>
      <xdr:rowOff>175260</xdr:rowOff>
    </xdr:to>
    <xdr:sp macro="" textlink="">
      <xdr:nvSpPr>
        <xdr:cNvPr id="18" name="TextBox 17"/>
        <xdr:cNvSpPr txBox="1"/>
      </xdr:nvSpPr>
      <xdr:spPr>
        <a:xfrm>
          <a:off x="6635115" y="1148715"/>
          <a:ext cx="170688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000">
              <a:ln>
                <a:noFill/>
              </a:ln>
              <a:solidFill>
                <a:sysClr val="windowText" lastClr="000000"/>
              </a:solidFill>
              <a:latin typeface="Verdana" panose="020B0604030504040204" pitchFamily="34" charset="0"/>
              <a:ea typeface="Verdana" panose="020B0604030504040204" pitchFamily="34" charset="0"/>
            </a:rPr>
            <a:t>Total Actual Spending</a:t>
          </a:r>
        </a:p>
      </xdr:txBody>
    </xdr:sp>
    <xdr:clientData/>
  </xdr:twoCellAnchor>
  <xdr:twoCellAnchor>
    <xdr:from>
      <xdr:col>14</xdr:col>
      <xdr:colOff>203835</xdr:colOff>
      <xdr:row>6</xdr:row>
      <xdr:rowOff>45720</xdr:rowOff>
    </xdr:from>
    <xdr:to>
      <xdr:col>17</xdr:col>
      <xdr:colOff>81915</xdr:colOff>
      <xdr:row>7</xdr:row>
      <xdr:rowOff>158115</xdr:rowOff>
    </xdr:to>
    <xdr:sp macro="" textlink="">
      <xdr:nvSpPr>
        <xdr:cNvPr id="19" name="TextBox 18"/>
        <xdr:cNvSpPr txBox="1"/>
      </xdr:nvSpPr>
      <xdr:spPr>
        <a:xfrm>
          <a:off x="8738235" y="1131570"/>
          <a:ext cx="170688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000">
              <a:ln>
                <a:noFill/>
              </a:ln>
              <a:solidFill>
                <a:sysClr val="windowText" lastClr="000000"/>
              </a:solidFill>
              <a:latin typeface="Verdana" panose="020B0604030504040204" pitchFamily="34" charset="0"/>
              <a:ea typeface="Verdana" panose="020B0604030504040204" pitchFamily="34" charset="0"/>
            </a:rPr>
            <a:t>Budget</a:t>
          </a:r>
          <a:r>
            <a:rPr lang="en-CA" sz="1000" baseline="0">
              <a:ln>
                <a:noFill/>
              </a:ln>
              <a:solidFill>
                <a:sysClr val="windowText" lastClr="000000"/>
              </a:solidFill>
              <a:latin typeface="Verdana" panose="020B0604030504040204" pitchFamily="34" charset="0"/>
              <a:ea typeface="Verdana" panose="020B0604030504040204" pitchFamily="34" charset="0"/>
            </a:rPr>
            <a:t> Utilization %</a:t>
          </a:r>
          <a:endParaRPr lang="en-CA" sz="1000">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20</xdr:col>
      <xdr:colOff>295275</xdr:colOff>
      <xdr:row>3</xdr:row>
      <xdr:rowOff>171450</xdr:rowOff>
    </xdr:from>
    <xdr:to>
      <xdr:col>23</xdr:col>
      <xdr:colOff>379095</xdr:colOff>
      <xdr:row>8</xdr:row>
      <xdr:rowOff>179070</xdr:rowOff>
    </xdr:to>
    <xdr:sp macro="" textlink="">
      <xdr:nvSpPr>
        <xdr:cNvPr id="20" name="Rounded Rectangle 19"/>
        <xdr:cNvSpPr/>
      </xdr:nvSpPr>
      <xdr:spPr>
        <a:xfrm>
          <a:off x="12487275" y="714375"/>
          <a:ext cx="1912620" cy="912495"/>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17</xdr:col>
      <xdr:colOff>329565</xdr:colOff>
      <xdr:row>6</xdr:row>
      <xdr:rowOff>72390</xdr:rowOff>
    </xdr:from>
    <xdr:to>
      <xdr:col>20</xdr:col>
      <xdr:colOff>207645</xdr:colOff>
      <xdr:row>8</xdr:row>
      <xdr:rowOff>3810</xdr:rowOff>
    </xdr:to>
    <xdr:sp macro="" textlink="">
      <xdr:nvSpPr>
        <xdr:cNvPr id="21" name="TextBox 20"/>
        <xdr:cNvSpPr txBox="1"/>
      </xdr:nvSpPr>
      <xdr:spPr>
        <a:xfrm>
          <a:off x="10692765" y="1158240"/>
          <a:ext cx="170688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000" baseline="0">
              <a:ln>
                <a:noFill/>
              </a:ln>
              <a:solidFill>
                <a:sysClr val="windowText" lastClr="000000"/>
              </a:solidFill>
              <a:latin typeface="Verdana" panose="020B0604030504040204" pitchFamily="34" charset="0"/>
              <a:ea typeface="Verdana" panose="020B0604030504040204" pitchFamily="34" charset="0"/>
            </a:rPr>
            <a:t>Capital Utilization %</a:t>
          </a:r>
          <a:endParaRPr lang="en-CA" sz="1000">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20</xdr:col>
      <xdr:colOff>312420</xdr:colOff>
      <xdr:row>6</xdr:row>
      <xdr:rowOff>72390</xdr:rowOff>
    </xdr:from>
    <xdr:to>
      <xdr:col>23</xdr:col>
      <xdr:colOff>373380</xdr:colOff>
      <xdr:row>7</xdr:row>
      <xdr:rowOff>177165</xdr:rowOff>
    </xdr:to>
    <xdr:sp macro="" textlink="">
      <xdr:nvSpPr>
        <xdr:cNvPr id="22" name="TextBox 21"/>
        <xdr:cNvSpPr txBox="1"/>
      </xdr:nvSpPr>
      <xdr:spPr>
        <a:xfrm>
          <a:off x="12504420" y="1158240"/>
          <a:ext cx="188976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000" baseline="0">
              <a:ln>
                <a:noFill/>
              </a:ln>
              <a:solidFill>
                <a:sysClr val="windowText" lastClr="000000"/>
              </a:solidFill>
              <a:latin typeface="Verdana" panose="020B0604030504040204" pitchFamily="34" charset="0"/>
              <a:ea typeface="Verdana" panose="020B0604030504040204" pitchFamily="34" charset="0"/>
            </a:rPr>
            <a:t>Operational Utilization %</a:t>
          </a:r>
          <a:endParaRPr lang="en-CA" sz="1000">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23</xdr:col>
      <xdr:colOff>446314</xdr:colOff>
      <xdr:row>3</xdr:row>
      <xdr:rowOff>175260</xdr:rowOff>
    </xdr:from>
    <xdr:to>
      <xdr:col>27</xdr:col>
      <xdr:colOff>175260</xdr:colOff>
      <xdr:row>9</xdr:row>
      <xdr:rowOff>0</xdr:rowOff>
    </xdr:to>
    <xdr:sp macro="" textlink="">
      <xdr:nvSpPr>
        <xdr:cNvPr id="23" name="Rounded Rectangle 22"/>
        <xdr:cNvSpPr/>
      </xdr:nvSpPr>
      <xdr:spPr>
        <a:xfrm>
          <a:off x="14467114" y="730431"/>
          <a:ext cx="2167346" cy="935083"/>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23</xdr:col>
      <xdr:colOff>381545</xdr:colOff>
      <xdr:row>6</xdr:row>
      <xdr:rowOff>84637</xdr:rowOff>
    </xdr:from>
    <xdr:to>
      <xdr:col>27</xdr:col>
      <xdr:colOff>229145</xdr:colOff>
      <xdr:row>8</xdr:row>
      <xdr:rowOff>8437</xdr:rowOff>
    </xdr:to>
    <xdr:sp macro="" textlink="">
      <xdr:nvSpPr>
        <xdr:cNvPr id="25" name="TextBox 24"/>
        <xdr:cNvSpPr txBox="1"/>
      </xdr:nvSpPr>
      <xdr:spPr>
        <a:xfrm>
          <a:off x="14402345" y="1170487"/>
          <a:ext cx="2286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CA" sz="1000" baseline="0">
              <a:ln>
                <a:noFill/>
              </a:ln>
              <a:solidFill>
                <a:sysClr val="windowText" lastClr="000000"/>
              </a:solidFill>
              <a:latin typeface="Verdana" panose="020B0604030504040204" pitchFamily="34" charset="0"/>
              <a:ea typeface="Verdana" panose="020B0604030504040204" pitchFamily="34" charset="0"/>
            </a:rPr>
            <a:t>Ministries Below 50% Utilization</a:t>
          </a:r>
          <a:endParaRPr lang="en-CA" sz="1000">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4</xdr:col>
      <xdr:colOff>219075</xdr:colOff>
      <xdr:row>9</xdr:row>
      <xdr:rowOff>55244</xdr:rowOff>
    </xdr:from>
    <xdr:to>
      <xdr:col>14</xdr:col>
      <xdr:colOff>38100</xdr:colOff>
      <xdr:row>30</xdr:row>
      <xdr:rowOff>47624</xdr:rowOff>
    </xdr:to>
    <xdr:sp macro="" textlink="">
      <xdr:nvSpPr>
        <xdr:cNvPr id="26" name="Rounded Rectangle 25"/>
        <xdr:cNvSpPr/>
      </xdr:nvSpPr>
      <xdr:spPr>
        <a:xfrm>
          <a:off x="2657475" y="1684019"/>
          <a:ext cx="5915025" cy="3792855"/>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ffectLst>
              <a:outerShdw blurRad="50800" dist="50800" dir="5400000" algn="ctr" rotWithShape="0">
                <a:schemeClr val="tx1"/>
              </a:outerShdw>
            </a:effectLst>
          </a:endParaRPr>
        </a:p>
      </xdr:txBody>
    </xdr:sp>
    <xdr:clientData/>
  </xdr:twoCellAnchor>
  <xdr:twoCellAnchor>
    <xdr:from>
      <xdr:col>14</xdr:col>
      <xdr:colOff>64769</xdr:colOff>
      <xdr:row>9</xdr:row>
      <xdr:rowOff>55244</xdr:rowOff>
    </xdr:from>
    <xdr:to>
      <xdr:col>21</xdr:col>
      <xdr:colOff>0</xdr:colOff>
      <xdr:row>30</xdr:row>
      <xdr:rowOff>64769</xdr:rowOff>
    </xdr:to>
    <xdr:sp macro="" textlink="">
      <xdr:nvSpPr>
        <xdr:cNvPr id="28" name="Rounded Rectangle 27"/>
        <xdr:cNvSpPr/>
      </xdr:nvSpPr>
      <xdr:spPr>
        <a:xfrm>
          <a:off x="8599169" y="1684019"/>
          <a:ext cx="4202431" cy="3810000"/>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7</xdr:col>
      <xdr:colOff>371475</xdr:colOff>
      <xdr:row>3</xdr:row>
      <xdr:rowOff>161926</xdr:rowOff>
    </xdr:from>
    <xdr:to>
      <xdr:col>10</xdr:col>
      <xdr:colOff>350520</xdr:colOff>
      <xdr:row>7</xdr:row>
      <xdr:rowOff>57150</xdr:rowOff>
    </xdr:to>
    <xdr:sp macro="" textlink="'rough_work ref_to_dashboard'!B2">
      <xdr:nvSpPr>
        <xdr:cNvPr id="30" name="TextBox 29"/>
        <xdr:cNvSpPr txBox="1"/>
      </xdr:nvSpPr>
      <xdr:spPr>
        <a:xfrm>
          <a:off x="4638675" y="704851"/>
          <a:ext cx="1807845"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43CB07-1152-448B-BCA0-D13D9B9FFCFD}" type="TxLink">
            <a:rPr lang="en-US" sz="2800" b="1" i="0" u="none" strike="noStrike">
              <a:ln>
                <a:noFill/>
              </a:ln>
              <a:solidFill>
                <a:srgbClr val="000000"/>
              </a:solidFill>
              <a:latin typeface="Verdana" panose="020B0604030504040204" pitchFamily="34" charset="0"/>
              <a:ea typeface="Verdana" panose="020B0604030504040204" pitchFamily="34" charset="0"/>
              <a:cs typeface="Calibri"/>
            </a:rPr>
            <a:t>$658.7B</a:t>
          </a:fld>
          <a:endParaRPr lang="en-US" sz="2800" b="1">
            <a:ln>
              <a:noFill/>
            </a:ln>
            <a:latin typeface="Verdana" panose="020B0604030504040204" pitchFamily="34" charset="0"/>
            <a:ea typeface="Verdana" panose="020B0604030504040204" pitchFamily="34" charset="0"/>
          </a:endParaRPr>
        </a:p>
      </xdr:txBody>
    </xdr:sp>
    <xdr:clientData/>
  </xdr:twoCellAnchor>
  <xdr:twoCellAnchor>
    <xdr:from>
      <xdr:col>10</xdr:col>
      <xdr:colOff>514350</xdr:colOff>
      <xdr:row>3</xdr:row>
      <xdr:rowOff>152401</xdr:rowOff>
    </xdr:from>
    <xdr:to>
      <xdr:col>13</xdr:col>
      <xdr:colOff>493395</xdr:colOff>
      <xdr:row>7</xdr:row>
      <xdr:rowOff>47625</xdr:rowOff>
    </xdr:to>
    <xdr:sp macro="" textlink="'rough_work ref_to_dashboard'!B3">
      <xdr:nvSpPr>
        <xdr:cNvPr id="31" name="TextBox 30"/>
        <xdr:cNvSpPr txBox="1"/>
      </xdr:nvSpPr>
      <xdr:spPr>
        <a:xfrm>
          <a:off x="6610350" y="695326"/>
          <a:ext cx="1807845"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D19128-61AA-4E07-AB47-2D44B46DDDA0}" type="TxLink">
            <a:rPr lang="en-US" sz="2800" b="1" i="0" u="none" strike="noStrike">
              <a:ln>
                <a:noFill/>
              </a:ln>
              <a:solidFill>
                <a:srgbClr val="000000"/>
              </a:solidFill>
              <a:latin typeface="Verdana" panose="020B0604030504040204" pitchFamily="34" charset="0"/>
              <a:ea typeface="Verdana" panose="020B0604030504040204" pitchFamily="34" charset="0"/>
              <a:cs typeface="Calibri"/>
            </a:rPr>
            <a:t>$167.2B</a:t>
          </a:fld>
          <a:endParaRPr lang="en-CA" sz="2800" b="1">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14</xdr:col>
      <xdr:colOff>161925</xdr:colOff>
      <xdr:row>3</xdr:row>
      <xdr:rowOff>152401</xdr:rowOff>
    </xdr:from>
    <xdr:to>
      <xdr:col>17</xdr:col>
      <xdr:colOff>140970</xdr:colOff>
      <xdr:row>7</xdr:row>
      <xdr:rowOff>47625</xdr:rowOff>
    </xdr:to>
    <xdr:sp macro="" textlink="'rough_work ref_to_dashboard'!B4">
      <xdr:nvSpPr>
        <xdr:cNvPr id="32" name="TextBox 31"/>
        <xdr:cNvSpPr txBox="1"/>
      </xdr:nvSpPr>
      <xdr:spPr>
        <a:xfrm>
          <a:off x="8696325" y="695326"/>
          <a:ext cx="1807845"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811C14-A017-4FE5-8DBA-A051BDFDCBDB}" type="TxLink">
            <a:rPr lang="en-US" sz="2800" b="1" i="0" u="none" strike="noStrike">
              <a:ln>
                <a:noFill/>
              </a:ln>
              <a:solidFill>
                <a:srgbClr val="000000"/>
              </a:solidFill>
              <a:latin typeface="Verdana" panose="020B0604030504040204" pitchFamily="34" charset="0"/>
              <a:ea typeface="Verdana" panose="020B0604030504040204" pitchFamily="34" charset="0"/>
              <a:cs typeface="Calibri"/>
            </a:rPr>
            <a:t>25%</a:t>
          </a:fld>
          <a:endParaRPr lang="en-CA" sz="2800" b="1">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17</xdr:col>
      <xdr:colOff>257175</xdr:colOff>
      <xdr:row>3</xdr:row>
      <xdr:rowOff>152401</xdr:rowOff>
    </xdr:from>
    <xdr:to>
      <xdr:col>20</xdr:col>
      <xdr:colOff>236220</xdr:colOff>
      <xdr:row>7</xdr:row>
      <xdr:rowOff>47625</xdr:rowOff>
    </xdr:to>
    <xdr:sp macro="" textlink="'rough_work ref_to_dashboard'!B5">
      <xdr:nvSpPr>
        <xdr:cNvPr id="33" name="TextBox 32"/>
        <xdr:cNvSpPr txBox="1"/>
      </xdr:nvSpPr>
      <xdr:spPr>
        <a:xfrm>
          <a:off x="10620375" y="695326"/>
          <a:ext cx="1807845"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B65EA7-1787-44D9-8761-F38574E6C8C1}" type="TxLink">
            <a:rPr lang="en-US" sz="2800" b="1" i="0" u="none" strike="noStrike">
              <a:ln>
                <a:noFill/>
              </a:ln>
              <a:solidFill>
                <a:srgbClr val="000000"/>
              </a:solidFill>
              <a:latin typeface="Verdana" panose="020B0604030504040204" pitchFamily="34" charset="0"/>
              <a:ea typeface="Verdana" panose="020B0604030504040204" pitchFamily="34" charset="0"/>
              <a:cs typeface="Calibri"/>
            </a:rPr>
            <a:t>21%</a:t>
          </a:fld>
          <a:endParaRPr lang="en-CA" sz="2800" b="1">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20</xdr:col>
      <xdr:colOff>390525</xdr:colOff>
      <xdr:row>3</xdr:row>
      <xdr:rowOff>161926</xdr:rowOff>
    </xdr:from>
    <xdr:to>
      <xdr:col>23</xdr:col>
      <xdr:colOff>369570</xdr:colOff>
      <xdr:row>7</xdr:row>
      <xdr:rowOff>57150</xdr:rowOff>
    </xdr:to>
    <xdr:sp macro="" textlink="'rough_work ref_to_dashboard'!B6">
      <xdr:nvSpPr>
        <xdr:cNvPr id="34" name="TextBox 33"/>
        <xdr:cNvSpPr txBox="1"/>
      </xdr:nvSpPr>
      <xdr:spPr>
        <a:xfrm>
          <a:off x="12582525" y="704851"/>
          <a:ext cx="1807845" cy="61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54CF5A-CAD6-4C48-91B3-2CF8111319ED}" type="TxLink">
            <a:rPr lang="en-US" sz="2800" b="1" i="0" u="none" strike="noStrike">
              <a:ln>
                <a:noFill/>
              </a:ln>
              <a:solidFill>
                <a:srgbClr val="000000"/>
              </a:solidFill>
              <a:latin typeface="Verdana" panose="020B0604030504040204" pitchFamily="34" charset="0"/>
              <a:ea typeface="Verdana" panose="020B0604030504040204" pitchFamily="34" charset="0"/>
              <a:cs typeface="Calibri"/>
            </a:rPr>
            <a:t>32%</a:t>
          </a:fld>
          <a:endParaRPr lang="en-CA" sz="2800" b="1">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xdr:from>
      <xdr:col>24</xdr:col>
      <xdr:colOff>100965</xdr:colOff>
      <xdr:row>3</xdr:row>
      <xdr:rowOff>179616</xdr:rowOff>
    </xdr:from>
    <xdr:to>
      <xdr:col>27</xdr:col>
      <xdr:colOff>80010</xdr:colOff>
      <xdr:row>7</xdr:row>
      <xdr:rowOff>43544</xdr:rowOff>
    </xdr:to>
    <xdr:sp macro="" textlink="'rough_work ref_to_dashboard'!B7">
      <xdr:nvSpPr>
        <xdr:cNvPr id="35" name="TextBox 34"/>
        <xdr:cNvSpPr txBox="1"/>
      </xdr:nvSpPr>
      <xdr:spPr>
        <a:xfrm>
          <a:off x="14731365" y="734787"/>
          <a:ext cx="1807845" cy="604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36B3D-984C-4116-BE98-B776AB9815EC}" type="TxLink">
            <a:rPr lang="en-US" sz="2800" b="1" i="0" u="none" strike="noStrike">
              <a:ln>
                <a:noFill/>
              </a:ln>
              <a:solidFill>
                <a:srgbClr val="000000"/>
              </a:solidFill>
              <a:latin typeface="Verdana" panose="020B0604030504040204" pitchFamily="34" charset="0"/>
              <a:ea typeface="Verdana" panose="020B0604030504040204" pitchFamily="34" charset="0"/>
              <a:cs typeface="Calibri"/>
            </a:rPr>
            <a:t>8</a:t>
          </a:fld>
          <a:endParaRPr lang="en-CA" sz="2800" b="1">
            <a:ln>
              <a:noFill/>
            </a:ln>
            <a:solidFill>
              <a:sysClr val="windowText" lastClr="000000"/>
            </a:solidFill>
            <a:latin typeface="Verdana" panose="020B0604030504040204" pitchFamily="34" charset="0"/>
            <a:ea typeface="Verdana" panose="020B0604030504040204" pitchFamily="34" charset="0"/>
          </a:endParaRPr>
        </a:p>
      </xdr:txBody>
    </xdr:sp>
    <xdr:clientData/>
  </xdr:twoCellAnchor>
  <xdr:twoCellAnchor editAs="oneCell">
    <xdr:from>
      <xdr:col>0</xdr:col>
      <xdr:colOff>68580</xdr:colOff>
      <xdr:row>3</xdr:row>
      <xdr:rowOff>131444</xdr:rowOff>
    </xdr:from>
    <xdr:to>
      <xdr:col>4</xdr:col>
      <xdr:colOff>167640</xdr:colOff>
      <xdr:row>20</xdr:row>
      <xdr:rowOff>140969</xdr:rowOff>
    </xdr:to>
    <mc:AlternateContent xmlns:mc="http://schemas.openxmlformats.org/markup-compatibility/2006" xmlns:a14="http://schemas.microsoft.com/office/drawing/2010/main">
      <mc:Choice Requires="a14">
        <xdr:graphicFrame macro="">
          <xdr:nvGraphicFramePr>
            <xdr:cNvPr id="42" name="ministry_name"/>
            <xdr:cNvGraphicFramePr/>
          </xdr:nvGraphicFramePr>
          <xdr:xfrm>
            <a:off x="0" y="0"/>
            <a:ext cx="0" cy="0"/>
          </xdr:xfrm>
          <a:graphic>
            <a:graphicData uri="http://schemas.microsoft.com/office/drawing/2010/slicer">
              <sle:slicer xmlns:sle="http://schemas.microsoft.com/office/drawing/2010/slicer" name="ministry_name"/>
            </a:graphicData>
          </a:graphic>
        </xdr:graphicFrame>
      </mc:Choice>
      <mc:Fallback xmlns="">
        <xdr:sp macro="" textlink="">
          <xdr:nvSpPr>
            <xdr:cNvPr id="0" name=""/>
            <xdr:cNvSpPr>
              <a:spLocks noTextEdit="1"/>
            </xdr:cNvSpPr>
          </xdr:nvSpPr>
          <xdr:spPr>
            <a:xfrm>
              <a:off x="68580" y="674369"/>
              <a:ext cx="2537460" cy="30861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26</xdr:row>
      <xdr:rowOff>2</xdr:rowOff>
    </xdr:from>
    <xdr:to>
      <xdr:col>4</xdr:col>
      <xdr:colOff>167640</xdr:colOff>
      <xdr:row>31</xdr:row>
      <xdr:rowOff>1</xdr:rowOff>
    </xdr:to>
    <mc:AlternateContent xmlns:mc="http://schemas.openxmlformats.org/markup-compatibility/2006" xmlns:a14="http://schemas.microsoft.com/office/drawing/2010/main">
      <mc:Choice Requires="a14">
        <xdr:graphicFrame macro="">
          <xdr:nvGraphicFramePr>
            <xdr:cNvPr id="43" name="expense_category"/>
            <xdr:cNvGraphicFramePr/>
          </xdr:nvGraphicFramePr>
          <xdr:xfrm>
            <a:off x="0" y="0"/>
            <a:ext cx="0" cy="0"/>
          </xdr:xfrm>
          <a:graphic>
            <a:graphicData uri="http://schemas.microsoft.com/office/drawing/2010/slicer">
              <sle:slicer xmlns:sle="http://schemas.microsoft.com/office/drawing/2010/slicer" name="expense_category"/>
            </a:graphicData>
          </a:graphic>
        </xdr:graphicFrame>
      </mc:Choice>
      <mc:Fallback xmlns="">
        <xdr:sp macro="" textlink="">
          <xdr:nvSpPr>
            <xdr:cNvPr id="0" name=""/>
            <xdr:cNvSpPr>
              <a:spLocks noTextEdit="1"/>
            </xdr:cNvSpPr>
          </xdr:nvSpPr>
          <xdr:spPr>
            <a:xfrm>
              <a:off x="68580" y="4705352"/>
              <a:ext cx="2537460" cy="90487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20</xdr:row>
      <xdr:rowOff>140968</xdr:rowOff>
    </xdr:from>
    <xdr:to>
      <xdr:col>4</xdr:col>
      <xdr:colOff>167640</xdr:colOff>
      <xdr:row>25</xdr:row>
      <xdr:rowOff>180974</xdr:rowOff>
    </xdr:to>
    <mc:AlternateContent xmlns:mc="http://schemas.openxmlformats.org/markup-compatibility/2006" xmlns:a14="http://schemas.microsoft.com/office/drawing/2010/main">
      <mc:Choice Requires="a14">
        <xdr:graphicFrame macro="">
          <xdr:nvGraphicFramePr>
            <xdr:cNvPr id="44" name="expense_category 1"/>
            <xdr:cNvGraphicFramePr/>
          </xdr:nvGraphicFramePr>
          <xdr:xfrm>
            <a:off x="0" y="0"/>
            <a:ext cx="0" cy="0"/>
          </xdr:xfrm>
          <a:graphic>
            <a:graphicData uri="http://schemas.microsoft.com/office/drawing/2010/slicer">
              <sle:slicer xmlns:sle="http://schemas.microsoft.com/office/drawing/2010/slicer" name="expense_category 1"/>
            </a:graphicData>
          </a:graphic>
        </xdr:graphicFrame>
      </mc:Choice>
      <mc:Fallback xmlns="">
        <xdr:sp macro="" textlink="">
          <xdr:nvSpPr>
            <xdr:cNvPr id="0" name=""/>
            <xdr:cNvSpPr>
              <a:spLocks noTextEdit="1"/>
            </xdr:cNvSpPr>
          </xdr:nvSpPr>
          <xdr:spPr>
            <a:xfrm>
              <a:off x="68580" y="3760468"/>
              <a:ext cx="2537460" cy="94488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30</xdr:row>
      <xdr:rowOff>142875</xdr:rowOff>
    </xdr:from>
    <xdr:to>
      <xdr:col>4</xdr:col>
      <xdr:colOff>167640</xdr:colOff>
      <xdr:row>38</xdr:row>
      <xdr:rowOff>123825</xdr:rowOff>
    </xdr:to>
    <mc:AlternateContent xmlns:mc="http://schemas.openxmlformats.org/markup-compatibility/2006" xmlns:a14="http://schemas.microsoft.com/office/drawing/2010/main">
      <mc:Choice Requires="a14">
        <xdr:graphicFrame macro="">
          <xdr:nvGraphicFramePr>
            <xdr:cNvPr id="45" name="funding_source"/>
            <xdr:cNvGraphicFramePr/>
          </xdr:nvGraphicFramePr>
          <xdr:xfrm>
            <a:off x="0" y="0"/>
            <a:ext cx="0" cy="0"/>
          </xdr:xfrm>
          <a:graphic>
            <a:graphicData uri="http://schemas.microsoft.com/office/drawing/2010/slicer">
              <sle:slicer xmlns:sle="http://schemas.microsoft.com/office/drawing/2010/slicer" name="funding_source"/>
            </a:graphicData>
          </a:graphic>
        </xdr:graphicFrame>
      </mc:Choice>
      <mc:Fallback xmlns="">
        <xdr:sp macro="" textlink="">
          <xdr:nvSpPr>
            <xdr:cNvPr id="0" name=""/>
            <xdr:cNvSpPr>
              <a:spLocks noTextEdit="1"/>
            </xdr:cNvSpPr>
          </xdr:nvSpPr>
          <xdr:spPr>
            <a:xfrm>
              <a:off x="68580" y="5572125"/>
              <a:ext cx="2537460" cy="14287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365760</xdr:colOff>
      <xdr:row>9</xdr:row>
      <xdr:rowOff>55244</xdr:rowOff>
    </xdr:from>
    <xdr:to>
      <xdr:col>13</xdr:col>
      <xdr:colOff>586739</xdr:colOff>
      <xdr:row>30</xdr:row>
      <xdr:rowOff>0</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36195</xdr:colOff>
      <xdr:row>9</xdr:row>
      <xdr:rowOff>47624</xdr:rowOff>
    </xdr:from>
    <xdr:to>
      <xdr:col>27</xdr:col>
      <xdr:colOff>306706</xdr:colOff>
      <xdr:row>30</xdr:row>
      <xdr:rowOff>57149</xdr:rowOff>
    </xdr:to>
    <xdr:sp macro="" textlink="">
      <xdr:nvSpPr>
        <xdr:cNvPr id="48" name="Rounded Rectangle 47"/>
        <xdr:cNvSpPr/>
      </xdr:nvSpPr>
      <xdr:spPr>
        <a:xfrm>
          <a:off x="12837795" y="1676399"/>
          <a:ext cx="3928111" cy="3810000"/>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14</xdr:col>
      <xdr:colOff>161926</xdr:colOff>
      <xdr:row>9</xdr:row>
      <xdr:rowOff>104775</xdr:rowOff>
    </xdr:from>
    <xdr:to>
      <xdr:col>21</xdr:col>
      <xdr:colOff>0</xdr:colOff>
      <xdr:row>29</xdr:row>
      <xdr:rowOff>49531</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93345</xdr:colOff>
      <xdr:row>10</xdr:row>
      <xdr:rowOff>76199</xdr:rowOff>
    </xdr:from>
    <xdr:to>
      <xdr:col>27</xdr:col>
      <xdr:colOff>335281</xdr:colOff>
      <xdr:row>28</xdr:row>
      <xdr:rowOff>180974</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195399</xdr:colOff>
      <xdr:row>30</xdr:row>
      <xdr:rowOff>65314</xdr:rowOff>
    </xdr:from>
    <xdr:to>
      <xdr:col>13</xdr:col>
      <xdr:colOff>19051</xdr:colOff>
      <xdr:row>47</xdr:row>
      <xdr:rowOff>108858</xdr:rowOff>
    </xdr:to>
    <xdr:sp macro="" textlink="">
      <xdr:nvSpPr>
        <xdr:cNvPr id="36" name="Rounded Rectangle 35"/>
        <xdr:cNvSpPr/>
      </xdr:nvSpPr>
      <xdr:spPr>
        <a:xfrm>
          <a:off x="2633799" y="5494564"/>
          <a:ext cx="5310052" cy="3120119"/>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4</xdr:col>
      <xdr:colOff>293915</xdr:colOff>
      <xdr:row>31</xdr:row>
      <xdr:rowOff>97971</xdr:rowOff>
    </xdr:from>
    <xdr:to>
      <xdr:col>12</xdr:col>
      <xdr:colOff>552450</xdr:colOff>
      <xdr:row>46</xdr:row>
      <xdr:rowOff>65313</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56606</xdr:colOff>
      <xdr:row>30</xdr:row>
      <xdr:rowOff>107496</xdr:rowOff>
    </xdr:from>
    <xdr:to>
      <xdr:col>19</xdr:col>
      <xdr:colOff>438152</xdr:colOff>
      <xdr:row>47</xdr:row>
      <xdr:rowOff>151040</xdr:rowOff>
    </xdr:to>
    <xdr:sp macro="" textlink="">
      <xdr:nvSpPr>
        <xdr:cNvPr id="38" name="Rounded Rectangle 37"/>
        <xdr:cNvSpPr/>
      </xdr:nvSpPr>
      <xdr:spPr>
        <a:xfrm>
          <a:off x="7981406" y="5536746"/>
          <a:ext cx="4039146" cy="3120119"/>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19</xdr:col>
      <xdr:colOff>498837</xdr:colOff>
      <xdr:row>30</xdr:row>
      <xdr:rowOff>99332</xdr:rowOff>
    </xdr:from>
    <xdr:to>
      <xdr:col>28</xdr:col>
      <xdr:colOff>19050</xdr:colOff>
      <xdr:row>47</xdr:row>
      <xdr:rowOff>142876</xdr:rowOff>
    </xdr:to>
    <xdr:sp macro="" textlink="">
      <xdr:nvSpPr>
        <xdr:cNvPr id="39" name="Rounded Rectangle 38"/>
        <xdr:cNvSpPr/>
      </xdr:nvSpPr>
      <xdr:spPr>
        <a:xfrm>
          <a:off x="12081237" y="5528582"/>
          <a:ext cx="5006613" cy="3120119"/>
        </a:xfrm>
        <a:prstGeom prst="roundRect">
          <a:avLst/>
        </a:prstGeom>
        <a:solidFill>
          <a:schemeClr val="bg1">
            <a:lumMod val="95000"/>
          </a:schemeClr>
        </a:solidFill>
        <a:ln w="28575">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noFill/>
          </a:endParaRPr>
        </a:p>
      </xdr:txBody>
    </xdr:sp>
    <xdr:clientData/>
  </xdr:twoCellAnchor>
  <xdr:twoCellAnchor>
    <xdr:from>
      <xdr:col>13</xdr:col>
      <xdr:colOff>81099</xdr:colOff>
      <xdr:row>31</xdr:row>
      <xdr:rowOff>32658</xdr:rowOff>
    </xdr:from>
    <xdr:to>
      <xdr:col>19</xdr:col>
      <xdr:colOff>419100</xdr:colOff>
      <xdr:row>47</xdr:row>
      <xdr:rowOff>163285</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495300</xdr:colOff>
      <xdr:row>31</xdr:row>
      <xdr:rowOff>50346</xdr:rowOff>
    </xdr:from>
    <xdr:to>
      <xdr:col>28</xdr:col>
      <xdr:colOff>171450</xdr:colOff>
      <xdr:row>47</xdr:row>
      <xdr:rowOff>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38</xdr:row>
      <xdr:rowOff>95249</xdr:rowOff>
    </xdr:from>
    <xdr:to>
      <xdr:col>4</xdr:col>
      <xdr:colOff>171450</xdr:colOff>
      <xdr:row>47</xdr:row>
      <xdr:rowOff>76200</xdr:rowOff>
    </xdr:to>
    <mc:AlternateContent xmlns:mc="http://schemas.openxmlformats.org/markup-compatibility/2006">
      <mc:Choice xmlns:a14="http://schemas.microsoft.com/office/drawing/2010/main" Requires="a14">
        <xdr:graphicFrame macro="">
          <xdr:nvGraphicFramePr>
            <xdr:cNvPr id="50" name="expense_type"/>
            <xdr:cNvGraphicFramePr/>
          </xdr:nvGraphicFramePr>
          <xdr:xfrm>
            <a:off x="0" y="0"/>
            <a:ext cx="0" cy="0"/>
          </xdr:xfrm>
          <a:graphic>
            <a:graphicData uri="http://schemas.microsoft.com/office/drawing/2010/slicer">
              <sle:slicer xmlns:sle="http://schemas.microsoft.com/office/drawing/2010/slicer" name="expense_type"/>
            </a:graphicData>
          </a:graphic>
        </xdr:graphicFrame>
      </mc:Choice>
      <mc:Fallback>
        <xdr:sp macro="" textlink="">
          <xdr:nvSpPr>
            <xdr:cNvPr id="0" name=""/>
            <xdr:cNvSpPr>
              <a:spLocks noTextEdit="1"/>
            </xdr:cNvSpPr>
          </xdr:nvSpPr>
          <xdr:spPr>
            <a:xfrm>
              <a:off x="57150" y="7334249"/>
              <a:ext cx="2552700" cy="169545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4</xdr:row>
      <xdr:rowOff>9525</xdr:rowOff>
    </xdr:from>
    <xdr:to>
      <xdr:col>7</xdr:col>
      <xdr:colOff>228600</xdr:colOff>
      <xdr:row>8</xdr:row>
      <xdr:rowOff>161925</xdr:rowOff>
    </xdr:to>
    <xdr:pic>
      <xdr:nvPicPr>
        <xdr:cNvPr id="6" name="Picture 5"/>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743200" y="733425"/>
          <a:ext cx="1752600" cy="8763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069.615346759259" backgroundQuery="1" createdVersion="6" refreshedVersion="6" minRefreshableVersion="3" recordCount="0" supportSubquery="1" supportAdvancedDrill="1">
  <cacheSource type="external" connectionId="8"/>
  <cacheFields count="3">
    <cacheField name="[dim_expense_type].[expense_type].[expense_type]" caption="expense_type" numFmtId="0" hierarchy="3" level="1">
      <sharedItems count="20">
        <s v="Building Construction and Renovation"/>
        <s v="Data Center Development"/>
        <s v="Employee Benefits and Pensions"/>
        <s v="Heavy Equipment Purchase"/>
        <s v="Infrastructure Development Projects"/>
        <s v="IT Support and Software Subscriptions"/>
        <s v="IT Systems Implementation (ERP, Cybersecurity Systems)"/>
        <s v="Land Acquisition"/>
        <s v="Maintenance and Repairs"/>
        <s v="Major Technology Hardware Purchases"/>
        <s v="Office Supplies and Consumables"/>
        <s v="Professional and Consulting Fees"/>
        <s v="Public Facility Expansion Projects"/>
        <s v="Public Outreach and Communication Costs"/>
        <s v="Research and Innovation Capital Projects"/>
        <s v="Salaries and Wages"/>
        <s v="Training and Staff Development"/>
        <s v="Travel and Accommodation Expenses"/>
        <s v="Utilities (Electricity, Water, Gas)"/>
        <s v="Vehicle Fleet Acquisition"/>
      </sharedItems>
    </cacheField>
    <cacheField name="[Measures].[Sum of amount_spent]" caption="Sum of amount_spent" numFmtId="0" hierarchy="40" level="32767"/>
    <cacheField name="[Measures].[Sum of budget_amount]" caption="Sum of budget_amount" numFmtId="0" hierarchy="38" level="32767"/>
  </cacheFields>
  <cacheHierarchies count="41">
    <cacheHierarchy uniqueName="[dim_expense_category].[expense_category_id]" caption="expense_category_id" attribute="1" defaultMemberUniqueName="[dim_expense_category].[expense_category_id].[All]" allUniqueName="[dim_expense_category].[expense_category_id].[All]" dimensionUniqueName="[dim_expense_category]" displayFolder="" count="2" memberValueDatatype="130" unbalanced="0"/>
    <cacheHierarchy uniqueName="[dim_expense_category].[expense_category]" caption="expense_category" attribute="1" defaultMemberUniqueName="[dim_expense_category].[expense_category].[All]" allUniqueName="[dim_expense_category].[expense_category].[All]" dimensionUniqueName="[dim_expense_category]" displayFolder="" count="2" memberValueDatatype="130" unbalanced="0"/>
    <cacheHierarchy uniqueName="[dim_expense_type].[expense_type_id]" caption="expense_type_id" attribute="1" defaultMemberUniqueName="[dim_expense_type].[expense_type_id].[All]" allUniqueName="[dim_expense_type].[expense_type_id].[All]" dimensionUniqueName="[dim_expense_type]" displayFolder="" count="2" memberValueDatatype="130" unbalanced="0"/>
    <cacheHierarchy uniqueName="[dim_expense_type].[expense_type]" caption="expense_type" attribute="1" defaultMemberUniqueName="[dim_expense_type].[expense_type].[All]" allUniqueName="[dim_expense_type].[expense_type].[All]" dimensionUniqueName="[dim_expense_type]" displayFolder="" count="2" memberValueDatatype="130" unbalanced="0">
      <fieldsUsage count="2">
        <fieldUsage x="-1"/>
        <fieldUsage x="0"/>
      </fieldsUsage>
    </cacheHierarchy>
    <cacheHierarchy uniqueName="[dim_expense_type].[expense_category]" caption="expense_category" attribute="1" defaultMemberUniqueName="[dim_expense_type].[expense_category].[All]" allUniqueName="[dim_expense_type].[expense_category].[All]" dimensionUniqueName="[dim_expense_type]" displayFolder="" count="2" memberValueDatatype="130" unbalanced="0"/>
    <cacheHierarchy uniqueName="[dim_funding_source].[funding_source_id]" caption="funding_source_id" attribute="1" defaultMemberUniqueName="[dim_funding_source].[funding_source_id].[All]" allUniqueName="[dim_funding_source].[funding_source_id].[All]" dimensionUniqueName="[dim_funding_source]" displayFolder="" count="2" memberValueDatatype="130" unbalanced="0"/>
    <cacheHierarchy uniqueName="[dim_funding_source].[funding_source]" caption="funding_source" attribute="1" defaultMemberUniqueName="[dim_funding_source].[funding_source].[All]" allUniqueName="[dim_funding_source].[funding_source].[All]" dimensionUniqueName="[dim_funding_source]" displayFolder="" count="2" memberValueDatatype="130" unbalanced="0"/>
    <cacheHierarchy uniqueName="[dim_ministry].[ministry_id]" caption="ministry_id" attribute="1" defaultMemberUniqueName="[dim_ministry].[ministry_id].[All]" allUniqueName="[dim_ministry].[ministry_id].[All]" dimensionUniqueName="[dim_ministry]" displayFolder="" count="2" memberValueDatatype="130" unbalanced="0"/>
    <cacheHierarchy uniqueName="[dim_ministry].[ministry_name]" caption="ministry_name" attribute="1" defaultMemberUniqueName="[dim_ministry].[ministry_name].[All]" allUniqueName="[dim_ministry].[ministry_name].[All]" dimensionUniqueName="[dim_ministry]" displayFolder="" count="2" memberValueDatatype="130" unbalanced="0"/>
    <cacheHierarchy uniqueName="[dim_ministry].[minister_name]" caption="minister_name" attribute="1" defaultMemberUniqueName="[dim_ministry].[minister_name].[All]" allUniqueName="[dim_ministry].[minister_name].[All]" dimensionUniqueName="[dim_ministry]" displayFolder="" count="2" memberValueDatatype="130" unbalanced="0"/>
    <cacheHierarchy uniqueName="[dim_ministry].[fiscal_year]" caption="fiscal_year" attribute="1" defaultMemberUniqueName="[dim_ministry].[fiscal_year].[All]" allUniqueName="[dim_ministry].[fiscal_year].[All]" dimensionUniqueName="[dim_ministry]" displayFolder="" count="2" memberValueDatatype="130" unbalanced="0"/>
    <cacheHierarchy uniqueName="[fact_actual_expenditure].[transaction_id]" caption="transaction_id" attribute="1" defaultMemberUniqueName="[fact_actual_expenditure].[transaction_id].[All]" allUniqueName="[fact_actual_expenditure].[transaction_id].[All]" dimensionUniqueName="[fact_actual_expenditure]" displayFolder="" count="2" memberValueDatatype="130" unbalanced="0"/>
    <cacheHierarchy uniqueName="[fact_actual_expenditure].[transaction_date]" caption="transaction_date" attribute="1" time="1" defaultMemberUniqueName="[fact_actual_expenditure].[transaction_date].[All]" allUniqueName="[fact_actual_expenditure].[transaction_date].[All]" dimensionUniqueName="[fact_actual_expenditure]" displayFolder="" count="2" memberValueDatatype="7" unbalanced="0"/>
    <cacheHierarchy uniqueName="[fact_actual_expenditure].[trans_date (yyyy-mm)]" caption="trans_date (yyyy-mm)" attribute="1" defaultMemberUniqueName="[fact_actual_expenditure].[trans_date (yyyy-mm)].[All]" allUniqueName="[fact_actual_expenditure].[trans_date (yyyy-mm)].[All]" dimensionUniqueName="[fact_actual_expenditure]" displayFolder="" count="2" memberValueDatatype="130" unbalanced="0"/>
    <cacheHierarchy uniqueName="[fact_actual_expenditure].[ministry_id]" caption="ministry_id" attribute="1" defaultMemberUniqueName="[fact_actual_expenditure].[ministry_id].[All]" allUniqueName="[fact_actual_expenditure].[ministry_id].[All]" dimensionUniqueName="[fact_actual_expenditure]" displayFolder="" count="2" memberValueDatatype="130" unbalanced="0"/>
    <cacheHierarchy uniqueName="[fact_actual_expenditure].[expense_category_id]" caption="expense_category_id" attribute="1" defaultMemberUniqueName="[fact_actual_expenditure].[expense_category_id].[All]" allUniqueName="[fact_actual_expenditure].[expense_category_id].[All]" dimensionUniqueName="[fact_actual_expenditure]" displayFolder="" count="2" memberValueDatatype="130" unbalanced="0"/>
    <cacheHierarchy uniqueName="[fact_actual_expenditure].[expense_type_id]" caption="expense_type_id" attribute="1" defaultMemberUniqueName="[fact_actual_expenditure].[expense_type_id].[All]" allUniqueName="[fact_actual_expenditure].[expense_type_id].[All]" dimensionUniqueName="[fact_actual_expenditure]" displayFolder="" count="2" memberValueDatatype="130" unbalanced="0"/>
    <cacheHierarchy uniqueName="[fact_actual_expenditure].[amount_spent]" caption="amount_spent" attribute="1" defaultMemberUniqueName="[fact_actual_expenditure].[amount_spent].[All]" allUniqueName="[fact_actual_expenditure].[amount_spent].[All]" dimensionUniqueName="[fact_actual_expenditure]" displayFolder="" count="2" memberValueDatatype="5" unbalanced="0"/>
    <cacheHierarchy uniqueName="[fact_approved_budget].[budget_id]" caption="budget_id" attribute="1" defaultMemberUniqueName="[fact_approved_budget].[budget_id].[All]" allUniqueName="[fact_approved_budget].[budget_id].[All]" dimensionUniqueName="[fact_approved_budget]" displayFolder="" count="2" memberValueDatatype="130" unbalanced="0"/>
    <cacheHierarchy uniqueName="[fact_approved_budget].[fiscal_year]" caption="fiscal_year" attribute="1" defaultMemberUniqueName="[fact_approved_budget].[fiscal_year].[All]" allUniqueName="[fact_approved_budget].[fiscal_year].[All]" dimensionUniqueName="[fact_approved_budget]" displayFolder="" count="2" memberValueDatatype="130" unbalanced="0"/>
    <cacheHierarchy uniqueName="[fact_approved_budget].[ministry_id]" caption="ministry_id" attribute="1" defaultMemberUniqueName="[fact_approved_budget].[ministry_id].[All]" allUniqueName="[fact_approved_budget].[ministry_id].[All]" dimensionUniqueName="[fact_approved_budget]" displayFolder="" count="2" memberValueDatatype="130" unbalanced="0"/>
    <cacheHierarchy uniqueName="[fact_approved_budget].[expense_category_id]" caption="expense_category_id" attribute="1" defaultMemberUniqueName="[fact_approved_budget].[expense_category_id].[All]" allUniqueName="[fact_approved_budget].[expense_category_id].[All]" dimensionUniqueName="[fact_approved_budget]" displayFolder="" count="2" memberValueDatatype="130" unbalanced="0"/>
    <cacheHierarchy uniqueName="[fact_approved_budget].[expense_type_id]" caption="expense_type_id" attribute="1" defaultMemberUniqueName="[fact_approved_budget].[expense_type_id].[All]" allUniqueName="[fact_approved_budget].[expense_type_id].[All]" dimensionUniqueName="[fact_approved_budget]" displayFolder="" count="2" memberValueDatatype="130" unbalanced="0"/>
    <cacheHierarchy uniqueName="[fact_approved_budget].[budget_amount]" caption="budget_amount" attribute="1" defaultMemberUniqueName="[fact_approved_budget].[budget_amount].[All]" allUniqueName="[fact_approved_budget].[budget_amount].[All]" dimensionUniqueName="[fact_approved_budget]" displayFolder="" count="2" memberValueDatatype="5" unbalanced="0"/>
    <cacheHierarchy uniqueName="[fact_approved_budget].[approval_date]" caption="approval_date" attribute="1" time="1" defaultMemberUniqueName="[fact_approved_budget].[approval_date].[All]" allUniqueName="[fact_approved_budget].[approval_date].[All]" dimensionUniqueName="[fact_approved_budget]" displayFolder="" count="2" memberValueDatatype="7" unbalanced="0"/>
    <cacheHierarchy uniqueName="[fact_budget_funding].[budget_id]" caption="budget_id" attribute="1" defaultMemberUniqueName="[fact_budget_funding].[budget_id].[All]" allUniqueName="[fact_budget_funding].[budget_id].[All]" dimensionUniqueName="[fact_budget_funding]" displayFolder="" count="2" memberValueDatatype="130" unbalanced="0"/>
    <cacheHierarchy uniqueName="[fact_budget_funding].[fiscal_year]" caption="fiscal_year" attribute="1" defaultMemberUniqueName="[fact_budget_funding].[fiscal_year].[All]" allUniqueName="[fact_budget_funding].[fiscal_year].[All]" dimensionUniqueName="[fact_budget_funding]" displayFolder="" count="2" memberValueDatatype="130" unbalanced="0"/>
    <cacheHierarchy uniqueName="[fact_budget_funding].[ministry_id]" caption="ministry_id" attribute="1" defaultMemberUniqueName="[fact_budget_funding].[ministry_id].[All]" allUniqueName="[fact_budget_funding].[ministry_id].[All]" dimensionUniqueName="[fact_budget_funding]" displayFolder="" count="2" memberValueDatatype="130" unbalanced="0"/>
    <cacheHierarchy uniqueName="[fact_budget_funding].[funding_source_id]" caption="funding_source_id" attribute="1" defaultMemberUniqueName="[fact_budget_funding].[funding_source_id].[All]" allUniqueName="[fact_budget_funding].[funding_source_id].[All]" dimensionUniqueName="[fact_budget_funding]" displayFolder="" count="2" memberValueDatatype="130" unbalanced="0"/>
    <cacheHierarchy uniqueName="[fact_budget_funding].[funding_amount]" caption="funding_amount" attribute="1" defaultMemberUniqueName="[fact_budget_funding].[funding_amount].[All]" allUniqueName="[fact_budget_funding].[funding_amount].[All]" dimensionUniqueName="[fact_budget_funding]" displayFolder="" count="2" memberValueDatatype="5" unbalanced="0"/>
    <cacheHierarchy uniqueName="[Measures].[__XL_Count Table5]" caption="__XL_Count Table5" measure="1" displayFolder="" measureGroup="dim_ministry" count="0" hidden="1"/>
    <cacheHierarchy uniqueName="[Measures].[__XL_Count Table713]" caption="__XL_Count Table713" measure="1" displayFolder="" measureGroup="dim_expense_category" count="0" hidden="1"/>
    <cacheHierarchy uniqueName="[Measures].[__XL_Count Table7]" caption="__XL_Count Table7" measure="1" displayFolder="" measureGroup="dim_expense_type" count="0" hidden="1"/>
    <cacheHierarchy uniqueName="[Measures].[__XL_Count Table11]" caption="__XL_Count Table11" measure="1" displayFolder="" measureGroup="dim_funding_source" count="0" hidden="1"/>
    <cacheHierarchy uniqueName="[Measures].[__XL_Count Table9]" caption="__XL_Count Table9" measure="1" displayFolder="" measureGroup="fact_approved_budget" count="0" hidden="1"/>
    <cacheHierarchy uniqueName="[Measures].[__XL_Count Table6]" caption="__XL_Count Table6" measure="1" displayFolder="" measureGroup="fact_budget_funding" count="0" hidden="1"/>
    <cacheHierarchy uniqueName="[Measures].[__XL_Count Table3]" caption="__XL_Count Table3" measure="1" displayFolder="" measureGroup="fact_actual_expenditure" count="0" hidden="1"/>
    <cacheHierarchy uniqueName="[Measures].[__No measures defined]" caption="__No measures defined" measure="1" displayFolder="" count="0" hidden="1"/>
    <cacheHierarchy uniqueName="[Measures].[Sum of budget_amount]" caption="Sum of budget_amount" measure="1" displayFolder="" measureGroup="fact_approved_budget"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funding_amount]" caption="Sum of funding_amount" measure="1" displayFolder="" measureGroup="fact_budget_funding" count="0" hidden="1">
      <extLst>
        <ext xmlns:x15="http://schemas.microsoft.com/office/spreadsheetml/2010/11/main" uri="{B97F6D7D-B522-45F9-BDA1-12C45D357490}">
          <x15:cacheHierarchy aggregatedColumn="29"/>
        </ext>
      </extLst>
    </cacheHierarchy>
    <cacheHierarchy uniqueName="[Measures].[Sum of amount_spent]" caption="Sum of amount_spent" measure="1" displayFolder="" measureGroup="fact_actual_expenditur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8">
    <dimension name="dim_expense_category" uniqueName="[dim_expense_category]" caption="dim_expense_category"/>
    <dimension name="dim_expense_type" uniqueName="[dim_expense_type]" caption="dim_expense_type"/>
    <dimension name="dim_funding_source" uniqueName="[dim_funding_source]" caption="dim_funding_source"/>
    <dimension name="dim_ministry" uniqueName="[dim_ministry]" caption="dim_ministry"/>
    <dimension name="fact_actual_expenditure" uniqueName="[fact_actual_expenditure]" caption="fact_actual_expenditure"/>
    <dimension name="fact_approved_budget" uniqueName="[fact_approved_budget]" caption="fact_approved_budget"/>
    <dimension name="fact_budget_funding" uniqueName="[fact_budget_funding]" caption="fact_budget_funding"/>
    <dimension measure="1" name="Measures" uniqueName="[Measures]" caption="Measures"/>
  </dimensions>
  <measureGroups count="7">
    <measureGroup name="dim_expense_category" caption="dim_expense_category"/>
    <measureGroup name="dim_expense_type" caption="dim_expense_type"/>
    <measureGroup name="dim_funding_source" caption="dim_funding_source"/>
    <measureGroup name="dim_ministry" caption="dim_ministry"/>
    <measureGroup name="fact_actual_expenditure" caption="fact_actual_expenditure"/>
    <measureGroup name="fact_approved_budget" caption="fact_approved_budget"/>
    <measureGroup name="fact_budget_funding" caption="fact_budget_funding"/>
  </measureGroups>
  <maps count="15">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3"/>
    <map measureGroup="5" dimension="5"/>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069.615347222221" backgroundQuery="1" createdVersion="6" refreshedVersion="6" minRefreshableVersion="3" recordCount="0" supportSubquery="1" supportAdvancedDrill="1">
  <cacheSource type="external" connectionId="8"/>
  <cacheFields count="3">
    <cacheField name="[Measures].[Sum of funding_amount]" caption="Sum of funding_amount" numFmtId="0" hierarchy="39" level="32767"/>
    <cacheField name="[dim_funding_source].[funding_source].[funding_source]" caption="funding_source" numFmtId="0" hierarchy="6" level="1">
      <sharedItems count="4">
        <s v="federal_funding"/>
        <s v="grant_funding"/>
        <s v="internally_gen_funding"/>
        <s v="provincial_funding"/>
      </sharedItems>
    </cacheField>
    <cacheField name="[dim_expense_type].[expense_type].[expense_type]" caption="expense_type" numFmtId="0" hierarchy="3" level="1">
      <sharedItems containsSemiMixedTypes="0" containsNonDate="0" containsString="0"/>
    </cacheField>
  </cacheFields>
  <cacheHierarchies count="41">
    <cacheHierarchy uniqueName="[dim_expense_category].[expense_category_id]" caption="expense_category_id" attribute="1" defaultMemberUniqueName="[dim_expense_category].[expense_category_id].[All]" allUniqueName="[dim_expense_category].[expense_category_id].[All]" dimensionUniqueName="[dim_expense_category]" displayFolder="" count="0" memberValueDatatype="130" unbalanced="0"/>
    <cacheHierarchy uniqueName="[dim_expense_category].[expense_category]" caption="expense_category" attribute="1" defaultMemberUniqueName="[dim_expense_category].[expense_category].[All]" allUniqueName="[dim_expense_category].[expense_category].[All]" dimensionUniqueName="[dim_expense_category]" displayFolder="" count="2" memberValueDatatype="130" unbalanced="0"/>
    <cacheHierarchy uniqueName="[dim_expense_type].[expense_type_id]" caption="expense_type_id" attribute="1" defaultMemberUniqueName="[dim_expense_type].[expense_type_id].[All]" allUniqueName="[dim_expense_type].[expense_type_id].[All]" dimensionUniqueName="[dim_expense_type]" displayFolder="" count="0" memberValueDatatype="130" unbalanced="0"/>
    <cacheHierarchy uniqueName="[dim_expense_type].[expense_type]" caption="expense_type" attribute="1" defaultMemberUniqueName="[dim_expense_type].[expense_type].[All]" allUniqueName="[dim_expense_type].[expense_type].[All]" dimensionUniqueName="[dim_expense_type]" displayFolder="" count="2" memberValueDatatype="130" unbalanced="0">
      <fieldsUsage count="2">
        <fieldUsage x="-1"/>
        <fieldUsage x="2"/>
      </fieldsUsage>
    </cacheHierarchy>
    <cacheHierarchy uniqueName="[dim_expense_type].[expense_category]" caption="expense_category" attribute="1" defaultMemberUniqueName="[dim_expense_type].[expense_category].[All]" allUniqueName="[dim_expense_type].[expense_category].[All]" dimensionUniqueName="[dim_expense_type]" displayFolder="" count="2" memberValueDatatype="130" unbalanced="0"/>
    <cacheHierarchy uniqueName="[dim_funding_source].[funding_source_id]" caption="funding_source_id" attribute="1" defaultMemberUniqueName="[dim_funding_source].[funding_source_id].[All]" allUniqueName="[dim_funding_source].[funding_source_id].[All]" dimensionUniqueName="[dim_funding_source]" displayFolder="" count="0" memberValueDatatype="130" unbalanced="0"/>
    <cacheHierarchy uniqueName="[dim_funding_source].[funding_source]" caption="funding_source" attribute="1" defaultMemberUniqueName="[dim_funding_source].[funding_source].[All]" allUniqueName="[dim_funding_source].[funding_source].[All]" dimensionUniqueName="[dim_funding_source]" displayFolder="" count="2" memberValueDatatype="130" unbalanced="0">
      <fieldsUsage count="2">
        <fieldUsage x="-1"/>
        <fieldUsage x="1"/>
      </fieldsUsage>
    </cacheHierarchy>
    <cacheHierarchy uniqueName="[dim_ministry].[ministry_id]" caption="ministry_id" attribute="1" defaultMemberUniqueName="[dim_ministry].[ministry_id].[All]" allUniqueName="[dim_ministry].[ministry_id].[All]" dimensionUniqueName="[dim_ministry]" displayFolder="" count="0" memberValueDatatype="130" unbalanced="0"/>
    <cacheHierarchy uniqueName="[dim_ministry].[ministry_name]" caption="ministry_name" attribute="1" defaultMemberUniqueName="[dim_ministry].[ministry_name].[All]" allUniqueName="[dim_ministry].[ministry_name].[All]" dimensionUniqueName="[dim_ministry]" displayFolder="" count="2" memberValueDatatype="130" unbalanced="0"/>
    <cacheHierarchy uniqueName="[dim_ministry].[minister_name]" caption="minister_name" attribute="1" defaultMemberUniqueName="[dim_ministry].[minister_name].[All]" allUniqueName="[dim_ministry].[minister_name].[All]" dimensionUniqueName="[dim_ministry]" displayFolder="" count="0" memberValueDatatype="130" unbalanced="0"/>
    <cacheHierarchy uniqueName="[dim_ministry].[fiscal_year]" caption="fiscal_year" attribute="1" defaultMemberUniqueName="[dim_ministry].[fiscal_year].[All]" allUniqueName="[dim_ministry].[fiscal_year].[All]" dimensionUniqueName="[dim_ministry]" displayFolder="" count="0" memberValueDatatype="130" unbalanced="0"/>
    <cacheHierarchy uniqueName="[fact_actual_expenditure].[transaction_id]" caption="transaction_id" attribute="1" defaultMemberUniqueName="[fact_actual_expenditure].[transaction_id].[All]" allUniqueName="[fact_actual_expenditure].[transaction_id].[All]" dimensionUniqueName="[fact_actual_expenditure]" displayFolder="" count="0" memberValueDatatype="130" unbalanced="0"/>
    <cacheHierarchy uniqueName="[fact_actual_expenditure].[transaction_date]" caption="transaction_date" attribute="1" time="1" defaultMemberUniqueName="[fact_actual_expenditure].[transaction_date].[All]" allUniqueName="[fact_actual_expenditure].[transaction_date].[All]" dimensionUniqueName="[fact_actual_expenditure]" displayFolder="" count="0" memberValueDatatype="7" unbalanced="0"/>
    <cacheHierarchy uniqueName="[fact_actual_expenditure].[trans_date (yyyy-mm)]" caption="trans_date (yyyy-mm)" attribute="1" defaultMemberUniqueName="[fact_actual_expenditure].[trans_date (yyyy-mm)].[All]" allUniqueName="[fact_actual_expenditure].[trans_date (yyyy-mm)].[All]" dimensionUniqueName="[fact_actual_expenditure]" displayFolder="" count="0" memberValueDatatype="130" unbalanced="0"/>
    <cacheHierarchy uniqueName="[fact_actual_expenditure].[ministry_id]" caption="ministry_id" attribute="1" defaultMemberUniqueName="[fact_actual_expenditure].[ministry_id].[All]" allUniqueName="[fact_actual_expenditure].[ministry_id].[All]" dimensionUniqueName="[fact_actual_expenditure]" displayFolder="" count="0" memberValueDatatype="130" unbalanced="0"/>
    <cacheHierarchy uniqueName="[fact_actual_expenditure].[expense_category_id]" caption="expense_category_id" attribute="1" defaultMemberUniqueName="[fact_actual_expenditure].[expense_category_id].[All]" allUniqueName="[fact_actual_expenditure].[expense_category_id].[All]" dimensionUniqueName="[fact_actual_expenditure]" displayFolder="" count="0" memberValueDatatype="130" unbalanced="0"/>
    <cacheHierarchy uniqueName="[fact_actual_expenditure].[expense_type_id]" caption="expense_type_id" attribute="1" defaultMemberUniqueName="[fact_actual_expenditure].[expense_type_id].[All]" allUniqueName="[fact_actual_expenditure].[expense_type_id].[All]" dimensionUniqueName="[fact_actual_expenditure]" displayFolder="" count="0" memberValueDatatype="130" unbalanced="0"/>
    <cacheHierarchy uniqueName="[fact_actual_expenditure].[amount_spent]" caption="amount_spent" attribute="1" defaultMemberUniqueName="[fact_actual_expenditure].[amount_spent].[All]" allUniqueName="[fact_actual_expenditure].[amount_spent].[All]" dimensionUniqueName="[fact_actual_expenditure]" displayFolder="" count="0" memberValueDatatype="5" unbalanced="0"/>
    <cacheHierarchy uniqueName="[fact_approved_budget].[budget_id]" caption="budget_id" attribute="1" defaultMemberUniqueName="[fact_approved_budget].[budget_id].[All]" allUniqueName="[fact_approved_budget].[budget_id].[All]" dimensionUniqueName="[fact_approved_budget]" displayFolder="" count="0" memberValueDatatype="130" unbalanced="0"/>
    <cacheHierarchy uniqueName="[fact_approved_budget].[fiscal_year]" caption="fiscal_year" attribute="1" defaultMemberUniqueName="[fact_approved_budget].[fiscal_year].[All]" allUniqueName="[fact_approved_budget].[fiscal_year].[All]" dimensionUniqueName="[fact_approved_budget]" displayFolder="" count="0" memberValueDatatype="130" unbalanced="0"/>
    <cacheHierarchy uniqueName="[fact_approved_budget].[ministry_id]" caption="ministry_id" attribute="1" defaultMemberUniqueName="[fact_approved_budget].[ministry_id].[All]" allUniqueName="[fact_approved_budget].[ministry_id].[All]" dimensionUniqueName="[fact_approved_budget]" displayFolder="" count="0" memberValueDatatype="130" unbalanced="0"/>
    <cacheHierarchy uniqueName="[fact_approved_budget].[expense_category_id]" caption="expense_category_id" attribute="1" defaultMemberUniqueName="[fact_approved_budget].[expense_category_id].[All]" allUniqueName="[fact_approved_budget].[expense_category_id].[All]" dimensionUniqueName="[fact_approved_budget]" displayFolder="" count="0" memberValueDatatype="130" unbalanced="0"/>
    <cacheHierarchy uniqueName="[fact_approved_budget].[expense_type_id]" caption="expense_type_id" attribute="1" defaultMemberUniqueName="[fact_approved_budget].[expense_type_id].[All]" allUniqueName="[fact_approved_budget].[expense_type_id].[All]" dimensionUniqueName="[fact_approved_budget]" displayFolder="" count="0" memberValueDatatype="130" unbalanced="0"/>
    <cacheHierarchy uniqueName="[fact_approved_budget].[budget_amount]" caption="budget_amount" attribute="1" defaultMemberUniqueName="[fact_approved_budget].[budget_amount].[All]" allUniqueName="[fact_approved_budget].[budget_amount].[All]" dimensionUniqueName="[fact_approved_budget]" displayFolder="" count="0" memberValueDatatype="5" unbalanced="0"/>
    <cacheHierarchy uniqueName="[fact_approved_budget].[approval_date]" caption="approval_date" attribute="1" time="1" defaultMemberUniqueName="[fact_approved_budget].[approval_date].[All]" allUniqueName="[fact_approved_budget].[approval_date].[All]" dimensionUniqueName="[fact_approved_budget]" displayFolder="" count="0" memberValueDatatype="7" unbalanced="0"/>
    <cacheHierarchy uniqueName="[fact_budget_funding].[budget_id]" caption="budget_id" attribute="1" defaultMemberUniqueName="[fact_budget_funding].[budget_id].[All]" allUniqueName="[fact_budget_funding].[budget_id].[All]" dimensionUniqueName="[fact_budget_funding]" displayFolder="" count="0" memberValueDatatype="130" unbalanced="0"/>
    <cacheHierarchy uniqueName="[fact_budget_funding].[fiscal_year]" caption="fiscal_year" attribute="1" defaultMemberUniqueName="[fact_budget_funding].[fiscal_year].[All]" allUniqueName="[fact_budget_funding].[fiscal_year].[All]" dimensionUniqueName="[fact_budget_funding]" displayFolder="" count="0" memberValueDatatype="130" unbalanced="0"/>
    <cacheHierarchy uniqueName="[fact_budget_funding].[ministry_id]" caption="ministry_id" attribute="1" defaultMemberUniqueName="[fact_budget_funding].[ministry_id].[All]" allUniqueName="[fact_budget_funding].[ministry_id].[All]" dimensionUniqueName="[fact_budget_funding]" displayFolder="" count="0" memberValueDatatype="130" unbalanced="0"/>
    <cacheHierarchy uniqueName="[fact_budget_funding].[funding_source_id]" caption="funding_source_id" attribute="1" defaultMemberUniqueName="[fact_budget_funding].[funding_source_id].[All]" allUniqueName="[fact_budget_funding].[funding_source_id].[All]" dimensionUniqueName="[fact_budget_funding]" displayFolder="" count="2" memberValueDatatype="130" unbalanced="0"/>
    <cacheHierarchy uniqueName="[fact_budget_funding].[funding_amount]" caption="funding_amount" attribute="1" defaultMemberUniqueName="[fact_budget_funding].[funding_amount].[All]" allUniqueName="[fact_budget_funding].[funding_amount].[All]" dimensionUniqueName="[fact_budget_funding]" displayFolder="" count="0" memberValueDatatype="5" unbalanced="0"/>
    <cacheHierarchy uniqueName="[Measures].[__XL_Count Table5]" caption="__XL_Count Table5" measure="1" displayFolder="" measureGroup="dim_ministry" count="0" hidden="1"/>
    <cacheHierarchy uniqueName="[Measures].[__XL_Count Table713]" caption="__XL_Count Table713" measure="1" displayFolder="" measureGroup="dim_expense_category" count="0" hidden="1"/>
    <cacheHierarchy uniqueName="[Measures].[__XL_Count Table7]" caption="__XL_Count Table7" measure="1" displayFolder="" measureGroup="dim_expense_type" count="0" hidden="1"/>
    <cacheHierarchy uniqueName="[Measures].[__XL_Count Table11]" caption="__XL_Count Table11" measure="1" displayFolder="" measureGroup="dim_funding_source" count="0" hidden="1"/>
    <cacheHierarchy uniqueName="[Measures].[__XL_Count Table9]" caption="__XL_Count Table9" measure="1" displayFolder="" measureGroup="fact_approved_budget" count="0" hidden="1"/>
    <cacheHierarchy uniqueName="[Measures].[__XL_Count Table6]" caption="__XL_Count Table6" measure="1" displayFolder="" measureGroup="fact_budget_funding" count="0" hidden="1"/>
    <cacheHierarchy uniqueName="[Measures].[__XL_Count Table3]" caption="__XL_Count Table3" measure="1" displayFolder="" measureGroup="fact_actual_expenditure" count="0" hidden="1"/>
    <cacheHierarchy uniqueName="[Measures].[__No measures defined]" caption="__No measures defined" measure="1" displayFolder="" count="0" hidden="1"/>
    <cacheHierarchy uniqueName="[Measures].[Sum of budget_amount]" caption="Sum of budget_amount" measure="1" displayFolder="" measureGroup="fact_approved_budget" count="0" hidden="1">
      <extLst>
        <ext xmlns:x15="http://schemas.microsoft.com/office/spreadsheetml/2010/11/main" uri="{B97F6D7D-B522-45F9-BDA1-12C45D357490}">
          <x15:cacheHierarchy aggregatedColumn="23"/>
        </ext>
      </extLst>
    </cacheHierarchy>
    <cacheHierarchy uniqueName="[Measures].[Sum of funding_amount]" caption="Sum of funding_amount" measure="1" displayFolder="" measureGroup="fact_budget_funding"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amount_spent]" caption="Sum of amount_spent" measure="1" displayFolder="" measureGroup="fact_actual_expenditure" count="0" hidden="1">
      <extLst>
        <ext xmlns:x15="http://schemas.microsoft.com/office/spreadsheetml/2010/11/main" uri="{B97F6D7D-B522-45F9-BDA1-12C45D357490}">
          <x15:cacheHierarchy aggregatedColumn="17"/>
        </ext>
      </extLst>
    </cacheHierarchy>
  </cacheHierarchies>
  <kpis count="0"/>
  <dimensions count="8">
    <dimension name="dim_expense_category" uniqueName="[dim_expense_category]" caption="dim_expense_category"/>
    <dimension name="dim_expense_type" uniqueName="[dim_expense_type]" caption="dim_expense_type"/>
    <dimension name="dim_funding_source" uniqueName="[dim_funding_source]" caption="dim_funding_source"/>
    <dimension name="dim_ministry" uniqueName="[dim_ministry]" caption="dim_ministry"/>
    <dimension name="fact_actual_expenditure" uniqueName="[fact_actual_expenditure]" caption="fact_actual_expenditure"/>
    <dimension name="fact_approved_budget" uniqueName="[fact_approved_budget]" caption="fact_approved_budget"/>
    <dimension name="fact_budget_funding" uniqueName="[fact_budget_funding]" caption="fact_budget_funding"/>
    <dimension measure="1" name="Measures" uniqueName="[Measures]" caption="Measures"/>
  </dimensions>
  <measureGroups count="7">
    <measureGroup name="dim_expense_category" caption="dim_expense_category"/>
    <measureGroup name="dim_expense_type" caption="dim_expense_type"/>
    <measureGroup name="dim_funding_source" caption="dim_funding_source"/>
    <measureGroup name="dim_ministry" caption="dim_ministry"/>
    <measureGroup name="fact_actual_expenditure" caption="fact_actual_expenditure"/>
    <measureGroup name="fact_approved_budget" caption="fact_approved_budget"/>
    <measureGroup name="fact_budget_funding" caption="fact_budget_funding"/>
  </measureGroups>
  <maps count="15">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3"/>
    <map measureGroup="5" dimension="5"/>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069.615347685183" backgroundQuery="1" createdVersion="6" refreshedVersion="6" minRefreshableVersion="3" recordCount="0" supportSubquery="1" supportAdvancedDrill="1">
  <cacheSource type="external" connectionId="8"/>
  <cacheFields count="4">
    <cacheField name="[dim_expense_category].[expense_category].[expense_category]" caption="expense_category" numFmtId="0" hierarchy="1" level="1">
      <sharedItems count="2">
        <s v="Capital"/>
        <s v="Operational"/>
      </sharedItems>
    </cacheField>
    <cacheField name="[Measures].[Sum of budget_amount]" caption="Sum of budget_amount" numFmtId="0" hierarchy="38" level="32767"/>
    <cacheField name="[Measures].[Sum of amount_spent]" caption="Sum of amount_spent" numFmtId="0" hierarchy="40" level="32767"/>
    <cacheField name="[dim_expense_type].[expense_type].[expense_type]" caption="expense_type" numFmtId="0" hierarchy="3" level="1">
      <sharedItems containsSemiMixedTypes="0" containsNonDate="0" containsString="0"/>
    </cacheField>
  </cacheFields>
  <cacheHierarchies count="41">
    <cacheHierarchy uniqueName="[dim_expense_category].[expense_category_id]" caption="expense_category_id" attribute="1" defaultMemberUniqueName="[dim_expense_category].[expense_category_id].[All]" allUniqueName="[dim_expense_category].[expense_category_id].[All]" dimensionUniqueName="[dim_expense_category]" displayFolder="" count="0" memberValueDatatype="130" unbalanced="0"/>
    <cacheHierarchy uniqueName="[dim_expense_category].[expense_category]" caption="expense_category" attribute="1" defaultMemberUniqueName="[dim_expense_category].[expense_category].[All]" allUniqueName="[dim_expense_category].[expense_category].[All]" dimensionUniqueName="[dim_expense_category]" displayFolder="" count="2" memberValueDatatype="130" unbalanced="0">
      <fieldsUsage count="2">
        <fieldUsage x="-1"/>
        <fieldUsage x="0"/>
      </fieldsUsage>
    </cacheHierarchy>
    <cacheHierarchy uniqueName="[dim_expense_type].[expense_type_id]" caption="expense_type_id" attribute="1" defaultMemberUniqueName="[dim_expense_type].[expense_type_id].[All]" allUniqueName="[dim_expense_type].[expense_type_id].[All]" dimensionUniqueName="[dim_expense_type]" displayFolder="" count="0" memberValueDatatype="130" unbalanced="0"/>
    <cacheHierarchy uniqueName="[dim_expense_type].[expense_type]" caption="expense_type" attribute="1" defaultMemberUniqueName="[dim_expense_type].[expense_type].[All]" allUniqueName="[dim_expense_type].[expense_type].[All]" dimensionUniqueName="[dim_expense_type]" displayFolder="" count="2" memberValueDatatype="130" unbalanced="0">
      <fieldsUsage count="2">
        <fieldUsage x="-1"/>
        <fieldUsage x="3"/>
      </fieldsUsage>
    </cacheHierarchy>
    <cacheHierarchy uniqueName="[dim_expense_type].[expense_category]" caption="expense_category" attribute="1" defaultMemberUniqueName="[dim_expense_type].[expense_category].[All]" allUniqueName="[dim_expense_type].[expense_category].[All]" dimensionUniqueName="[dim_expense_type]" displayFolder="" count="2" memberValueDatatype="130" unbalanced="0"/>
    <cacheHierarchy uniqueName="[dim_funding_source].[funding_source_id]" caption="funding_source_id" attribute="1" defaultMemberUniqueName="[dim_funding_source].[funding_source_id].[All]" allUniqueName="[dim_funding_source].[funding_source_id].[All]" dimensionUniqueName="[dim_funding_source]" displayFolder="" count="0" memberValueDatatype="130" unbalanced="0"/>
    <cacheHierarchy uniqueName="[dim_funding_source].[funding_source]" caption="funding_source" attribute="1" defaultMemberUniqueName="[dim_funding_source].[funding_source].[All]" allUniqueName="[dim_funding_source].[funding_source].[All]" dimensionUniqueName="[dim_funding_source]" displayFolder="" count="2" memberValueDatatype="130" unbalanced="0"/>
    <cacheHierarchy uniqueName="[dim_ministry].[ministry_id]" caption="ministry_id" attribute="1" defaultMemberUniqueName="[dim_ministry].[ministry_id].[All]" allUniqueName="[dim_ministry].[ministry_id].[All]" dimensionUniqueName="[dim_ministry]" displayFolder="" count="0" memberValueDatatype="130" unbalanced="0"/>
    <cacheHierarchy uniqueName="[dim_ministry].[ministry_name]" caption="ministry_name" attribute="1" defaultMemberUniqueName="[dim_ministry].[ministry_name].[All]" allUniqueName="[dim_ministry].[ministry_name].[All]" dimensionUniqueName="[dim_ministry]" displayFolder="" count="2" memberValueDatatype="130" unbalanced="0"/>
    <cacheHierarchy uniqueName="[dim_ministry].[minister_name]" caption="minister_name" attribute="1" defaultMemberUniqueName="[dim_ministry].[minister_name].[All]" allUniqueName="[dim_ministry].[minister_name].[All]" dimensionUniqueName="[dim_ministry]" displayFolder="" count="0" memberValueDatatype="130" unbalanced="0"/>
    <cacheHierarchy uniqueName="[dim_ministry].[fiscal_year]" caption="fiscal_year" attribute="1" defaultMemberUniqueName="[dim_ministry].[fiscal_year].[All]" allUniqueName="[dim_ministry].[fiscal_year].[All]" dimensionUniqueName="[dim_ministry]" displayFolder="" count="0" memberValueDatatype="130" unbalanced="0"/>
    <cacheHierarchy uniqueName="[fact_actual_expenditure].[transaction_id]" caption="transaction_id" attribute="1" defaultMemberUniqueName="[fact_actual_expenditure].[transaction_id].[All]" allUniqueName="[fact_actual_expenditure].[transaction_id].[All]" dimensionUniqueName="[fact_actual_expenditure]" displayFolder="" count="0" memberValueDatatype="130" unbalanced="0"/>
    <cacheHierarchy uniqueName="[fact_actual_expenditure].[transaction_date]" caption="transaction_date" attribute="1" time="1" defaultMemberUniqueName="[fact_actual_expenditure].[transaction_date].[All]" allUniqueName="[fact_actual_expenditure].[transaction_date].[All]" dimensionUniqueName="[fact_actual_expenditure]" displayFolder="" count="0" memberValueDatatype="7" unbalanced="0"/>
    <cacheHierarchy uniqueName="[fact_actual_expenditure].[trans_date (yyyy-mm)]" caption="trans_date (yyyy-mm)" attribute="1" defaultMemberUniqueName="[fact_actual_expenditure].[trans_date (yyyy-mm)].[All]" allUniqueName="[fact_actual_expenditure].[trans_date (yyyy-mm)].[All]" dimensionUniqueName="[fact_actual_expenditure]" displayFolder="" count="0" memberValueDatatype="130" unbalanced="0"/>
    <cacheHierarchy uniqueName="[fact_actual_expenditure].[ministry_id]" caption="ministry_id" attribute="1" defaultMemberUniqueName="[fact_actual_expenditure].[ministry_id].[All]" allUniqueName="[fact_actual_expenditure].[ministry_id].[All]" dimensionUniqueName="[fact_actual_expenditure]" displayFolder="" count="0" memberValueDatatype="130" unbalanced="0"/>
    <cacheHierarchy uniqueName="[fact_actual_expenditure].[expense_category_id]" caption="expense_category_id" attribute="1" defaultMemberUniqueName="[fact_actual_expenditure].[expense_category_id].[All]" allUniqueName="[fact_actual_expenditure].[expense_category_id].[All]" dimensionUniqueName="[fact_actual_expenditure]" displayFolder="" count="0" memberValueDatatype="130" unbalanced="0"/>
    <cacheHierarchy uniqueName="[fact_actual_expenditure].[expense_type_id]" caption="expense_type_id" attribute="1" defaultMemberUniqueName="[fact_actual_expenditure].[expense_type_id].[All]" allUniqueName="[fact_actual_expenditure].[expense_type_id].[All]" dimensionUniqueName="[fact_actual_expenditure]" displayFolder="" count="0" memberValueDatatype="130" unbalanced="0"/>
    <cacheHierarchy uniqueName="[fact_actual_expenditure].[amount_spent]" caption="amount_spent" attribute="1" defaultMemberUniqueName="[fact_actual_expenditure].[amount_spent].[All]" allUniqueName="[fact_actual_expenditure].[amount_spent].[All]" dimensionUniqueName="[fact_actual_expenditure]" displayFolder="" count="0" memberValueDatatype="5" unbalanced="0"/>
    <cacheHierarchy uniqueName="[fact_approved_budget].[budget_id]" caption="budget_id" attribute="1" defaultMemberUniqueName="[fact_approved_budget].[budget_id].[All]" allUniqueName="[fact_approved_budget].[budget_id].[All]" dimensionUniqueName="[fact_approved_budget]" displayFolder="" count="0" memberValueDatatype="130" unbalanced="0"/>
    <cacheHierarchy uniqueName="[fact_approved_budget].[fiscal_year]" caption="fiscal_year" attribute="1" defaultMemberUniqueName="[fact_approved_budget].[fiscal_year].[All]" allUniqueName="[fact_approved_budget].[fiscal_year].[All]" dimensionUniqueName="[fact_approved_budget]" displayFolder="" count="0" memberValueDatatype="130" unbalanced="0"/>
    <cacheHierarchy uniqueName="[fact_approved_budget].[ministry_id]" caption="ministry_id" attribute="1" defaultMemberUniqueName="[fact_approved_budget].[ministry_id].[All]" allUniqueName="[fact_approved_budget].[ministry_id].[All]" dimensionUniqueName="[fact_approved_budget]" displayFolder="" count="0" memberValueDatatype="130" unbalanced="0"/>
    <cacheHierarchy uniqueName="[fact_approved_budget].[expense_category_id]" caption="expense_category_id" attribute="1" defaultMemberUniqueName="[fact_approved_budget].[expense_category_id].[All]" allUniqueName="[fact_approved_budget].[expense_category_id].[All]" dimensionUniqueName="[fact_approved_budget]" displayFolder="" count="0" memberValueDatatype="130" unbalanced="0"/>
    <cacheHierarchy uniqueName="[fact_approved_budget].[expense_type_id]" caption="expense_type_id" attribute="1" defaultMemberUniqueName="[fact_approved_budget].[expense_type_id].[All]" allUniqueName="[fact_approved_budget].[expense_type_id].[All]" dimensionUniqueName="[fact_approved_budget]" displayFolder="" count="0" memberValueDatatype="130" unbalanced="0"/>
    <cacheHierarchy uniqueName="[fact_approved_budget].[budget_amount]" caption="budget_amount" attribute="1" defaultMemberUniqueName="[fact_approved_budget].[budget_amount].[All]" allUniqueName="[fact_approved_budget].[budget_amount].[All]" dimensionUniqueName="[fact_approved_budget]" displayFolder="" count="2" memberValueDatatype="5" unbalanced="0"/>
    <cacheHierarchy uniqueName="[fact_approved_budget].[approval_date]" caption="approval_date" attribute="1" time="1" defaultMemberUniqueName="[fact_approved_budget].[approval_date].[All]" allUniqueName="[fact_approved_budget].[approval_date].[All]" dimensionUniqueName="[fact_approved_budget]" displayFolder="" count="0" memberValueDatatype="7" unbalanced="0"/>
    <cacheHierarchy uniqueName="[fact_budget_funding].[budget_id]" caption="budget_id" attribute="1" defaultMemberUniqueName="[fact_budget_funding].[budget_id].[All]" allUniqueName="[fact_budget_funding].[budget_id].[All]" dimensionUniqueName="[fact_budget_funding]" displayFolder="" count="0" memberValueDatatype="130" unbalanced="0"/>
    <cacheHierarchy uniqueName="[fact_budget_funding].[fiscal_year]" caption="fiscal_year" attribute="1" defaultMemberUniqueName="[fact_budget_funding].[fiscal_year].[All]" allUniqueName="[fact_budget_funding].[fiscal_year].[All]" dimensionUniqueName="[fact_budget_funding]" displayFolder="" count="0" memberValueDatatype="130" unbalanced="0"/>
    <cacheHierarchy uniqueName="[fact_budget_funding].[ministry_id]" caption="ministry_id" attribute="1" defaultMemberUniqueName="[fact_budget_funding].[ministry_id].[All]" allUniqueName="[fact_budget_funding].[ministry_id].[All]" dimensionUniqueName="[fact_budget_funding]" displayFolder="" count="0" memberValueDatatype="130" unbalanced="0"/>
    <cacheHierarchy uniqueName="[fact_budget_funding].[funding_source_id]" caption="funding_source_id" attribute="1" defaultMemberUniqueName="[fact_budget_funding].[funding_source_id].[All]" allUniqueName="[fact_budget_funding].[funding_source_id].[All]" dimensionUniqueName="[fact_budget_funding]" displayFolder="" count="0" memberValueDatatype="130" unbalanced="0"/>
    <cacheHierarchy uniqueName="[fact_budget_funding].[funding_amount]" caption="funding_amount" attribute="1" defaultMemberUniqueName="[fact_budget_funding].[funding_amount].[All]" allUniqueName="[fact_budget_funding].[funding_amount].[All]" dimensionUniqueName="[fact_budget_funding]" displayFolder="" count="0" memberValueDatatype="5" unbalanced="0"/>
    <cacheHierarchy uniqueName="[Measures].[__XL_Count Table5]" caption="__XL_Count Table5" measure="1" displayFolder="" measureGroup="dim_ministry" count="0" hidden="1"/>
    <cacheHierarchy uniqueName="[Measures].[__XL_Count Table713]" caption="__XL_Count Table713" measure="1" displayFolder="" measureGroup="dim_expense_category" count="0" hidden="1"/>
    <cacheHierarchy uniqueName="[Measures].[__XL_Count Table7]" caption="__XL_Count Table7" measure="1" displayFolder="" measureGroup="dim_expense_type" count="0" hidden="1"/>
    <cacheHierarchy uniqueName="[Measures].[__XL_Count Table11]" caption="__XL_Count Table11" measure="1" displayFolder="" measureGroup="dim_funding_source" count="0" hidden="1"/>
    <cacheHierarchy uniqueName="[Measures].[__XL_Count Table9]" caption="__XL_Count Table9" measure="1" displayFolder="" measureGroup="fact_approved_budget" count="0" hidden="1"/>
    <cacheHierarchy uniqueName="[Measures].[__XL_Count Table6]" caption="__XL_Count Table6" measure="1" displayFolder="" measureGroup="fact_budget_funding" count="0" hidden="1"/>
    <cacheHierarchy uniqueName="[Measures].[__XL_Count Table3]" caption="__XL_Count Table3" measure="1" displayFolder="" measureGroup="fact_actual_expenditure" count="0" hidden="1"/>
    <cacheHierarchy uniqueName="[Measures].[__No measures defined]" caption="__No measures defined" measure="1" displayFolder="" count="0" hidden="1"/>
    <cacheHierarchy uniqueName="[Measures].[Sum of budget_amount]" caption="Sum of budget_amount" measure="1" displayFolder="" measureGroup="fact_approved_budget"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funding_amount]" caption="Sum of funding_amount" measure="1" displayFolder="" measureGroup="fact_budget_funding" count="0" hidden="1">
      <extLst>
        <ext xmlns:x15="http://schemas.microsoft.com/office/spreadsheetml/2010/11/main" uri="{B97F6D7D-B522-45F9-BDA1-12C45D357490}">
          <x15:cacheHierarchy aggregatedColumn="29"/>
        </ext>
      </extLst>
    </cacheHierarchy>
    <cacheHierarchy uniqueName="[Measures].[Sum of amount_spent]" caption="Sum of amount_spent" measure="1" displayFolder="" measureGroup="fact_actual_expenditure"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8">
    <dimension name="dim_expense_category" uniqueName="[dim_expense_category]" caption="dim_expense_category"/>
    <dimension name="dim_expense_type" uniqueName="[dim_expense_type]" caption="dim_expense_type"/>
    <dimension name="dim_funding_source" uniqueName="[dim_funding_source]" caption="dim_funding_source"/>
    <dimension name="dim_ministry" uniqueName="[dim_ministry]" caption="dim_ministry"/>
    <dimension name="fact_actual_expenditure" uniqueName="[fact_actual_expenditure]" caption="fact_actual_expenditure"/>
    <dimension name="fact_approved_budget" uniqueName="[fact_approved_budget]" caption="fact_approved_budget"/>
    <dimension name="fact_budget_funding" uniqueName="[fact_budget_funding]" caption="fact_budget_funding"/>
    <dimension measure="1" name="Measures" uniqueName="[Measures]" caption="Measures"/>
  </dimensions>
  <measureGroups count="7">
    <measureGroup name="dim_expense_category" caption="dim_expense_category"/>
    <measureGroup name="dim_expense_type" caption="dim_expense_type"/>
    <measureGroup name="dim_funding_source" caption="dim_funding_source"/>
    <measureGroup name="dim_ministry" caption="dim_ministry"/>
    <measureGroup name="fact_actual_expenditure" caption="fact_actual_expenditure"/>
    <measureGroup name="fact_approved_budget" caption="fact_approved_budget"/>
    <measureGroup name="fact_budget_funding" caption="fact_budget_funding"/>
  </measureGroups>
  <maps count="15">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3"/>
    <map measureGroup="5" dimension="5"/>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069.615348263891" backgroundQuery="1" createdVersion="6" refreshedVersion="6" minRefreshableVersion="3" recordCount="0" supportSubquery="1" supportAdvancedDrill="1">
  <cacheSource type="external" connectionId="8"/>
  <cacheFields count="4">
    <cacheField name="[dim_ministry].[ministry_name].[ministry_name]" caption="ministry_name" numFmtId="0" hierarchy="8" level="1">
      <sharedItems count="16">
        <s v="Ministry of Agriculture"/>
        <s v="Ministry of Artificial Intelligence"/>
        <s v="Ministry of Emergency Management"/>
        <s v="Ministry of Energy and Natural Resources"/>
        <s v="Ministry of Fisheries"/>
        <s v="Ministry of Health"/>
        <s v="Ministry of Housing and Infrastructure"/>
        <s v="Ministry of Immigration"/>
        <s v="Ministry of Indigenous Services"/>
        <s v="Ministry of International Trade"/>
        <s v="Ministry of Justice"/>
        <s v="Ministry of National Defence"/>
        <s v="Ministry of Public Safety"/>
        <s v="Ministry of Public Works"/>
        <s v="Ministry of Tourism"/>
        <s v="Ministry of Transport"/>
      </sharedItems>
    </cacheField>
    <cacheField name="[Measures].[Sum of budget_amount]" caption="Sum of budget_amount" numFmtId="0" hierarchy="38" level="32767"/>
    <cacheField name="[Measures].[Sum of amount_spent]" caption="Sum of amount_spent" numFmtId="0" hierarchy="40" level="32767"/>
    <cacheField name="[dim_expense_type].[expense_type].[expense_type]" caption="expense_type" numFmtId="0" hierarchy="3" level="1">
      <sharedItems containsSemiMixedTypes="0" containsNonDate="0" containsString="0"/>
    </cacheField>
  </cacheFields>
  <cacheHierarchies count="41">
    <cacheHierarchy uniqueName="[dim_expense_category].[expense_category_id]" caption="expense_category_id" attribute="1" defaultMemberUniqueName="[dim_expense_category].[expense_category_id].[All]" allUniqueName="[dim_expense_category].[expense_category_id].[All]" dimensionUniqueName="[dim_expense_category]" displayFolder="" count="2" memberValueDatatype="130" unbalanced="0"/>
    <cacheHierarchy uniqueName="[dim_expense_category].[expense_category]" caption="expense_category" attribute="1" defaultMemberUniqueName="[dim_expense_category].[expense_category].[All]" allUniqueName="[dim_expense_category].[expense_category].[All]" dimensionUniqueName="[dim_expense_category]" displayFolder="" count="2" memberValueDatatype="130" unbalanced="0"/>
    <cacheHierarchy uniqueName="[dim_expense_type].[expense_type_id]" caption="expense_type_id" attribute="1" defaultMemberUniqueName="[dim_expense_type].[expense_type_id].[All]" allUniqueName="[dim_expense_type].[expense_type_id].[All]" dimensionUniqueName="[dim_expense_type]" displayFolder="" count="2" memberValueDatatype="130" unbalanced="0"/>
    <cacheHierarchy uniqueName="[dim_expense_type].[expense_type]" caption="expense_type" attribute="1" defaultMemberUniqueName="[dim_expense_type].[expense_type].[All]" allUniqueName="[dim_expense_type].[expense_type].[All]" dimensionUniqueName="[dim_expense_type]" displayFolder="" count="2" memberValueDatatype="130" unbalanced="0">
      <fieldsUsage count="2">
        <fieldUsage x="-1"/>
        <fieldUsage x="3"/>
      </fieldsUsage>
    </cacheHierarchy>
    <cacheHierarchy uniqueName="[dim_expense_type].[expense_category]" caption="expense_category" attribute="1" defaultMemberUniqueName="[dim_expense_type].[expense_category].[All]" allUniqueName="[dim_expense_type].[expense_category].[All]" dimensionUniqueName="[dim_expense_type]" displayFolder="" count="2" memberValueDatatype="130" unbalanced="0"/>
    <cacheHierarchy uniqueName="[dim_funding_source].[funding_source_id]" caption="funding_source_id" attribute="1" defaultMemberUniqueName="[dim_funding_source].[funding_source_id].[All]" allUniqueName="[dim_funding_source].[funding_source_id].[All]" dimensionUniqueName="[dim_funding_source]" displayFolder="" count="2" memberValueDatatype="130" unbalanced="0"/>
    <cacheHierarchy uniqueName="[dim_funding_source].[funding_source]" caption="funding_source" attribute="1" defaultMemberUniqueName="[dim_funding_source].[funding_source].[All]" allUniqueName="[dim_funding_source].[funding_source].[All]" dimensionUniqueName="[dim_funding_source]" displayFolder="" count="2" memberValueDatatype="130" unbalanced="0"/>
    <cacheHierarchy uniqueName="[dim_ministry].[ministry_id]" caption="ministry_id" attribute="1" defaultMemberUniqueName="[dim_ministry].[ministry_id].[All]" allUniqueName="[dim_ministry].[ministry_id].[All]" dimensionUniqueName="[dim_ministry]" displayFolder="" count="2" memberValueDatatype="130" unbalanced="0"/>
    <cacheHierarchy uniqueName="[dim_ministry].[ministry_name]" caption="ministry_name" attribute="1" defaultMemberUniqueName="[dim_ministry].[ministry_name].[All]" allUniqueName="[dim_ministry].[ministry_name].[All]" dimensionUniqueName="[dim_ministry]" displayFolder="" count="2" memberValueDatatype="130" unbalanced="0">
      <fieldsUsage count="2">
        <fieldUsage x="-1"/>
        <fieldUsage x="0"/>
      </fieldsUsage>
    </cacheHierarchy>
    <cacheHierarchy uniqueName="[dim_ministry].[minister_name]" caption="minister_name" attribute="1" defaultMemberUniqueName="[dim_ministry].[minister_name].[All]" allUniqueName="[dim_ministry].[minister_name].[All]" dimensionUniqueName="[dim_ministry]" displayFolder="" count="2" memberValueDatatype="130" unbalanced="0"/>
    <cacheHierarchy uniqueName="[dim_ministry].[fiscal_year]" caption="fiscal_year" attribute="1" defaultMemberUniqueName="[dim_ministry].[fiscal_year].[All]" allUniqueName="[dim_ministry].[fiscal_year].[All]" dimensionUniqueName="[dim_ministry]" displayFolder="" count="2" memberValueDatatype="130" unbalanced="0"/>
    <cacheHierarchy uniqueName="[fact_actual_expenditure].[transaction_id]" caption="transaction_id" attribute="1" defaultMemberUniqueName="[fact_actual_expenditure].[transaction_id].[All]" allUniqueName="[fact_actual_expenditure].[transaction_id].[All]" dimensionUniqueName="[fact_actual_expenditure]" displayFolder="" count="2" memberValueDatatype="130" unbalanced="0"/>
    <cacheHierarchy uniqueName="[fact_actual_expenditure].[transaction_date]" caption="transaction_date" attribute="1" time="1" defaultMemberUniqueName="[fact_actual_expenditure].[transaction_date].[All]" allUniqueName="[fact_actual_expenditure].[transaction_date].[All]" dimensionUniqueName="[fact_actual_expenditure]" displayFolder="" count="2" memberValueDatatype="7" unbalanced="0"/>
    <cacheHierarchy uniqueName="[fact_actual_expenditure].[trans_date (yyyy-mm)]" caption="trans_date (yyyy-mm)" attribute="1" defaultMemberUniqueName="[fact_actual_expenditure].[trans_date (yyyy-mm)].[All]" allUniqueName="[fact_actual_expenditure].[trans_date (yyyy-mm)].[All]" dimensionUniqueName="[fact_actual_expenditure]" displayFolder="" count="2" memberValueDatatype="130" unbalanced="0"/>
    <cacheHierarchy uniqueName="[fact_actual_expenditure].[ministry_id]" caption="ministry_id" attribute="1" defaultMemberUniqueName="[fact_actual_expenditure].[ministry_id].[All]" allUniqueName="[fact_actual_expenditure].[ministry_id].[All]" dimensionUniqueName="[fact_actual_expenditure]" displayFolder="" count="2" memberValueDatatype="130" unbalanced="0"/>
    <cacheHierarchy uniqueName="[fact_actual_expenditure].[expense_category_id]" caption="expense_category_id" attribute="1" defaultMemberUniqueName="[fact_actual_expenditure].[expense_category_id].[All]" allUniqueName="[fact_actual_expenditure].[expense_category_id].[All]" dimensionUniqueName="[fact_actual_expenditure]" displayFolder="" count="2" memberValueDatatype="130" unbalanced="0"/>
    <cacheHierarchy uniqueName="[fact_actual_expenditure].[expense_type_id]" caption="expense_type_id" attribute="1" defaultMemberUniqueName="[fact_actual_expenditure].[expense_type_id].[All]" allUniqueName="[fact_actual_expenditure].[expense_type_id].[All]" dimensionUniqueName="[fact_actual_expenditure]" displayFolder="" count="2" memberValueDatatype="130" unbalanced="0"/>
    <cacheHierarchy uniqueName="[fact_actual_expenditure].[amount_spent]" caption="amount_spent" attribute="1" defaultMemberUniqueName="[fact_actual_expenditure].[amount_spent].[All]" allUniqueName="[fact_actual_expenditure].[amount_spent].[All]" dimensionUniqueName="[fact_actual_expenditure]" displayFolder="" count="2" memberValueDatatype="5" unbalanced="0"/>
    <cacheHierarchy uniqueName="[fact_approved_budget].[budget_id]" caption="budget_id" attribute="1" defaultMemberUniqueName="[fact_approved_budget].[budget_id].[All]" allUniqueName="[fact_approved_budget].[budget_id].[All]" dimensionUniqueName="[fact_approved_budget]" displayFolder="" count="2" memberValueDatatype="130" unbalanced="0"/>
    <cacheHierarchy uniqueName="[fact_approved_budget].[fiscal_year]" caption="fiscal_year" attribute="1" defaultMemberUniqueName="[fact_approved_budget].[fiscal_year].[All]" allUniqueName="[fact_approved_budget].[fiscal_year].[All]" dimensionUniqueName="[fact_approved_budget]" displayFolder="" count="2" memberValueDatatype="130" unbalanced="0"/>
    <cacheHierarchy uniqueName="[fact_approved_budget].[ministry_id]" caption="ministry_id" attribute="1" defaultMemberUniqueName="[fact_approved_budget].[ministry_id].[All]" allUniqueName="[fact_approved_budget].[ministry_id].[All]" dimensionUniqueName="[fact_approved_budget]" displayFolder="" count="2" memberValueDatatype="130" unbalanced="0"/>
    <cacheHierarchy uniqueName="[fact_approved_budget].[expense_category_id]" caption="expense_category_id" attribute="1" defaultMemberUniqueName="[fact_approved_budget].[expense_category_id].[All]" allUniqueName="[fact_approved_budget].[expense_category_id].[All]" dimensionUniqueName="[fact_approved_budget]" displayFolder="" count="2" memberValueDatatype="130" unbalanced="0"/>
    <cacheHierarchy uniqueName="[fact_approved_budget].[expense_type_id]" caption="expense_type_id" attribute="1" defaultMemberUniqueName="[fact_approved_budget].[expense_type_id].[All]" allUniqueName="[fact_approved_budget].[expense_type_id].[All]" dimensionUniqueName="[fact_approved_budget]" displayFolder="" count="2" memberValueDatatype="130" unbalanced="0"/>
    <cacheHierarchy uniqueName="[fact_approved_budget].[budget_amount]" caption="budget_amount" attribute="1" defaultMemberUniqueName="[fact_approved_budget].[budget_amount].[All]" allUniqueName="[fact_approved_budget].[budget_amount].[All]" dimensionUniqueName="[fact_approved_budget]" displayFolder="" count="2" memberValueDatatype="5" unbalanced="0"/>
    <cacheHierarchy uniqueName="[fact_approved_budget].[approval_date]" caption="approval_date" attribute="1" time="1" defaultMemberUniqueName="[fact_approved_budget].[approval_date].[All]" allUniqueName="[fact_approved_budget].[approval_date].[All]" dimensionUniqueName="[fact_approved_budget]" displayFolder="" count="2" memberValueDatatype="7" unbalanced="0"/>
    <cacheHierarchy uniqueName="[fact_budget_funding].[budget_id]" caption="budget_id" attribute="1" defaultMemberUniqueName="[fact_budget_funding].[budget_id].[All]" allUniqueName="[fact_budget_funding].[budget_id].[All]" dimensionUniqueName="[fact_budget_funding]" displayFolder="" count="2" memberValueDatatype="130" unbalanced="0"/>
    <cacheHierarchy uniqueName="[fact_budget_funding].[fiscal_year]" caption="fiscal_year" attribute="1" defaultMemberUniqueName="[fact_budget_funding].[fiscal_year].[All]" allUniqueName="[fact_budget_funding].[fiscal_year].[All]" dimensionUniqueName="[fact_budget_funding]" displayFolder="" count="2" memberValueDatatype="130" unbalanced="0"/>
    <cacheHierarchy uniqueName="[fact_budget_funding].[ministry_id]" caption="ministry_id" attribute="1" defaultMemberUniqueName="[fact_budget_funding].[ministry_id].[All]" allUniqueName="[fact_budget_funding].[ministry_id].[All]" dimensionUniqueName="[fact_budget_funding]" displayFolder="" count="2" memberValueDatatype="130" unbalanced="0"/>
    <cacheHierarchy uniqueName="[fact_budget_funding].[funding_source_id]" caption="funding_source_id" attribute="1" defaultMemberUniqueName="[fact_budget_funding].[funding_source_id].[All]" allUniqueName="[fact_budget_funding].[funding_source_id].[All]" dimensionUniqueName="[fact_budget_funding]" displayFolder="" count="2" memberValueDatatype="130" unbalanced="0"/>
    <cacheHierarchy uniqueName="[fact_budget_funding].[funding_amount]" caption="funding_amount" attribute="1" defaultMemberUniqueName="[fact_budget_funding].[funding_amount].[All]" allUniqueName="[fact_budget_funding].[funding_amount].[All]" dimensionUniqueName="[fact_budget_funding]" displayFolder="" count="2" memberValueDatatype="5" unbalanced="0"/>
    <cacheHierarchy uniqueName="[Measures].[__XL_Count Table5]" caption="__XL_Count Table5" measure="1" displayFolder="" measureGroup="dim_ministry" count="0" hidden="1"/>
    <cacheHierarchy uniqueName="[Measures].[__XL_Count Table713]" caption="__XL_Count Table713" measure="1" displayFolder="" measureGroup="dim_expense_category" count="0" hidden="1"/>
    <cacheHierarchy uniqueName="[Measures].[__XL_Count Table7]" caption="__XL_Count Table7" measure="1" displayFolder="" measureGroup="dim_expense_type" count="0" hidden="1"/>
    <cacheHierarchy uniqueName="[Measures].[__XL_Count Table11]" caption="__XL_Count Table11" measure="1" displayFolder="" measureGroup="dim_funding_source" count="0" hidden="1"/>
    <cacheHierarchy uniqueName="[Measures].[__XL_Count Table9]" caption="__XL_Count Table9" measure="1" displayFolder="" measureGroup="fact_approved_budget" count="0" hidden="1"/>
    <cacheHierarchy uniqueName="[Measures].[__XL_Count Table6]" caption="__XL_Count Table6" measure="1" displayFolder="" measureGroup="fact_budget_funding" count="0" hidden="1"/>
    <cacheHierarchy uniqueName="[Measures].[__XL_Count Table3]" caption="__XL_Count Table3" measure="1" displayFolder="" measureGroup="fact_actual_expenditure" count="0" hidden="1"/>
    <cacheHierarchy uniqueName="[Measures].[__No measures defined]" caption="__No measures defined" measure="1" displayFolder="" count="0" hidden="1"/>
    <cacheHierarchy uniqueName="[Measures].[Sum of budget_amount]" caption="Sum of budget_amount" measure="1" displayFolder="" measureGroup="fact_approved_budget"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funding_amount]" caption="Sum of funding_amount" measure="1" displayFolder="" measureGroup="fact_budget_funding" count="0" hidden="1">
      <extLst>
        <ext xmlns:x15="http://schemas.microsoft.com/office/spreadsheetml/2010/11/main" uri="{B97F6D7D-B522-45F9-BDA1-12C45D357490}">
          <x15:cacheHierarchy aggregatedColumn="29"/>
        </ext>
      </extLst>
    </cacheHierarchy>
    <cacheHierarchy uniqueName="[Measures].[Sum of amount_spent]" caption="Sum of amount_spent" measure="1" displayFolder="" measureGroup="fact_actual_expenditure"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8">
    <dimension name="dim_expense_category" uniqueName="[dim_expense_category]" caption="dim_expense_category"/>
    <dimension name="dim_expense_type" uniqueName="[dim_expense_type]" caption="dim_expense_type"/>
    <dimension name="dim_funding_source" uniqueName="[dim_funding_source]" caption="dim_funding_source"/>
    <dimension name="dim_ministry" uniqueName="[dim_ministry]" caption="dim_ministry"/>
    <dimension name="fact_actual_expenditure" uniqueName="[fact_actual_expenditure]" caption="fact_actual_expenditure"/>
    <dimension name="fact_approved_budget" uniqueName="[fact_approved_budget]" caption="fact_approved_budget"/>
    <dimension name="fact_budget_funding" uniqueName="[fact_budget_funding]" caption="fact_budget_funding"/>
    <dimension measure="1" name="Measures" uniqueName="[Measures]" caption="Measures"/>
  </dimensions>
  <measureGroups count="7">
    <measureGroup name="dim_expense_category" caption="dim_expense_category"/>
    <measureGroup name="dim_expense_type" caption="dim_expense_type"/>
    <measureGroup name="dim_funding_source" caption="dim_funding_source"/>
    <measureGroup name="dim_ministry" caption="dim_ministry"/>
    <measureGroup name="fact_actual_expenditure" caption="fact_actual_expenditure"/>
    <measureGroup name="fact_approved_budget" caption="fact_approved_budget"/>
    <measureGroup name="fact_budget_funding" caption="fact_budget_funding"/>
  </measureGroups>
  <maps count="15">
    <map measureGroup="0" dimension="0"/>
    <map measureGroup="1" dimension="1"/>
    <map measureGroup="2" dimension="2"/>
    <map measureGroup="3" dimension="3"/>
    <map measureGroup="4" dimension="0"/>
    <map measureGroup="4" dimension="1"/>
    <map measureGroup="4" dimension="3"/>
    <map measureGroup="4" dimension="4"/>
    <map measureGroup="5" dimension="0"/>
    <map measureGroup="5" dimension="1"/>
    <map measureGroup="5" dimension="3"/>
    <map measureGroup="5" dimension="5"/>
    <map measureGroup="6" dimension="2"/>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069.005440277775"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41">
    <cacheHierarchy uniqueName="[dim_expense_category].[expense_category_id]" caption="expense_category_id" attribute="1" defaultMemberUniqueName="[dim_expense_category].[expense_category_id].[All]" allUniqueName="[dim_expense_category].[expense_category_id].[All]" dimensionUniqueName="[dim_expense_category]" displayFolder="" count="0" memberValueDatatype="130" unbalanced="0"/>
    <cacheHierarchy uniqueName="[dim_expense_category].[expense_category]" caption="expense_category" attribute="1" defaultMemberUniqueName="[dim_expense_category].[expense_category].[All]" allUniqueName="[dim_expense_category].[expense_category].[All]" dimensionUniqueName="[dim_expense_category]" displayFolder="" count="2" memberValueDatatype="130" unbalanced="0"/>
    <cacheHierarchy uniqueName="[dim_expense_type].[expense_type_id]" caption="expense_type_id" attribute="1" defaultMemberUniqueName="[dim_expense_type].[expense_type_id].[All]" allUniqueName="[dim_expense_type].[expense_type_id].[All]" dimensionUniqueName="[dim_expense_type]" displayFolder="" count="0" memberValueDatatype="130" unbalanced="0"/>
    <cacheHierarchy uniqueName="[dim_expense_type].[expense_type]" caption="expense_type" attribute="1" defaultMemberUniqueName="[dim_expense_type].[expense_type].[All]" allUniqueName="[dim_expense_type].[expense_type].[All]" dimensionUniqueName="[dim_expense_type]" displayFolder="" count="2" memberValueDatatype="130" unbalanced="0"/>
    <cacheHierarchy uniqueName="[dim_expense_type].[expense_category]" caption="expense_category" attribute="1" defaultMemberUniqueName="[dim_expense_type].[expense_category].[All]" allUniqueName="[dim_expense_type].[expense_category].[All]" dimensionUniqueName="[dim_expense_type]" displayFolder="" count="2" memberValueDatatype="130" unbalanced="0"/>
    <cacheHierarchy uniqueName="[dim_funding_source].[funding_source_id]" caption="funding_source_id" attribute="1" defaultMemberUniqueName="[dim_funding_source].[funding_source_id].[All]" allUniqueName="[dim_funding_source].[funding_source_id].[All]" dimensionUniqueName="[dim_funding_source]" displayFolder="" count="0" memberValueDatatype="130" unbalanced="0"/>
    <cacheHierarchy uniqueName="[dim_funding_source].[funding_source]" caption="funding_source" attribute="1" defaultMemberUniqueName="[dim_funding_source].[funding_source].[All]" allUniqueName="[dim_funding_source].[funding_source].[All]" dimensionUniqueName="[dim_funding_source]" displayFolder="" count="2" memberValueDatatype="130" unbalanced="0"/>
    <cacheHierarchy uniqueName="[dim_ministry].[ministry_id]" caption="ministry_id" attribute="1" defaultMemberUniqueName="[dim_ministry].[ministry_id].[All]" allUniqueName="[dim_ministry].[ministry_id].[All]" dimensionUniqueName="[dim_ministry]" displayFolder="" count="0" memberValueDatatype="130" unbalanced="0"/>
    <cacheHierarchy uniqueName="[dim_ministry].[ministry_name]" caption="ministry_name" attribute="1" defaultMemberUniqueName="[dim_ministry].[ministry_name].[All]" allUniqueName="[dim_ministry].[ministry_name].[All]" dimensionUniqueName="[dim_ministry]" displayFolder="" count="2" memberValueDatatype="130" unbalanced="0"/>
    <cacheHierarchy uniqueName="[dim_ministry].[minister_name]" caption="minister_name" attribute="1" defaultMemberUniqueName="[dim_ministry].[minister_name].[All]" allUniqueName="[dim_ministry].[minister_name].[All]" dimensionUniqueName="[dim_ministry]" displayFolder="" count="0" memberValueDatatype="130" unbalanced="0"/>
    <cacheHierarchy uniqueName="[dim_ministry].[fiscal_year]" caption="fiscal_year" attribute="1" defaultMemberUniqueName="[dim_ministry].[fiscal_year].[All]" allUniqueName="[dim_ministry].[fiscal_year].[All]" dimensionUniqueName="[dim_ministry]" displayFolder="" count="0" memberValueDatatype="130" unbalanced="0"/>
    <cacheHierarchy uniqueName="[fact_actual_expenditure].[transaction_id]" caption="transaction_id" attribute="1" defaultMemberUniqueName="[fact_actual_expenditure].[transaction_id].[All]" allUniqueName="[fact_actual_expenditure].[transaction_id].[All]" dimensionUniqueName="[fact_actual_expenditure]" displayFolder="" count="0" memberValueDatatype="130" unbalanced="0"/>
    <cacheHierarchy uniqueName="[fact_actual_expenditure].[transaction_date]" caption="transaction_date" attribute="1" time="1" defaultMemberUniqueName="[fact_actual_expenditure].[transaction_date].[All]" allUniqueName="[fact_actual_expenditure].[transaction_date].[All]" dimensionUniqueName="[fact_actual_expenditure]" displayFolder="" count="0" memberValueDatatype="7" unbalanced="0"/>
    <cacheHierarchy uniqueName="[fact_actual_expenditure].[trans_date (yyyy-mm)]" caption="trans_date (yyyy-mm)" attribute="1" defaultMemberUniqueName="[fact_actual_expenditure].[trans_date (yyyy-mm)].[All]" allUniqueName="[fact_actual_expenditure].[trans_date (yyyy-mm)].[All]" dimensionUniqueName="[fact_actual_expenditure]" displayFolder="" count="0" memberValueDatatype="130" unbalanced="0"/>
    <cacheHierarchy uniqueName="[fact_actual_expenditure].[ministry_id]" caption="ministry_id" attribute="1" defaultMemberUniqueName="[fact_actual_expenditure].[ministry_id].[All]" allUniqueName="[fact_actual_expenditure].[ministry_id].[All]" dimensionUniqueName="[fact_actual_expenditure]" displayFolder="" count="0" memberValueDatatype="130" unbalanced="0"/>
    <cacheHierarchy uniqueName="[fact_actual_expenditure].[expense_category_id]" caption="expense_category_id" attribute="1" defaultMemberUniqueName="[fact_actual_expenditure].[expense_category_id].[All]" allUniqueName="[fact_actual_expenditure].[expense_category_id].[All]" dimensionUniqueName="[fact_actual_expenditure]" displayFolder="" count="0" memberValueDatatype="130" unbalanced="0"/>
    <cacheHierarchy uniqueName="[fact_actual_expenditure].[expense_type_id]" caption="expense_type_id" attribute="1" defaultMemberUniqueName="[fact_actual_expenditure].[expense_type_id].[All]" allUniqueName="[fact_actual_expenditure].[expense_type_id].[All]" dimensionUniqueName="[fact_actual_expenditure]" displayFolder="" count="0" memberValueDatatype="130" unbalanced="0"/>
    <cacheHierarchy uniqueName="[fact_actual_expenditure].[amount_spent]" caption="amount_spent" attribute="1" defaultMemberUniqueName="[fact_actual_expenditure].[amount_spent].[All]" allUniqueName="[fact_actual_expenditure].[amount_spent].[All]" dimensionUniqueName="[fact_actual_expenditure]" displayFolder="" count="0" memberValueDatatype="5" unbalanced="0"/>
    <cacheHierarchy uniqueName="[fact_approved_budget].[budget_id]" caption="budget_id" attribute="1" defaultMemberUniqueName="[fact_approved_budget].[budget_id].[All]" allUniqueName="[fact_approved_budget].[budget_id].[All]" dimensionUniqueName="[fact_approved_budget]" displayFolder="" count="0" memberValueDatatype="130" unbalanced="0"/>
    <cacheHierarchy uniqueName="[fact_approved_budget].[fiscal_year]" caption="fiscal_year" attribute="1" defaultMemberUniqueName="[fact_approved_budget].[fiscal_year].[All]" allUniqueName="[fact_approved_budget].[fiscal_year].[All]" dimensionUniqueName="[fact_approved_budget]" displayFolder="" count="0" memberValueDatatype="130" unbalanced="0"/>
    <cacheHierarchy uniqueName="[fact_approved_budget].[ministry_id]" caption="ministry_id" attribute="1" defaultMemberUniqueName="[fact_approved_budget].[ministry_id].[All]" allUniqueName="[fact_approved_budget].[ministry_id].[All]" dimensionUniqueName="[fact_approved_budget]" displayFolder="" count="0" memberValueDatatype="130" unbalanced="0"/>
    <cacheHierarchy uniqueName="[fact_approved_budget].[expense_category_id]" caption="expense_category_id" attribute="1" defaultMemberUniqueName="[fact_approved_budget].[expense_category_id].[All]" allUniqueName="[fact_approved_budget].[expense_category_id].[All]" dimensionUniqueName="[fact_approved_budget]" displayFolder="" count="0" memberValueDatatype="130" unbalanced="0"/>
    <cacheHierarchy uniqueName="[fact_approved_budget].[expense_type_id]" caption="expense_type_id" attribute="1" defaultMemberUniqueName="[fact_approved_budget].[expense_type_id].[All]" allUniqueName="[fact_approved_budget].[expense_type_id].[All]" dimensionUniqueName="[fact_approved_budget]" displayFolder="" count="0" memberValueDatatype="130" unbalanced="0"/>
    <cacheHierarchy uniqueName="[fact_approved_budget].[budget_amount]" caption="budget_amount" attribute="1" defaultMemberUniqueName="[fact_approved_budget].[budget_amount].[All]" allUniqueName="[fact_approved_budget].[budget_amount].[All]" dimensionUniqueName="[fact_approved_budget]" displayFolder="" count="0" memberValueDatatype="5" unbalanced="0"/>
    <cacheHierarchy uniqueName="[fact_approved_budget].[approval_date]" caption="approval_date" attribute="1" time="1" defaultMemberUniqueName="[fact_approved_budget].[approval_date].[All]" allUniqueName="[fact_approved_budget].[approval_date].[All]" dimensionUniqueName="[fact_approved_budget]" displayFolder="" count="0" memberValueDatatype="7" unbalanced="0"/>
    <cacheHierarchy uniqueName="[fact_budget_funding].[budget_id]" caption="budget_id" attribute="1" defaultMemberUniqueName="[fact_budget_funding].[budget_id].[All]" allUniqueName="[fact_budget_funding].[budget_id].[All]" dimensionUniqueName="[fact_budget_funding]" displayFolder="" count="0" memberValueDatatype="130" unbalanced="0"/>
    <cacheHierarchy uniqueName="[fact_budget_funding].[fiscal_year]" caption="fiscal_year" attribute="1" defaultMemberUniqueName="[fact_budget_funding].[fiscal_year].[All]" allUniqueName="[fact_budget_funding].[fiscal_year].[All]" dimensionUniqueName="[fact_budget_funding]" displayFolder="" count="0" memberValueDatatype="130" unbalanced="0"/>
    <cacheHierarchy uniqueName="[fact_budget_funding].[ministry_id]" caption="ministry_id" attribute="1" defaultMemberUniqueName="[fact_budget_funding].[ministry_id].[All]" allUniqueName="[fact_budget_funding].[ministry_id].[All]" dimensionUniqueName="[fact_budget_funding]" displayFolder="" count="0" memberValueDatatype="130" unbalanced="0"/>
    <cacheHierarchy uniqueName="[fact_budget_funding].[funding_source_id]" caption="funding_source_id" attribute="1" defaultMemberUniqueName="[fact_budget_funding].[funding_source_id].[All]" allUniqueName="[fact_budget_funding].[funding_source_id].[All]" dimensionUniqueName="[fact_budget_funding]" displayFolder="" count="0" memberValueDatatype="130" unbalanced="0"/>
    <cacheHierarchy uniqueName="[fact_budget_funding].[funding_amount]" caption="funding_amount" attribute="1" defaultMemberUniqueName="[fact_budget_funding].[funding_amount].[All]" allUniqueName="[fact_budget_funding].[funding_amount].[All]" dimensionUniqueName="[fact_budget_funding]" displayFolder="" count="0" memberValueDatatype="5" unbalanced="0"/>
    <cacheHierarchy uniqueName="[Measures].[__XL_Count Table5]" caption="__XL_Count Table5" measure="1" displayFolder="" measureGroup="dim_ministry" count="0" hidden="1"/>
    <cacheHierarchy uniqueName="[Measures].[__XL_Count Table713]" caption="__XL_Count Table713" measure="1" displayFolder="" measureGroup="dim_expense_category" count="0" hidden="1"/>
    <cacheHierarchy uniqueName="[Measures].[__XL_Count Table7]" caption="__XL_Count Table7" measure="1" displayFolder="" measureGroup="dim_expense_type" count="0" hidden="1"/>
    <cacheHierarchy uniqueName="[Measures].[__XL_Count Table11]" caption="__XL_Count Table11" measure="1" displayFolder="" measureGroup="dim_funding_source" count="0" hidden="1"/>
    <cacheHierarchy uniqueName="[Measures].[__XL_Count Table9]" caption="__XL_Count Table9" measure="1" displayFolder="" measureGroup="fact_approved_budget" count="0" hidden="1"/>
    <cacheHierarchy uniqueName="[Measures].[__XL_Count Table6]" caption="__XL_Count Table6" measure="1" displayFolder="" measureGroup="fact_budget_funding" count="0" hidden="1"/>
    <cacheHierarchy uniqueName="[Measures].[__XL_Count Table3]" caption="__XL_Count Table3" measure="1" displayFolder="" measureGroup="fact_actual_expenditure" count="0" hidden="1"/>
    <cacheHierarchy uniqueName="[Measures].[__No measures defined]" caption="__No measures defined" measure="1" displayFolder="" count="0" hidden="1"/>
    <cacheHierarchy uniqueName="[Measures].[Sum of budget_amount]" caption="Sum of budget_amount" measure="1" displayFolder="" measureGroup="fact_approved_budget" count="0" hidden="1">
      <extLst>
        <ext xmlns:x15="http://schemas.microsoft.com/office/spreadsheetml/2010/11/main" uri="{B97F6D7D-B522-45F9-BDA1-12C45D357490}">
          <x15:cacheHierarchy aggregatedColumn="23"/>
        </ext>
      </extLst>
    </cacheHierarchy>
    <cacheHierarchy uniqueName="[Measures].[Sum of funding_amount]" caption="Sum of funding_amount" measure="1" displayFolder="" measureGroup="fact_budget_funding" count="0" hidden="1">
      <extLst>
        <ext xmlns:x15="http://schemas.microsoft.com/office/spreadsheetml/2010/11/main" uri="{B97F6D7D-B522-45F9-BDA1-12C45D357490}">
          <x15:cacheHierarchy aggregatedColumn="29"/>
        </ext>
      </extLst>
    </cacheHierarchy>
    <cacheHierarchy uniqueName="[Measures].[Sum of amount_spent]" caption="Sum of amount_spent" measure="1" displayFolder="" measureGroup="fact_actual_expenditur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22:C43" firstHeaderRow="0" firstDataRow="1" firstDataCol="1"/>
  <pivotFields count="3">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budget_amount" fld="2" baseField="0" baseItem="0"/>
    <dataField name="Sum of amount_spent" fld="1" baseField="0" baseItem="0"/>
  </dataFields>
  <formats count="1">
    <format dxfId="0">
      <pivotArea collapsedLevelsAreSubtotals="1" fieldPosition="0">
        <references count="1">
          <reference field="0" count="0"/>
        </references>
      </pivotArea>
    </format>
  </formats>
  <pivotHierarchies count="4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xpense_type]"/>
        <x15:activeTabTopLevelEntity name="[fact_actual_expenditure]"/>
        <x15:activeTabTopLevelEntity name="[fact_approved_budget]"/>
      </x15:pivotTableUISettings>
    </ext>
  </extLst>
</pivotTableDefinition>
</file>

<file path=xl/pivotTables/pivotTable2.xml><?xml version="1.0" encoding="utf-8"?>
<pivotTableDefinition xmlns="http://schemas.openxmlformats.org/spreadsheetml/2006/main" name="PivotTable16" cacheId="153" applyNumberFormats="0" applyBorderFormats="0" applyFontFormats="0" applyPatternFormats="0" applyAlignmentFormats="0" applyWidthHeightFormats="1" dataCaption="Values" tag="c1f22a23-f844-4bb5-8f2c-246d3667f21a" updatedVersion="6" minRefreshableVersion="3" useAutoFormatting="1" itemPrintTitles="1" createdVersion="6" indent="0" outline="1" outlineData="1" multipleFieldFilters="0" chartFormat="4">
  <location ref="E1:G4" firstHeaderRow="0" firstDataRow="1" firstDataCol="1"/>
  <pivotFields count="4">
    <pivotField axis="axisRow" allDrilled="1" showAll="0" dataSourceSort="1" defaultAttributeDrillState="1">
      <items count="3">
        <item x="0"/>
        <item x="1"/>
        <item t="default"/>
      </items>
    </pivotField>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2">
    <i>
      <x/>
    </i>
    <i i="1">
      <x v="1"/>
    </i>
  </colItems>
  <dataFields count="2">
    <dataField name="Sum of budget_amount" fld="1" baseField="0" baseItem="0"/>
    <dataField name="Sum of amount_spent" fld="2"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0" count="1" selected="0">
            <x v="0"/>
          </reference>
        </references>
      </pivotArea>
    </chartFormat>
    <chartFormat chart="3" format="13">
      <pivotArea type="data" outline="0" fieldPosition="0">
        <references count="2">
          <reference field="4294967294" count="1" selected="0">
            <x v="1"/>
          </reference>
          <reference field="0" count="1" selected="0">
            <x v="1"/>
          </reference>
        </references>
      </pivotArea>
    </chartFormat>
  </chartFormats>
  <pivotHierarchies count="4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xpense_category]"/>
        <x15:activeTabTopLevelEntity name="[fact_approved_budget]"/>
        <x15:activeTabTopLevelEntity name="[fact_budget_funding]"/>
        <x15:activeTabTopLevelEntity name="[fact_actual_expenditure]"/>
        <x15:activeTabTopLevelEntity name="[dim_ministry]"/>
        <x15:activeTabTopLevelEntity name="[dim_expense_type]"/>
        <x15:activeTabTopLevelEntity name="[dim_funding_source]"/>
      </x15:pivotTableUISettings>
    </ext>
  </extLst>
</pivotTableDefinition>
</file>

<file path=xl/pivotTables/pivotTable3.xml><?xml version="1.0" encoding="utf-8"?>
<pivotTableDefinition xmlns="http://schemas.openxmlformats.org/spreadsheetml/2006/main" name="PivotTable2" cacheId="15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1:C18" firstHeaderRow="0" firstDataRow="1" firstDataCol="1"/>
  <pivotFields count="4">
    <pivotField axis="axisRow" allDrilled="1" showAll="0" dataSourceSort="1" defaultAttributeDrillState="1">
      <items count="17">
        <item x="0"/>
        <item x="1"/>
        <item x="2"/>
        <item x="3"/>
        <item x="4"/>
        <item x="5"/>
        <item x="6"/>
        <item x="7"/>
        <item x="8"/>
        <item x="9"/>
        <item x="10"/>
        <item x="11"/>
        <item x="12"/>
        <item x="13"/>
        <item x="14"/>
        <item x="15"/>
        <item t="default"/>
      </items>
    </pivotField>
    <pivotField dataField="1" showAll="0"/>
    <pivotField dataField="1" showAll="0"/>
    <pivotField allDrilled="1" showAll="0" dataSourceSort="1"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budget_amount" fld="1" baseField="0" baseItem="0"/>
    <dataField name="Sum of amount_spent" fld="2" baseField="0" baseItem="0"/>
  </dataFields>
  <formats count="3">
    <format dxfId="21">
      <pivotArea outline="0" collapsedLevelsAreSubtotals="1" fieldPosition="0"/>
    </format>
    <format dxfId="20">
      <pivotArea outline="0" collapsedLevelsAreSubtotals="1" fieldPosition="0"/>
    </format>
    <format dxfId="19">
      <pivotArea outline="0" collapsedLevelsAreSubtotals="1" fieldPosition="0"/>
    </format>
  </formats>
  <chartFormats count="2">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xpense_category]"/>
        <x15:activeTabTopLevelEntity name="[dim_ministry]"/>
        <x15:activeTabTopLevelEntity name="[fact_approved_budget]"/>
        <x15:activeTabTopLevelEntity name="[fact_actual_expenditure]"/>
        <x15:activeTabTopLevelEntity name="[dim_expense_type]"/>
        <x15:activeTabTopLevelEntity name="[dim_funding_source]"/>
      </x15:pivotTableUISettings>
    </ext>
  </extLst>
</pivotTableDefinition>
</file>

<file path=xl/pivotTables/pivotTable4.xml><?xml version="1.0" encoding="utf-8"?>
<pivotTableDefinition xmlns="http://schemas.openxmlformats.org/spreadsheetml/2006/main" name="PivotTable1" cacheId="15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E7:F12"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Sum of funding_amount" fld="0" baseField="0" baseItem="0"/>
  </dataFields>
  <chartFormats count="11">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 chart="11" format="16">
      <pivotArea type="data" outline="0" fieldPosition="0">
        <references count="2">
          <reference field="4294967294" count="1" selected="0">
            <x v="0"/>
          </reference>
          <reference field="1" count="1" selected="0">
            <x v="3"/>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1" count="1" selected="0">
            <x v="2"/>
          </reference>
        </references>
      </pivotArea>
    </chartFormat>
    <chartFormat chart="11" format="19">
      <pivotArea type="data" outline="0" fieldPosition="0">
        <references count="2">
          <reference field="4294967294" count="1" selected="0">
            <x v="0"/>
          </reference>
          <reference field="1" count="1" selected="0">
            <x v="0"/>
          </reference>
        </references>
      </pivotArea>
    </chartFormat>
    <chartFormat chart="11" format="20">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inistry]"/>
        <x15:activeTabTopLevelEntity name="[fact_budget_funding]"/>
        <x15:activeTabTopLevelEntity name="[dim_expense_category]"/>
        <x15:activeTabTopLevelEntity name="[dim_expense_type]"/>
        <x15:activeTabTopLevelEntity name="[dim_funding_sourc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inistry_name" sourceName="[dim_ministry].[ministry_name]">
  <pivotTables>
    <pivotTable tabId="21" name="PivotTable2"/>
    <pivotTable tabId="21" name="PivotTable1"/>
    <pivotTable tabId="21" name="PivotTable16"/>
    <pivotTable tabId="21" name="PivotTable3"/>
  </pivotTables>
  <data>
    <olap pivotCacheId="2">
      <levels count="2">
        <level uniqueName="[dim_ministry].[ministry_name].[(All)]" sourceCaption="(All)" count="0"/>
        <level uniqueName="[dim_ministry].[ministry_name].[ministry_name]" sourceCaption="ministry_name" count="16">
          <ranges>
            <range startItem="0">
              <i n="[dim_ministry].[ministry_name].&amp;[Ministry of Agriculture]" c="Ministry of Agriculture"/>
              <i n="[dim_ministry].[ministry_name].&amp;[Ministry of Artificial Intelligence]" c="Ministry of Artificial Intelligence"/>
              <i n="[dim_ministry].[ministry_name].&amp;[Ministry of Emergency Management]" c="Ministry of Emergency Management"/>
              <i n="[dim_ministry].[ministry_name].&amp;[Ministry of Energy and Natural Resources]" c="Ministry of Energy and Natural Resources"/>
              <i n="[dim_ministry].[ministry_name].&amp;[Ministry of Fisheries]" c="Ministry of Fisheries"/>
              <i n="[dim_ministry].[ministry_name].&amp;[Ministry of Health]" c="Ministry of Health"/>
              <i n="[dim_ministry].[ministry_name].&amp;[Ministry of Housing and Infrastructure]" c="Ministry of Housing and Infrastructure"/>
              <i n="[dim_ministry].[ministry_name].&amp;[Ministry of Immigration]" c="Ministry of Immigration"/>
              <i n="[dim_ministry].[ministry_name].&amp;[Ministry of Indigenous Services]" c="Ministry of Indigenous Services"/>
              <i n="[dim_ministry].[ministry_name].&amp;[Ministry of International Trade]" c="Ministry of International Trade"/>
              <i n="[dim_ministry].[ministry_name].&amp;[Ministry of Justice]" c="Ministry of Justice"/>
              <i n="[dim_ministry].[ministry_name].&amp;[Ministry of National Defence]" c="Ministry of National Defence"/>
              <i n="[dim_ministry].[ministry_name].&amp;[Ministry of Public Safety]" c="Ministry of Public Safety"/>
              <i n="[dim_ministry].[ministry_name].&amp;[Ministry of Public Works]" c="Ministry of Public Works"/>
              <i n="[dim_ministry].[ministry_name].&amp;[Ministry of Tourism]" c="Ministry of Tourism"/>
              <i n="[dim_ministry].[ministry_name].&amp;[Ministry of Transport]" c="Ministry of Transport"/>
            </range>
          </ranges>
        </level>
      </levels>
      <selections count="1">
        <selection n="[dim_ministry].[ministr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xpense_category" sourceName="[dim_expense_category].[expense_category]">
  <pivotTables>
    <pivotTable tabId="21" name="PivotTable2"/>
    <pivotTable tabId="21" name="PivotTable1"/>
    <pivotTable tabId="21" name="PivotTable16"/>
    <pivotTable tabId="21" name="PivotTable3"/>
  </pivotTables>
  <data>
    <olap pivotCacheId="2">
      <levels count="2">
        <level uniqueName="[dim_expense_category].[expense_category].[(All)]" sourceCaption="(All)" count="0"/>
        <level uniqueName="[dim_expense_category].[expense_category].[expense_category]" sourceCaption="expense_category" count="2">
          <ranges>
            <range startItem="0">
              <i n="[dim_expense_category].[expense_category].&amp;[Capital]" c="Capital"/>
              <i n="[dim_expense_category].[expense_category].&amp;[Operational]" c="Operational"/>
            </range>
          </ranges>
        </level>
      </levels>
      <selections count="1">
        <selection n="[dim_expense_category].[expense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xpense_category1" sourceName="[dim_expense_type].[expense_category]">
  <pivotTables>
    <pivotTable tabId="21" name="PivotTable2"/>
    <pivotTable tabId="21" name="PivotTable1"/>
    <pivotTable tabId="21" name="PivotTable16"/>
    <pivotTable tabId="21" name="PivotTable3"/>
  </pivotTables>
  <data>
    <olap pivotCacheId="2">
      <levels count="2">
        <level uniqueName="[dim_expense_type].[expense_category].[(All)]" sourceCaption="(All)" count="0"/>
        <level uniqueName="[dim_expense_type].[expense_category].[expense_category]" sourceCaption="expense_category" count="2">
          <ranges>
            <range startItem="0">
              <i n="[dim_expense_type].[expense_category].&amp;[CAPEX]" c="CAPEX"/>
              <i n="[dim_expense_type].[expense_category].&amp;[OPEX]" c="OPEX"/>
            </range>
          </ranges>
        </level>
      </levels>
      <selections count="1">
        <selection n="[dim_expense_type].[expense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unding_source" sourceName="[dim_funding_source].[funding_source]">
  <pivotTables>
    <pivotTable tabId="21" name="PivotTable2"/>
    <pivotTable tabId="21" name="PivotTable1"/>
    <pivotTable tabId="21" name="PivotTable16"/>
    <pivotTable tabId="21" name="PivotTable3"/>
  </pivotTables>
  <data>
    <olap pivotCacheId="2">
      <levels count="2">
        <level uniqueName="[dim_funding_source].[funding_source].[(All)]" sourceCaption="(All)" count="0"/>
        <level uniqueName="[dim_funding_source].[funding_source].[funding_source]" sourceCaption="funding_source" count="4">
          <ranges>
            <range startItem="0">
              <i n="[dim_funding_source].[funding_source].&amp;[federal_funding]" c="federal_funding"/>
              <i n="[dim_funding_source].[funding_source].&amp;[grant_funding]" c="grant_funding"/>
              <i n="[dim_funding_source].[funding_source].&amp;[internally_gen_funding]" c="internally_gen_funding"/>
              <i n="[dim_funding_source].[funding_source].&amp;[provincial_funding]" c="provincial_funding"/>
            </range>
          </ranges>
        </level>
      </levels>
      <selections count="1">
        <selection n="[dim_funding_source].[funding_sour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expense_type" sourceName="[dim_expense_type].[expense_type]">
  <pivotTables>
    <pivotTable tabId="21" name="PivotTable3"/>
    <pivotTable tabId="21" name="PivotTable1"/>
    <pivotTable tabId="21" name="PivotTable16"/>
    <pivotTable tabId="21" name="PivotTable2"/>
  </pivotTables>
  <data>
    <olap pivotCacheId="2">
      <levels count="2">
        <level uniqueName="[dim_expense_type].[expense_type].[(All)]" sourceCaption="(All)" count="0"/>
        <level uniqueName="[dim_expense_type].[expense_type].[expense_type]" sourceCaption="expense_type" count="20">
          <ranges>
            <range startItem="0">
              <i n="[dim_expense_type].[expense_type].&amp;[Building Construction and Renovation]" c="Building Construction and Renovation"/>
              <i n="[dim_expense_type].[expense_type].&amp;[Data Center Development]" c="Data Center Development"/>
              <i n="[dim_expense_type].[expense_type].&amp;[Employee Benefits and Pensions]" c="Employee Benefits and Pensions"/>
              <i n="[dim_expense_type].[expense_type].&amp;[Heavy Equipment Purchase]" c="Heavy Equipment Purchase"/>
              <i n="[dim_expense_type].[expense_type].&amp;[Infrastructure Development Projects]" c="Infrastructure Development Projects"/>
              <i n="[dim_expense_type].[expense_type].&amp;[IT Support and Software Subscriptions]" c="IT Support and Software Subscriptions"/>
              <i n="[dim_expense_type].[expense_type].&amp;[IT Systems Implementation (ERP, Cybersecurity Systems)]" c="IT Systems Implementation (ERP, Cybersecurity Systems)"/>
              <i n="[dim_expense_type].[expense_type].&amp;[Land Acquisition]" c="Land Acquisition"/>
              <i n="[dim_expense_type].[expense_type].&amp;[Maintenance and Repairs]" c="Maintenance and Repairs"/>
              <i n="[dim_expense_type].[expense_type].&amp;[Major Technology Hardware Purchases]" c="Major Technology Hardware Purchases"/>
              <i n="[dim_expense_type].[expense_type].&amp;[Office Supplies and Consumables]" c="Office Supplies and Consumables"/>
              <i n="[dim_expense_type].[expense_type].&amp;[Professional and Consulting Fees]" c="Professional and Consulting Fees"/>
              <i n="[dim_expense_type].[expense_type].&amp;[Public Facility Expansion Projects]" c="Public Facility Expansion Projects"/>
              <i n="[dim_expense_type].[expense_type].&amp;[Public Outreach and Communication Costs]" c="Public Outreach and Communication Costs"/>
              <i n="[dim_expense_type].[expense_type].&amp;[Research and Innovation Capital Projects]" c="Research and Innovation Capital Projects"/>
              <i n="[dim_expense_type].[expense_type].&amp;[Salaries and Wages]" c="Salaries and Wages"/>
              <i n="[dim_expense_type].[expense_type].&amp;[Training and Staff Development]" c="Training and Staff Development"/>
              <i n="[dim_expense_type].[expense_type].&amp;[Travel and Accommodation Expenses]" c="Travel and Accommodation Expenses"/>
              <i n="[dim_expense_type].[expense_type].&amp;[Utilities (Electricity, Water, Gas)]" c="Utilities (Electricity, Water, Gas)"/>
              <i n="[dim_expense_type].[expense_type].&amp;[Vehicle Fleet Acquisition]" c="Vehicle Fleet Acquisition"/>
            </range>
          </ranges>
        </level>
      </levels>
      <selections count="1">
        <selection n="[dim_expense_type].[expens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inistry_name" cache="Slicer_ministry_name" caption="ministry_name" startItem="6" level="1" style="SlicerStyleLight5" rowHeight="234950"/>
  <slicer name="expense_category" cache="Slicer_expense_category" caption="expense_category" level="1" style="SlicerStyleLight5" rowHeight="234950"/>
  <slicer name="expense_category 1" cache="Slicer_expense_category1" caption="expense_category" level="1" style="SlicerStyleLight5" rowHeight="234950"/>
  <slicer name="funding_source" cache="Slicer_funding_source" caption="funding_source" level="1" style="SlicerStyleLight5" rowHeight="234950"/>
  <slicer name="expense_type" cache="Slicer_expense_type" caption="expense_type" startItem="3" level="1" style="SlicerStyleLight5" rowHeight="234950"/>
</slicers>
</file>

<file path=xl/tables/table1.xml><?xml version="1.0" encoding="utf-8"?>
<table xmlns="http://schemas.openxmlformats.org/spreadsheetml/2006/main" id="1" name="Table1" displayName="Table1" ref="G1:J9" totalsRowShown="0">
  <autoFilter ref="G1:J9"/>
  <tableColumns count="4">
    <tableColumn id="1" name="Row Labels"/>
    <tableColumn id="2" name="Sum of budget_amount" dataDxfId="24" dataCellStyle="Comma"/>
    <tableColumn id="3" name="Sum of amount_spent" dataDxfId="23" dataCellStyle="Comma"/>
    <tableColumn id="4" name="utilization%" dataDxfId="22" dataCellStyle="Percent">
      <calculatedColumnFormula>I2/H2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5" name="Table5" displayName="Table5" ref="A1:D17" totalsRowShown="0" headerRowDxfId="18" headerRowBorderDxfId="17" tableBorderDxfId="16">
  <autoFilter ref="A1:D17"/>
  <tableColumns count="4">
    <tableColumn id="1" name="ministry_id"/>
    <tableColumn id="2" name="ministry_name"/>
    <tableColumn id="3" name="minister_name"/>
    <tableColumn id="4" name="fiscal_year"/>
  </tableColumns>
  <tableStyleInfo name="TableStyleMedium9" showFirstColumn="0" showLastColumn="0" showRowStripes="1" showColumnStripes="0"/>
</table>
</file>

<file path=xl/tables/table3.xml><?xml version="1.0" encoding="utf-8"?>
<table xmlns="http://schemas.openxmlformats.org/spreadsheetml/2006/main" id="12" name="Table713" displayName="Table713" ref="A1:B3" totalsRowShown="0">
  <autoFilter ref="A1:B3"/>
  <tableColumns count="2">
    <tableColumn id="1" name="expense_category_id"/>
    <tableColumn id="4" name="expense_category" dataDxfId="15"/>
  </tableColumns>
  <tableStyleInfo name="TableStyleMedium9" showFirstColumn="0" showLastColumn="0" showRowStripes="1" showColumnStripes="0"/>
</table>
</file>

<file path=xl/tables/table4.xml><?xml version="1.0" encoding="utf-8"?>
<table xmlns="http://schemas.openxmlformats.org/spreadsheetml/2006/main" id="7" name="Table7" displayName="Table7" ref="A1:C21" totalsRowShown="0">
  <autoFilter ref="A1:C21"/>
  <tableColumns count="3">
    <tableColumn id="1" name="expense_type_id"/>
    <tableColumn id="3" name="expense_type" dataDxfId="14"/>
    <tableColumn id="4" name="expense_category" dataDxfId="13"/>
  </tableColumns>
  <tableStyleInfo name="TableStyleMedium9" showFirstColumn="0" showLastColumn="0" showRowStripes="1" showColumnStripes="0"/>
</table>
</file>

<file path=xl/tables/table5.xml><?xml version="1.0" encoding="utf-8"?>
<table xmlns="http://schemas.openxmlformats.org/spreadsheetml/2006/main" id="11" name="Table11" displayName="Table11" ref="A1:B5" totalsRowShown="0">
  <autoFilter ref="A1:B5"/>
  <tableColumns count="2">
    <tableColumn id="1" name="funding_source_id"/>
    <tableColumn id="2" name="funding_source"/>
  </tableColumns>
  <tableStyleInfo name="TableStyleMedium9" showFirstColumn="0" showLastColumn="0" showRowStripes="1" showColumnStripes="0"/>
</table>
</file>

<file path=xl/tables/table6.xml><?xml version="1.0" encoding="utf-8"?>
<table xmlns="http://schemas.openxmlformats.org/spreadsheetml/2006/main" id="9" name="Table9" displayName="Table9" ref="A1:G196" totalsRowShown="0" headerRowDxfId="12" dataDxfId="11">
  <autoFilter ref="A1:G196"/>
  <tableColumns count="7">
    <tableColumn id="1" name="budget_id" dataDxfId="10"/>
    <tableColumn id="10" name="fiscal_year" dataDxfId="9"/>
    <tableColumn id="11" name="ministry_id" dataDxfId="8"/>
    <tableColumn id="12" name="expense_category_id" dataDxfId="7"/>
    <tableColumn id="13" name="expense_type_id" dataDxfId="6"/>
    <tableColumn id="14" name=" budget_amount " dataDxfId="5"/>
    <tableColumn id="15" name="approval_date" dataDxfId="4"/>
  </tableColumns>
  <tableStyleInfo name="TableStyleMedium9" showFirstColumn="0" showLastColumn="0" showRowStripes="1" showColumnStripes="0"/>
</table>
</file>

<file path=xl/tables/table7.xml><?xml version="1.0" encoding="utf-8"?>
<table xmlns="http://schemas.openxmlformats.org/spreadsheetml/2006/main" id="6" name="Table6" displayName="Table6" ref="A1:E65" totalsRowShown="0">
  <autoFilter ref="A1:E65"/>
  <tableColumns count="5">
    <tableColumn id="1" name="budget_id"/>
    <tableColumn id="2" name="fiscal_year"/>
    <tableColumn id="3" name="ministry_id"/>
    <tableColumn id="4" name="funding_source_id"/>
    <tableColumn id="5" name="funding_amount"/>
  </tableColumns>
  <tableStyleInfo name="TableStyleMedium9" showFirstColumn="0" showLastColumn="0" showRowStripes="1" showColumnStripes="0"/>
</table>
</file>

<file path=xl/tables/table8.xml><?xml version="1.0" encoding="utf-8"?>
<table xmlns="http://schemas.openxmlformats.org/spreadsheetml/2006/main" id="3" name="Table3" displayName="Table3" ref="A1:G3501" totalsRowShown="0">
  <autoFilter ref="A1:G3501"/>
  <tableColumns count="7">
    <tableColumn id="1" name="transaction_id"/>
    <tableColumn id="2" name="transaction_date" dataDxfId="3"/>
    <tableColumn id="3" name="trans_date (yyyy-mm)" dataDxfId="2">
      <calculatedColumnFormula>TEXT(Table3[[#This Row],[transaction_date]], "yyyy-mm")</calculatedColumnFormula>
    </tableColumn>
    <tableColumn id="4" name="ministry_id"/>
    <tableColumn id="5" name="expense_category_id"/>
    <tableColumn id="6" name="expense_type_id"/>
    <tableColumn id="7" name="amount_spent" dataDxfId="1" dataCellStyle="Comm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40" zoomScaleNormal="40" workbookViewId="0">
      <selection activeCell="E67" sqref="E67"/>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election activeCell="D25" sqref="D25"/>
    </sheetView>
  </sheetViews>
  <sheetFormatPr defaultRowHeight="14.4"/>
  <cols>
    <col min="1" max="1" width="28.33203125" bestFit="1" customWidth="1"/>
    <col min="2" max="2" width="21.44140625" bestFit="1" customWidth="1"/>
    <col min="3" max="3" width="20" bestFit="1" customWidth="1"/>
    <col min="7" max="7" width="47.5546875" bestFit="1" customWidth="1"/>
    <col min="8" max="8" width="21.44140625" customWidth="1"/>
    <col min="9" max="9" width="20" customWidth="1"/>
    <col min="10" max="10" width="14.5546875" style="11" bestFit="1" customWidth="1"/>
  </cols>
  <sheetData>
    <row r="1" spans="1:10">
      <c r="G1" t="s">
        <v>3628</v>
      </c>
      <c r="H1" t="s">
        <v>3630</v>
      </c>
      <c r="I1" t="s">
        <v>3632</v>
      </c>
      <c r="J1" s="11" t="s">
        <v>3645</v>
      </c>
    </row>
    <row r="2" spans="1:10">
      <c r="A2" t="s">
        <v>3640</v>
      </c>
      <c r="B2" t="str">
        <f>"$"&amp;ROUND(GETPIVOTDATA("[Measures].[Sum of budget_amount]",pivot_table!$A$1)/100000000, 1)&amp;"B"</f>
        <v>$658.7B</v>
      </c>
      <c r="G2" t="str">
        <f>pivot_table!A3</f>
        <v>Ministry of Artificial Intelligence</v>
      </c>
      <c r="H2" s="13">
        <f>pivot_table!B3</f>
        <v>2409840000.0999999</v>
      </c>
      <c r="I2" s="13">
        <f>pivot_table!C3</f>
        <v>1088331844.6799998</v>
      </c>
      <c r="J2" s="11">
        <f t="shared" ref="J2:J9" si="0">I2/H2</f>
        <v>0.45161996009479377</v>
      </c>
    </row>
    <row r="3" spans="1:10">
      <c r="A3" t="s">
        <v>3641</v>
      </c>
      <c r="B3" t="str">
        <f>"$"&amp;ROUND(GETPIVOTDATA("[Measures].[Sum of amount_spent]",pivot_table!$A$1)/100000000, 1)&amp;"B"</f>
        <v>$167.2B</v>
      </c>
      <c r="G3" t="str">
        <f>pivot_table!A2</f>
        <v>Ministry of Agriculture</v>
      </c>
      <c r="H3" s="13">
        <f>pivot_table!B2</f>
        <v>871773000.00000012</v>
      </c>
      <c r="I3" s="13">
        <f>pivot_table!C2</f>
        <v>343459253.68999988</v>
      </c>
      <c r="J3" s="11">
        <f t="shared" si="0"/>
        <v>0.39397785167698451</v>
      </c>
    </row>
    <row r="4" spans="1:10">
      <c r="A4" t="s">
        <v>3642</v>
      </c>
      <c r="B4" s="11">
        <f>GETPIVOTDATA("[Measures].[Sum of amount_spent]",pivot_table!$A$1)/GETPIVOTDATA("[Measures].[Sum of budget_amount]",pivot_table!$A$1)</f>
        <v>0.25374752242227394</v>
      </c>
      <c r="G4" t="str">
        <f>pivot_table!A5</f>
        <v>Ministry of Energy and Natural Resources</v>
      </c>
      <c r="H4" s="13">
        <f>pivot_table!B5</f>
        <v>5937825000</v>
      </c>
      <c r="I4" s="13">
        <f>pivot_table!C5</f>
        <v>1700477417.2500005</v>
      </c>
      <c r="J4" s="11">
        <f t="shared" si="0"/>
        <v>0.28638052102411243</v>
      </c>
    </row>
    <row r="5" spans="1:10">
      <c r="A5" t="s">
        <v>3643</v>
      </c>
      <c r="B5" s="11">
        <f>GETPIVOTDATA("[Measures].[Sum of amount_spent]",pivot_table!$E$1,"[dim_expense_category].[expense_category]","[dim_expense_category].[expense_category].&amp;[Capital]")/GETPIVOTDATA("[Measures].[Sum of budget_amount]",pivot_table!$E$1,"[dim_expense_category].[expense_category]","[dim_expense_category].[expense_category].&amp;[Capital]")</f>
        <v>0.206011301533604</v>
      </c>
      <c r="G5" t="str">
        <f>pivot_table!A18</f>
        <v>Grand Total</v>
      </c>
      <c r="H5" s="13">
        <f>pivot_table!B18</f>
        <v>65872975910.099968</v>
      </c>
      <c r="I5" s="13">
        <f>pivot_table!C18</f>
        <v>16715104431.770002</v>
      </c>
      <c r="J5" s="11">
        <f t="shared" si="0"/>
        <v>0.25374752242227394</v>
      </c>
    </row>
    <row r="6" spans="1:10">
      <c r="A6" t="s">
        <v>3644</v>
      </c>
      <c r="B6" s="11">
        <f>GETPIVOTDATA("[Measures].[Sum of amount_spent]",pivot_table!$E$1,"[dim_expense_category].[expense_category]","[dim_expense_category].[expense_category].&amp;[Operational]")/GETPIVOTDATA("[Measures].[Sum of budget_amount]",pivot_table!$E$1,"[dim_expense_category].[expense_category]","[dim_expense_category].[expense_category].&amp;[Operational]")</f>
        <v>0.32258295718163577</v>
      </c>
      <c r="G6" t="str">
        <f>pivot_table!A15</f>
        <v>Ministry of Public Works</v>
      </c>
      <c r="H6" s="13">
        <f>pivot_table!B15</f>
        <v>8514730000.000001</v>
      </c>
      <c r="I6" s="13">
        <f>pivot_table!C15</f>
        <v>2039709319.0300012</v>
      </c>
      <c r="J6" s="11">
        <f t="shared" si="0"/>
        <v>0.23955067501024707</v>
      </c>
    </row>
    <row r="7" spans="1:10">
      <c r="A7" t="s">
        <v>3646</v>
      </c>
      <c r="B7">
        <f>COUNTIF(J2:J9, "&lt;0.5")</f>
        <v>8</v>
      </c>
      <c r="G7" t="str">
        <f>pivot_table!A9</f>
        <v>Ministry of Immigration</v>
      </c>
      <c r="H7" s="13">
        <f>pivot_table!B9</f>
        <v>4502940000</v>
      </c>
      <c r="I7" s="13">
        <f>pivot_table!C9</f>
        <v>644154261.20000005</v>
      </c>
      <c r="J7" s="11">
        <f t="shared" si="0"/>
        <v>0.14305193078299958</v>
      </c>
    </row>
    <row r="8" spans="1:10">
      <c r="G8" t="str">
        <f>pivot_table!A7</f>
        <v>Ministry of Health</v>
      </c>
      <c r="H8" s="13">
        <f>pivot_table!B7</f>
        <v>7624024000</v>
      </c>
      <c r="I8" s="13">
        <f>pivot_table!C7</f>
        <v>918129366.44999957</v>
      </c>
      <c r="J8" s="11">
        <f t="shared" si="0"/>
        <v>0.12042582322012622</v>
      </c>
    </row>
    <row r="9" spans="1:10">
      <c r="G9" t="str">
        <f>pivot_table!A13</f>
        <v>Ministry of National Defence</v>
      </c>
      <c r="H9" s="13">
        <f>pivot_table!B13</f>
        <v>20820749999.999996</v>
      </c>
      <c r="I9" s="13">
        <f>pivot_table!C13</f>
        <v>149665199.50999993</v>
      </c>
      <c r="J9" s="11">
        <f t="shared" si="0"/>
        <v>7.1882712923405714E-3</v>
      </c>
    </row>
    <row r="11" spans="1:10">
      <c r="A11" t="str">
        <f>pivot_table!A22</f>
        <v>Row Labels</v>
      </c>
      <c r="B11" t="str">
        <f>pivot_table!B22</f>
        <v>Sum of budget_amount</v>
      </c>
      <c r="C11" t="str">
        <f>pivot_table!C22</f>
        <v>Sum of amount_spent</v>
      </c>
      <c r="D11" t="str">
        <f>pivot_table!D22</f>
        <v>difference</v>
      </c>
    </row>
    <row r="12" spans="1:10">
      <c r="A12" t="str">
        <f>pivot_table!A23</f>
        <v>Building Construction and Renovation</v>
      </c>
      <c r="B12" s="1">
        <f>pivot_table!B23</f>
        <v>3886129480.71</v>
      </c>
      <c r="C12" s="1">
        <f>pivot_table!C23</f>
        <v>678433853.46000016</v>
      </c>
      <c r="D12">
        <f>pivot_table!D23</f>
        <v>0.17457829360231444</v>
      </c>
    </row>
    <row r="13" spans="1:10">
      <c r="A13" t="str">
        <f>pivot_table!A25</f>
        <v>Employee Benefits and Pensions</v>
      </c>
      <c r="B13" s="1">
        <f>pivot_table!B25</f>
        <v>3282632627.7900004</v>
      </c>
      <c r="C13" s="1">
        <f>pivot_table!C25</f>
        <v>759886901.77999997</v>
      </c>
      <c r="D13">
        <f>pivot_table!D25</f>
        <v>0.23148703736963286</v>
      </c>
      <c r="G13" t="str">
        <f>pivot_table!A1</f>
        <v>Row Labels</v>
      </c>
      <c r="H13" t="str">
        <f>pivot_table!B1</f>
        <v>Sum of budget_amount</v>
      </c>
      <c r="I13" t="str">
        <f>pivot_table!C1</f>
        <v>Sum of amount_spent</v>
      </c>
    </row>
    <row r="14" spans="1:10">
      <c r="A14" t="str">
        <f>pivot_table!A29</f>
        <v>IT Systems Implementation (ERP, Cybersecurity Systems)</v>
      </c>
      <c r="B14" s="1">
        <f>pivot_table!B29</f>
        <v>5413730734.6099997</v>
      </c>
      <c r="C14" s="1">
        <f>pivot_table!C29</f>
        <v>559400384.86999989</v>
      </c>
      <c r="D14">
        <f>pivot_table!D29</f>
        <v>0.10332992390880308</v>
      </c>
      <c r="G14" t="str">
        <f>pivot_table!A13</f>
        <v>Ministry of National Defence</v>
      </c>
      <c r="H14" s="13">
        <f>pivot_table!B13</f>
        <v>20820749999.999996</v>
      </c>
      <c r="I14" s="1">
        <f>pivot_table!C13</f>
        <v>149665199.50999993</v>
      </c>
    </row>
    <row r="15" spans="1:10">
      <c r="A15" t="str">
        <f>pivot_table!A32</f>
        <v>Major Technology Hardware Purchases</v>
      </c>
      <c r="B15" s="1">
        <f>pivot_table!B32</f>
        <v>10006235303.610004</v>
      </c>
      <c r="C15" s="1">
        <f>pivot_table!C32</f>
        <v>659498684.73000002</v>
      </c>
      <c r="D15">
        <f>pivot_table!D32</f>
        <v>6.5908772352382031E-2</v>
      </c>
    </row>
    <row r="16" spans="1:10">
      <c r="A16" t="str">
        <f>pivot_table!A33</f>
        <v>Office Supplies and Consumables</v>
      </c>
      <c r="B16" s="1">
        <f>pivot_table!B33</f>
        <v>3081207953.0199995</v>
      </c>
      <c r="C16" s="1">
        <f>pivot_table!C33</f>
        <v>544558145.84000003</v>
      </c>
      <c r="D16">
        <f>pivot_table!D33</f>
        <v>0.17673527854757728</v>
      </c>
    </row>
    <row r="17" spans="1:4">
      <c r="A17" t="str">
        <f>pivot_table!A35</f>
        <v>Public Facility Expansion Projects</v>
      </c>
      <c r="B17" s="1">
        <f>pivot_table!B35</f>
        <v>3239020576.1299996</v>
      </c>
      <c r="C17" s="1">
        <f>pivot_table!C35</f>
        <v>581927300.58999991</v>
      </c>
      <c r="D17">
        <f>pivot_table!D35</f>
        <v>0.17966150165223402</v>
      </c>
    </row>
    <row r="18" spans="1:4">
      <c r="A18" t="str">
        <f>pivot_table!A37</f>
        <v>Research and Innovation Capital Projects</v>
      </c>
      <c r="B18" s="1">
        <f>pivot_table!B37</f>
        <v>2957308787.1499996</v>
      </c>
      <c r="C18" s="1">
        <f>pivot_table!C37</f>
        <v>673977522.25999999</v>
      </c>
      <c r="D18">
        <f>pivot_table!D37</f>
        <v>0.2279023161830597</v>
      </c>
    </row>
    <row r="19" spans="1:4">
      <c r="A19" t="str">
        <f>pivot_table!A42</f>
        <v>Vehicle Fleet Acquisition</v>
      </c>
      <c r="B19" s="1">
        <f>pivot_table!B42</f>
        <v>4880529680.3499994</v>
      </c>
      <c r="C19" s="1">
        <f>pivot_table!C42</f>
        <v>1171236394.28</v>
      </c>
      <c r="D19">
        <f>pivot_table!D42</f>
        <v>0.23998141000876089</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G102"/>
  <sheetViews>
    <sheetView topLeftCell="A15" workbookViewId="0">
      <selection activeCell="A22" sqref="A22"/>
    </sheetView>
  </sheetViews>
  <sheetFormatPr defaultRowHeight="14.4"/>
  <cols>
    <col min="1" max="1" width="35.109375" customWidth="1"/>
    <col min="2" max="2" width="21.44140625" customWidth="1"/>
    <col min="3" max="3" width="20" customWidth="1"/>
    <col min="4" max="4" width="11.5546875" bestFit="1" customWidth="1"/>
    <col min="5" max="5" width="12.5546875" customWidth="1"/>
    <col min="6" max="6" width="21.44140625" customWidth="1"/>
    <col min="7" max="7" width="20" customWidth="1"/>
    <col min="8" max="9" width="11" customWidth="1"/>
    <col min="10" max="10" width="21.44140625" bestFit="1" customWidth="1"/>
    <col min="11" max="11" width="20" bestFit="1" customWidth="1"/>
    <col min="12" max="25" width="11" customWidth="1"/>
    <col min="26" max="26" width="10" customWidth="1"/>
    <col min="27" max="48" width="12" customWidth="1"/>
    <col min="49" max="49" width="11" customWidth="1"/>
    <col min="50" max="53" width="12" customWidth="1"/>
    <col min="54" max="54" width="11" customWidth="1"/>
    <col min="55" max="64" width="12" customWidth="1"/>
    <col min="65" max="65" width="11" customWidth="1"/>
    <col min="66" max="77" width="12" customWidth="1"/>
    <col min="78" max="78" width="11" customWidth="1"/>
    <col min="79" max="92" width="12" customWidth="1"/>
    <col min="93" max="93" width="10" customWidth="1"/>
    <col min="94" max="113" width="12" customWidth="1"/>
    <col min="114" max="114" width="10" customWidth="1"/>
    <col min="115" max="116" width="12" customWidth="1"/>
    <col min="117" max="117" width="10" customWidth="1"/>
    <col min="118" max="139" width="12" customWidth="1"/>
    <col min="140" max="141" width="10" customWidth="1"/>
    <col min="142" max="143" width="12" customWidth="1"/>
    <col min="144" max="144" width="10" customWidth="1"/>
    <col min="145" max="146" width="12" customWidth="1"/>
    <col min="147" max="147" width="10" customWidth="1"/>
    <col min="148" max="161" width="12" customWidth="1"/>
    <col min="162" max="162" width="10" customWidth="1"/>
    <col min="163" max="164" width="12" customWidth="1"/>
    <col min="165" max="165" width="10" customWidth="1"/>
    <col min="166" max="168" width="12" customWidth="1"/>
    <col min="169" max="169" width="10" customWidth="1"/>
    <col min="170" max="187" width="12" customWidth="1"/>
    <col min="188" max="200" width="11" customWidth="1"/>
    <col min="201" max="201" width="10.77734375" customWidth="1"/>
    <col min="202" max="365" width="10.33203125" customWidth="1"/>
    <col min="366" max="366" width="10.77734375" bestFit="1" customWidth="1"/>
    <col min="367" max="375" width="10.33203125" bestFit="1" customWidth="1"/>
    <col min="376" max="376" width="8.77734375" customWidth="1"/>
    <col min="377" max="377" width="10.77734375" bestFit="1" customWidth="1"/>
  </cols>
  <sheetData>
    <row r="1" spans="1:7">
      <c r="A1" s="7" t="s">
        <v>3628</v>
      </c>
      <c r="B1" t="s">
        <v>3630</v>
      </c>
      <c r="C1" t="s">
        <v>3632</v>
      </c>
      <c r="E1" s="7" t="s">
        <v>3628</v>
      </c>
      <c r="F1" t="s">
        <v>3630</v>
      </c>
      <c r="G1" t="s">
        <v>3632</v>
      </c>
    </row>
    <row r="2" spans="1:7">
      <c r="A2" s="8" t="s">
        <v>13</v>
      </c>
      <c r="B2" s="12">
        <v>871773000.00000012</v>
      </c>
      <c r="C2" s="12">
        <v>343459253.68999988</v>
      </c>
      <c r="E2" s="8" t="s">
        <v>39</v>
      </c>
      <c r="F2" s="3">
        <v>38897920000.000015</v>
      </c>
      <c r="G2" s="3">
        <v>8013411126.1500092</v>
      </c>
    </row>
    <row r="3" spans="1:7">
      <c r="A3" s="8" t="s">
        <v>18</v>
      </c>
      <c r="B3" s="12">
        <v>2409840000.0999999</v>
      </c>
      <c r="C3" s="12">
        <v>1088331844.6799998</v>
      </c>
      <c r="E3" s="8" t="s">
        <v>40</v>
      </c>
      <c r="F3" s="3">
        <v>26975055910.099991</v>
      </c>
      <c r="G3" s="3">
        <v>8701693305.6200161</v>
      </c>
    </row>
    <row r="4" spans="1:7">
      <c r="A4" s="8" t="s">
        <v>16</v>
      </c>
      <c r="B4" s="12">
        <v>2343609210.0000005</v>
      </c>
      <c r="C4" s="12">
        <v>1695694555.1200004</v>
      </c>
      <c r="E4" s="8" t="s">
        <v>3629</v>
      </c>
      <c r="F4" s="3">
        <v>65872975910.099968</v>
      </c>
      <c r="G4" s="3">
        <v>16715104431.770002</v>
      </c>
    </row>
    <row r="5" spans="1:7">
      <c r="A5" s="8" t="s">
        <v>11</v>
      </c>
      <c r="B5" s="12">
        <v>5937825000</v>
      </c>
      <c r="C5" s="12">
        <v>1700477417.2500005</v>
      </c>
    </row>
    <row r="6" spans="1:7">
      <c r="A6" s="8" t="s">
        <v>8</v>
      </c>
      <c r="B6" s="12">
        <v>754036500</v>
      </c>
      <c r="C6" s="12">
        <v>592619806.95000005</v>
      </c>
    </row>
    <row r="7" spans="1:7">
      <c r="A7" s="8" t="s">
        <v>14</v>
      </c>
      <c r="B7" s="12">
        <v>7624024000</v>
      </c>
      <c r="C7" s="12">
        <v>918129366.44999957</v>
      </c>
      <c r="E7" s="7" t="s">
        <v>3628</v>
      </c>
      <c r="F7" t="s">
        <v>3631</v>
      </c>
    </row>
    <row r="8" spans="1:7">
      <c r="A8" s="8" t="s">
        <v>15</v>
      </c>
      <c r="B8" s="12">
        <v>426926400</v>
      </c>
      <c r="C8" s="12">
        <v>265459115.73000005</v>
      </c>
      <c r="E8" s="8" t="s">
        <v>3598</v>
      </c>
      <c r="F8" s="3">
        <v>36230136750.5</v>
      </c>
    </row>
    <row r="9" spans="1:7">
      <c r="A9" s="8" t="s">
        <v>9</v>
      </c>
      <c r="B9" s="12">
        <v>4502940000</v>
      </c>
      <c r="C9" s="12">
        <v>644154261.20000005</v>
      </c>
      <c r="E9" s="8" t="s">
        <v>3600</v>
      </c>
      <c r="F9" s="3">
        <v>9880946386.5</v>
      </c>
    </row>
    <row r="10" spans="1:7">
      <c r="A10" s="8" t="s">
        <v>10</v>
      </c>
      <c r="B10" s="12">
        <v>540578999.99999988</v>
      </c>
      <c r="C10" s="12">
        <v>297782131.50000006</v>
      </c>
      <c r="E10" s="8" t="s">
        <v>3601</v>
      </c>
      <c r="F10" s="3">
        <v>3293648795.5</v>
      </c>
    </row>
    <row r="11" spans="1:7">
      <c r="A11" s="8" t="s">
        <v>17</v>
      </c>
      <c r="B11" s="12">
        <v>1554366800</v>
      </c>
      <c r="C11" s="12">
        <v>1017979059.6599995</v>
      </c>
      <c r="E11" s="8" t="s">
        <v>3599</v>
      </c>
      <c r="F11" s="3">
        <v>16468243977.5</v>
      </c>
    </row>
    <row r="12" spans="1:7">
      <c r="A12" s="8" t="s">
        <v>5</v>
      </c>
      <c r="B12" s="12">
        <v>3127334000</v>
      </c>
      <c r="C12" s="12">
        <v>2012140646.8299997</v>
      </c>
      <c r="E12" s="8" t="s">
        <v>3629</v>
      </c>
      <c r="F12" s="3">
        <v>65872975910</v>
      </c>
    </row>
    <row r="13" spans="1:7">
      <c r="A13" s="8" t="s">
        <v>4</v>
      </c>
      <c r="B13" s="12">
        <v>20820749999.999996</v>
      </c>
      <c r="C13" s="12">
        <v>149665199.50999993</v>
      </c>
    </row>
    <row r="14" spans="1:7">
      <c r="A14" s="8" t="s">
        <v>6</v>
      </c>
      <c r="B14" s="12">
        <v>2569223999.9999995</v>
      </c>
      <c r="C14" s="12">
        <v>1555735018.3700011</v>
      </c>
    </row>
    <row r="15" spans="1:7">
      <c r="A15" s="8" t="s">
        <v>12</v>
      </c>
      <c r="B15" s="12">
        <v>8514730000.000001</v>
      </c>
      <c r="C15" s="12">
        <v>2039709319.0300012</v>
      </c>
    </row>
    <row r="16" spans="1:7">
      <c r="A16" s="8" t="s">
        <v>3</v>
      </c>
      <c r="B16" s="12">
        <v>1402953999.9999998</v>
      </c>
      <c r="C16" s="12">
        <v>1117666057.97</v>
      </c>
    </row>
    <row r="17" spans="1:4">
      <c r="A17" s="8" t="s">
        <v>7</v>
      </c>
      <c r="B17" s="12">
        <v>2472064000.0000005</v>
      </c>
      <c r="C17" s="12">
        <v>1276101377.8299999</v>
      </c>
    </row>
    <row r="18" spans="1:4">
      <c r="A18" s="8" t="s">
        <v>3629</v>
      </c>
      <c r="B18" s="12">
        <v>65872975910.099968</v>
      </c>
      <c r="C18" s="12">
        <v>16715104431.770002</v>
      </c>
    </row>
    <row r="22" spans="1:4">
      <c r="A22" s="7" t="s">
        <v>3628</v>
      </c>
      <c r="B22" t="s">
        <v>3630</v>
      </c>
      <c r="C22" t="s">
        <v>3632</v>
      </c>
      <c r="D22" s="11" t="s">
        <v>3647</v>
      </c>
    </row>
    <row r="23" spans="1:4">
      <c r="A23" s="8" t="s">
        <v>63</v>
      </c>
      <c r="B23" s="15">
        <v>3886129480.71</v>
      </c>
      <c r="C23" s="15">
        <v>678433853.46000016</v>
      </c>
      <c r="D23" s="11">
        <f>GETPIVOTDATA("[Measures].[Sum of amount_spent]",$A$22,"[dim_expense_type].[expense_type]","[dim_expense_type].[expense_type].&amp;[Building Construction and Renovation]")/GETPIVOTDATA("[Measures].[Sum of budget_amount]",$A$22,"[dim_expense_type].[expense_type]","[dim_expense_type].[expense_type].&amp;[Building Construction and Renovation]")</f>
        <v>0.17457829360231444</v>
      </c>
    </row>
    <row r="24" spans="1:4" hidden="1">
      <c r="A24" s="8" t="s">
        <v>68</v>
      </c>
      <c r="B24" s="15">
        <v>1879051120.29</v>
      </c>
      <c r="C24" s="15">
        <v>886343623.60999978</v>
      </c>
      <c r="D24" s="11">
        <f>GETPIVOTDATA("[Measures].[Sum of amount_spent]",$A$22,"[dim_expense_type].[expense_type]","[dim_expense_type].[expense_type].&amp;[Data Center Development]")/GETPIVOTDATA("[Measures].[Sum of budget_amount]",$A$22,"[dim_expense_type].[expense_type]","[dim_expense_type].[expense_type].&amp;[Data Center Development]")</f>
        <v>0.47169745093108884</v>
      </c>
    </row>
    <row r="25" spans="1:4">
      <c r="A25" s="8" t="s">
        <v>54</v>
      </c>
      <c r="B25" s="15">
        <v>3282632627.7900004</v>
      </c>
      <c r="C25" s="15">
        <v>759886901.77999997</v>
      </c>
      <c r="D25" s="11">
        <f>GETPIVOTDATA("[Measures].[Sum of amount_spent]",$A$22,"[dim_expense_type].[expense_type]","[dim_expense_type].[expense_type].&amp;[Employee Benefits and Pensions]")/GETPIVOTDATA("[Measures].[Sum of budget_amount]",$A$22,"[dim_expense_type].[expense_type]","[dim_expense_type].[expense_type].&amp;[Employee Benefits and Pensions]")</f>
        <v>0.23148703736963286</v>
      </c>
    </row>
    <row r="26" spans="1:4" hidden="1">
      <c r="A26" s="8" t="s">
        <v>65</v>
      </c>
      <c r="B26" s="15">
        <v>2744759623.02</v>
      </c>
      <c r="C26" s="15">
        <v>743956031.15999913</v>
      </c>
      <c r="D26" s="11">
        <f>GETPIVOTDATA("[Measures].[Sum of amount_spent]",$A$22,"[dim_expense_type].[expense_type]","[dim_expense_type].[expense_type].&amp;[Heavy Equipment Purchase]")/GETPIVOTDATA("[Measures].[Sum of budget_amount]",$A$22,"[dim_expense_type].[expense_type]","[dim_expense_type].[expense_type].&amp;[Heavy Equipment Purchase]")</f>
        <v>0.27104596880561815</v>
      </c>
    </row>
    <row r="27" spans="1:4" hidden="1">
      <c r="A27" s="8" t="s">
        <v>62</v>
      </c>
      <c r="B27" s="15">
        <v>2513259995.2999997</v>
      </c>
      <c r="C27" s="15">
        <v>1175787171.1099999</v>
      </c>
      <c r="D27" s="11">
        <f>GETPIVOTDATA("[Measures].[Sum of amount_spent]",$A$22,"[dim_expense_type].[expense_type]","[dim_expense_type].[expense_type].&amp;[Infrastructure Development Projects]")/GETPIVOTDATA("[Measures].[Sum of budget_amount]",$A$22,"[dim_expense_type].[expense_type]","[dim_expense_type].[expense_type].&amp;[Infrastructure Development Projects]")</f>
        <v>0.46783348054272833</v>
      </c>
    </row>
    <row r="28" spans="1:4" hidden="1">
      <c r="A28" s="8" t="s">
        <v>58</v>
      </c>
      <c r="B28" s="15">
        <v>1247786372.8899999</v>
      </c>
      <c r="C28" s="15">
        <v>795945814.43000007</v>
      </c>
      <c r="D28" s="11">
        <f>GETPIVOTDATA("[Measures].[Sum of amount_spent]",$A$22,"[dim_expense_type].[expense_type]","[dim_expense_type].[expense_type].&amp;[IT Support and Software Subscriptions]")/GETPIVOTDATA("[Measures].[Sum of budget_amount]",$A$22,"[dim_expense_type].[expense_type]","[dim_expense_type].[expense_type].&amp;[IT Support and Software Subscriptions]")</f>
        <v>0.63788628544364434</v>
      </c>
    </row>
    <row r="29" spans="1:4">
      <c r="A29" s="8" t="s">
        <v>67</v>
      </c>
      <c r="B29" s="15">
        <v>5413730734.6099997</v>
      </c>
      <c r="C29" s="15">
        <v>559400384.86999989</v>
      </c>
      <c r="D29" s="11">
        <f>GETPIVOTDATA("[Measures].[Sum of amount_spent]",$A$22,"[dim_expense_type].[expense_type]","[dim_expense_type].[expense_type].&amp;[IT Systems Implementation (ERP, Cybersecurity Systems)]")/GETPIVOTDATA("[Measures].[Sum of budget_amount]",$A$22,"[dim_expense_type].[expense_type]","[dim_expense_type].[expense_type].&amp;[IT Systems Implementation (ERP, Cybersecurity Systems)]")</f>
        <v>0.10332992390880308</v>
      </c>
    </row>
    <row r="30" spans="1:4" hidden="1">
      <c r="A30" s="8" t="s">
        <v>64</v>
      </c>
      <c r="B30" s="15">
        <v>1377894698.8300002</v>
      </c>
      <c r="C30" s="15">
        <v>882850160.08000016</v>
      </c>
      <c r="D30" s="11">
        <f>GETPIVOTDATA("[Measures].[Sum of amount_spent]",$A$22,"[dim_expense_type].[expense_type]","[dim_expense_type].[expense_type].&amp;[Land Acquisition]")/GETPIVOTDATA("[Measures].[Sum of budget_amount]",$A$22,"[dim_expense_type].[expense_type]","[dim_expense_type].[expense_type].&amp;[Land Acquisition]")</f>
        <v>0.64072396884148486</v>
      </c>
    </row>
    <row r="31" spans="1:4" hidden="1">
      <c r="A31" s="8" t="s">
        <v>59</v>
      </c>
      <c r="B31" s="15">
        <v>3584758272.9999995</v>
      </c>
      <c r="C31" s="15">
        <v>994218500.14999986</v>
      </c>
      <c r="D31" s="11">
        <f>GETPIVOTDATA("[Measures].[Sum of amount_spent]",$A$22,"[dim_expense_type].[expense_type]","[dim_expense_type].[expense_type].&amp;[Maintenance and Repairs]")/GETPIVOTDATA("[Measures].[Sum of budget_amount]",$A$22,"[dim_expense_type].[expense_type]","[dim_expense_type].[expense_type].&amp;[Maintenance and Repairs]")</f>
        <v>0.27734603686902487</v>
      </c>
    </row>
    <row r="32" spans="1:4">
      <c r="A32" s="8" t="s">
        <v>72</v>
      </c>
      <c r="B32" s="15">
        <v>10006235303.610004</v>
      </c>
      <c r="C32" s="15">
        <v>659498684.73000002</v>
      </c>
      <c r="D32" s="11">
        <f>GETPIVOTDATA("[Measures].[Sum of amount_spent]",$A$22,"[dim_expense_type].[expense_type]","[dim_expense_type].[expense_type].&amp;[Major Technology Hardware Purchases]")/GETPIVOTDATA("[Measures].[Sum of budget_amount]",$A$22,"[dim_expense_type].[expense_type]","[dim_expense_type].[expense_type].&amp;[Major Technology Hardware Purchases]")</f>
        <v>6.5908772352382031E-2</v>
      </c>
    </row>
    <row r="33" spans="1:4">
      <c r="A33" s="8" t="s">
        <v>55</v>
      </c>
      <c r="B33" s="15">
        <v>3081207953.0199995</v>
      </c>
      <c r="C33" s="15">
        <v>544558145.84000003</v>
      </c>
      <c r="D33" s="11">
        <f>GETPIVOTDATA("[Measures].[Sum of amount_spent]",$A$22,"[dim_expense_type].[expense_type]","[dim_expense_type].[expense_type].&amp;[Office Supplies and Consumables]")/GETPIVOTDATA("[Measures].[Sum of budget_amount]",$A$22,"[dim_expense_type].[expense_type]","[dim_expense_type].[expense_type].&amp;[Office Supplies and Consumables]")</f>
        <v>0.17673527854757728</v>
      </c>
    </row>
    <row r="34" spans="1:4" hidden="1">
      <c r="A34" s="8" t="s">
        <v>57</v>
      </c>
      <c r="B34" s="15">
        <v>2057384710.8799999</v>
      </c>
      <c r="C34" s="15">
        <v>974385481.70999932</v>
      </c>
      <c r="D34" s="11">
        <f>GETPIVOTDATA("[Measures].[Sum of amount_spent]",$A$22,"[dim_expense_type].[expense_type]","[dim_expense_type].[expense_type].&amp;[Professional and Consulting Fees]")/GETPIVOTDATA("[Measures].[Sum of budget_amount]",$A$22,"[dim_expense_type].[expense_type]","[dim_expense_type].[expense_type].&amp;[Professional and Consulting Fees]")</f>
        <v>0.47360392859788869</v>
      </c>
    </row>
    <row r="35" spans="1:4">
      <c r="A35" s="8" t="s">
        <v>70</v>
      </c>
      <c r="B35" s="15">
        <v>3239020576.1299996</v>
      </c>
      <c r="C35" s="15">
        <v>581927300.58999991</v>
      </c>
      <c r="D35" s="11">
        <f>GETPIVOTDATA("[Measures].[Sum of amount_spent]",$A$22,"[dim_expense_type].[expense_type]","[dim_expense_type].[expense_type].&amp;[Public Facility Expansion Projects]")/GETPIVOTDATA("[Measures].[Sum of budget_amount]",$A$22,"[dim_expense_type].[expense_type]","[dim_expense_type].[expense_type].&amp;[Public Facility Expansion Projects]")</f>
        <v>0.17966150165223402</v>
      </c>
    </row>
    <row r="36" spans="1:4" hidden="1">
      <c r="A36" s="8" t="s">
        <v>60</v>
      </c>
      <c r="B36" s="15">
        <v>2179045532.5799999</v>
      </c>
      <c r="C36" s="15">
        <v>810096291.06999958</v>
      </c>
      <c r="D36" s="11">
        <f>GETPIVOTDATA("[Measures].[Sum of amount_spent]",$A$22,"[dim_expense_type].[expense_type]","[dim_expense_type].[expense_type].&amp;[Public Outreach and Communication Costs]")/GETPIVOTDATA("[Measures].[Sum of budget_amount]",$A$22,"[dim_expense_type].[expense_type]","[dim_expense_type].[expense_type].&amp;[Public Outreach and Communication Costs]")</f>
        <v>0.37176657346431941</v>
      </c>
    </row>
    <row r="37" spans="1:4">
      <c r="A37" s="8" t="s">
        <v>69</v>
      </c>
      <c r="B37" s="15">
        <v>2957308787.1499996</v>
      </c>
      <c r="C37" s="15">
        <v>673977522.25999999</v>
      </c>
      <c r="D37" s="11">
        <f>GETPIVOTDATA("[Measures].[Sum of amount_spent]",$A$22,"[dim_expense_type].[expense_type]","[dim_expense_type].[expense_type].&amp;[Research and Innovation Capital Projects]")/GETPIVOTDATA("[Measures].[Sum of budget_amount]",$A$22,"[dim_expense_type].[expense_type]","[dim_expense_type].[expense_type].&amp;[Research and Innovation Capital Projects]")</f>
        <v>0.2279023161830597</v>
      </c>
    </row>
    <row r="38" spans="1:4" hidden="1">
      <c r="A38" s="8" t="s">
        <v>53</v>
      </c>
      <c r="B38" s="15">
        <v>3272585731.5799999</v>
      </c>
      <c r="C38" s="15">
        <v>872113009.83999968</v>
      </c>
      <c r="D38" s="11">
        <f>GETPIVOTDATA("[Measures].[Sum of amount_spent]",$A$22,"[dim_expense_type].[expense_type]","[dim_expense_type].[expense_type].&amp;[Salaries and Wages]")/GETPIVOTDATA("[Measures].[Sum of budget_amount]",$A$22,"[dim_expense_type].[expense_type]","[dim_expense_type].[expense_type].&amp;[Salaries and Wages]")</f>
        <v>0.26649050059230828</v>
      </c>
    </row>
    <row r="39" spans="1:4" hidden="1">
      <c r="A39" s="8" t="s">
        <v>61</v>
      </c>
      <c r="B39" s="15">
        <v>3046301969.7800002</v>
      </c>
      <c r="C39" s="15">
        <v>944135189.5400002</v>
      </c>
      <c r="D39" s="11">
        <f>GETPIVOTDATA("[Measures].[Sum of amount_spent]",$A$22,"[dim_expense_type].[expense_type]","[dim_expense_type].[expense_type].&amp;[Training and Staff Development]")/GETPIVOTDATA("[Measures].[Sum of budget_amount]",$A$22,"[dim_expense_type].[expense_type]","[dim_expense_type].[expense_type].&amp;[Training and Staff Development]")</f>
        <v>0.30992829959276308</v>
      </c>
    </row>
    <row r="40" spans="1:4" hidden="1">
      <c r="A40" s="8" t="s">
        <v>56</v>
      </c>
      <c r="B40" s="15">
        <v>1815752115.3699999</v>
      </c>
      <c r="C40" s="15">
        <v>964675686.4799999</v>
      </c>
      <c r="D40" s="11">
        <f>GETPIVOTDATA("[Measures].[Sum of amount_spent]",$A$22,"[dim_expense_type].[expense_type]","[dim_expense_type].[expense_type].&amp;[Travel and Accommodation Expenses]")/GETPIVOTDATA("[Measures].[Sum of budget_amount]",$A$22,"[dim_expense_type].[expense_type]","[dim_expense_type].[expense_type].&amp;[Travel and Accommodation Expenses]")</f>
        <v>0.53128159858066626</v>
      </c>
    </row>
    <row r="41" spans="1:4" hidden="1">
      <c r="A41" s="8" t="s">
        <v>71</v>
      </c>
      <c r="B41" s="15">
        <v>3407600623.21</v>
      </c>
      <c r="C41" s="15">
        <v>1041678284.7799995</v>
      </c>
      <c r="D41" s="11">
        <f>GETPIVOTDATA("[Measures].[Sum of amount_spent]",$A$22,"[dim_expense_type].[expense_type]","[dim_expense_type].[expense_type].&amp;[Utilities (Electricity, Water, Gas)]")/GETPIVOTDATA("[Measures].[Sum of budget_amount]",$A$22,"[dim_expense_type].[expense_type]","[dim_expense_type].[expense_type].&amp;[Utilities (Electricity, Water, Gas)]")</f>
        <v>0.30569259721484798</v>
      </c>
    </row>
    <row r="42" spans="1:4">
      <c r="A42" s="8" t="s">
        <v>66</v>
      </c>
      <c r="B42" s="15">
        <v>4880529680.3499994</v>
      </c>
      <c r="C42" s="15">
        <v>1171236394.28</v>
      </c>
      <c r="D42" s="11">
        <f>GETPIVOTDATA("[Measures].[Sum of amount_spent]",$A$22,"[dim_expense_type].[expense_type]","[dim_expense_type].[expense_type].&amp;[Vehicle Fleet Acquisition]")/GETPIVOTDATA("[Measures].[Sum of budget_amount]",$A$22,"[dim_expense_type].[expense_type]","[dim_expense_type].[expense_type].&amp;[Vehicle Fleet Acquisition]")</f>
        <v>0.23998141000876089</v>
      </c>
    </row>
    <row r="43" spans="1:4" hidden="1">
      <c r="A43" s="8" t="s">
        <v>3629</v>
      </c>
      <c r="B43" s="3">
        <v>65872975910.099968</v>
      </c>
      <c r="C43" s="3">
        <v>16715104431.770002</v>
      </c>
      <c r="D43" s="16">
        <f>GETPIVOTDATA("[Measures].[Sum of amount_spent]",$A$22)/GETPIVOTDATA("[Measures].[Sum of budget_amount]",$A$22)</f>
        <v>0.25374752242227394</v>
      </c>
    </row>
    <row r="44" spans="1:4">
      <c r="A44" s="14"/>
      <c r="B44" s="3"/>
    </row>
    <row r="45" spans="1:4">
      <c r="A45" s="14"/>
      <c r="B45" s="3"/>
    </row>
    <row r="46" spans="1:4">
      <c r="A46" s="14"/>
      <c r="B46" s="3"/>
    </row>
    <row r="47" spans="1:4">
      <c r="A47" s="8"/>
      <c r="B47" s="3"/>
    </row>
    <row r="48" spans="1:4">
      <c r="A48" s="14"/>
      <c r="B48" s="3"/>
    </row>
    <row r="49" spans="1:2">
      <c r="A49" s="14"/>
      <c r="B49" s="3"/>
    </row>
    <row r="50" spans="1:2">
      <c r="A50" s="14"/>
      <c r="B50" s="3"/>
    </row>
    <row r="51" spans="1:2">
      <c r="A51" s="14"/>
      <c r="B51" s="3"/>
    </row>
    <row r="52" spans="1:2">
      <c r="A52" s="8"/>
      <c r="B52" s="3"/>
    </row>
    <row r="53" spans="1:2">
      <c r="A53" s="14"/>
      <c r="B53" s="3"/>
    </row>
    <row r="54" spans="1:2">
      <c r="A54" s="14"/>
      <c r="B54" s="3"/>
    </row>
    <row r="55" spans="1:2">
      <c r="A55" s="14"/>
      <c r="B55" s="3"/>
    </row>
    <row r="56" spans="1:2">
      <c r="A56" s="14"/>
      <c r="B56" s="3"/>
    </row>
    <row r="57" spans="1:2">
      <c r="A57" s="8"/>
      <c r="B57" s="3"/>
    </row>
    <row r="58" spans="1:2">
      <c r="A58" s="14"/>
      <c r="B58" s="3"/>
    </row>
    <row r="59" spans="1:2">
      <c r="A59" s="14"/>
      <c r="B59" s="3"/>
    </row>
    <row r="60" spans="1:2">
      <c r="A60" s="14"/>
      <c r="B60" s="3"/>
    </row>
    <row r="61" spans="1:2">
      <c r="A61" s="14"/>
      <c r="B61" s="3"/>
    </row>
    <row r="62" spans="1:2">
      <c r="A62" s="8"/>
      <c r="B62" s="3"/>
    </row>
    <row r="63" spans="1:2">
      <c r="A63" s="14"/>
      <c r="B63" s="3"/>
    </row>
    <row r="64" spans="1:2">
      <c r="A64" s="14"/>
      <c r="B64" s="3"/>
    </row>
    <row r="65" spans="1:2">
      <c r="A65" s="14"/>
      <c r="B65" s="3"/>
    </row>
    <row r="66" spans="1:2">
      <c r="A66" s="14"/>
      <c r="B66" s="3"/>
    </row>
    <row r="67" spans="1:2">
      <c r="A67" s="8"/>
      <c r="B67" s="3"/>
    </row>
    <row r="68" spans="1:2">
      <c r="A68" s="14"/>
      <c r="B68" s="3"/>
    </row>
    <row r="69" spans="1:2">
      <c r="A69" s="14"/>
      <c r="B69" s="3"/>
    </row>
    <row r="70" spans="1:2">
      <c r="A70" s="14"/>
      <c r="B70" s="3"/>
    </row>
    <row r="71" spans="1:2">
      <c r="A71" s="14"/>
      <c r="B71" s="3"/>
    </row>
    <row r="72" spans="1:2">
      <c r="A72" s="8"/>
      <c r="B72" s="3"/>
    </row>
    <row r="73" spans="1:2">
      <c r="A73" s="14"/>
      <c r="B73" s="3"/>
    </row>
    <row r="74" spans="1:2">
      <c r="A74" s="14"/>
      <c r="B74" s="3"/>
    </row>
    <row r="75" spans="1:2">
      <c r="A75" s="14"/>
      <c r="B75" s="3"/>
    </row>
    <row r="76" spans="1:2">
      <c r="A76" s="14"/>
      <c r="B76" s="3"/>
    </row>
    <row r="77" spans="1:2">
      <c r="A77" s="8"/>
      <c r="B77" s="3"/>
    </row>
    <row r="78" spans="1:2">
      <c r="A78" s="14"/>
      <c r="B78" s="3"/>
    </row>
    <row r="79" spans="1:2">
      <c r="A79" s="14"/>
      <c r="B79" s="3"/>
    </row>
    <row r="80" spans="1:2">
      <c r="A80" s="14"/>
      <c r="B80" s="3"/>
    </row>
    <row r="81" spans="1:2">
      <c r="A81" s="14"/>
      <c r="B81" s="3"/>
    </row>
    <row r="82" spans="1:2">
      <c r="A82" s="8"/>
      <c r="B82" s="3"/>
    </row>
    <row r="83" spans="1:2">
      <c r="A83" s="14"/>
      <c r="B83" s="3"/>
    </row>
    <row r="84" spans="1:2">
      <c r="A84" s="14"/>
      <c r="B84" s="3"/>
    </row>
    <row r="85" spans="1:2">
      <c r="A85" s="14"/>
      <c r="B85" s="3"/>
    </row>
    <row r="86" spans="1:2">
      <c r="A86" s="14"/>
      <c r="B86" s="3"/>
    </row>
    <row r="87" spans="1:2">
      <c r="A87" s="8"/>
      <c r="B87" s="3"/>
    </row>
    <row r="88" spans="1:2">
      <c r="A88" s="14"/>
      <c r="B88" s="3"/>
    </row>
    <row r="89" spans="1:2">
      <c r="A89" s="14"/>
      <c r="B89" s="3"/>
    </row>
    <row r="90" spans="1:2">
      <c r="A90" s="14"/>
      <c r="B90" s="3"/>
    </row>
    <row r="91" spans="1:2">
      <c r="A91" s="14"/>
      <c r="B91" s="3"/>
    </row>
    <row r="92" spans="1:2">
      <c r="A92" s="8"/>
      <c r="B92" s="3"/>
    </row>
    <row r="93" spans="1:2">
      <c r="A93" s="14"/>
      <c r="B93" s="3"/>
    </row>
    <row r="94" spans="1:2">
      <c r="A94" s="14"/>
      <c r="B94" s="3"/>
    </row>
    <row r="95" spans="1:2">
      <c r="A95" s="14"/>
      <c r="B95" s="3"/>
    </row>
    <row r="96" spans="1:2">
      <c r="A96" s="14"/>
      <c r="B96" s="3"/>
    </row>
    <row r="97" spans="1:2">
      <c r="A97" s="8"/>
      <c r="B97" s="3"/>
    </row>
    <row r="98" spans="1:2">
      <c r="A98" s="14"/>
      <c r="B98" s="3"/>
    </row>
    <row r="99" spans="1:2">
      <c r="A99" s="14"/>
      <c r="B99" s="3"/>
    </row>
    <row r="100" spans="1:2">
      <c r="A100" s="14"/>
      <c r="B100" s="3"/>
    </row>
    <row r="101" spans="1:2">
      <c r="A101" s="14"/>
      <c r="B101" s="3"/>
    </row>
    <row r="102" spans="1:2">
      <c r="A102" s="8"/>
      <c r="B102" s="3"/>
    </row>
  </sheetData>
  <autoFilter ref="A22:D43">
    <filterColumn colId="3">
      <filters>
        <filter val="10%"/>
        <filter val="17%"/>
        <filter val="18%"/>
        <filter val="23%"/>
        <filter val="24%"/>
        <filter val="7%"/>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B4" sqref="B4"/>
    </sheetView>
  </sheetViews>
  <sheetFormatPr defaultRowHeight="14.4"/>
  <cols>
    <col min="1" max="1" width="14.77734375" bestFit="1" customWidth="1"/>
    <col min="2" max="2" width="35.109375" bestFit="1" customWidth="1"/>
    <col min="3" max="3" width="16.77734375" bestFit="1" customWidth="1"/>
    <col min="4" max="4" width="11.77734375" customWidth="1"/>
  </cols>
  <sheetData>
    <row r="1" spans="1:4">
      <c r="A1" s="5" t="s">
        <v>0</v>
      </c>
      <c r="B1" s="5" t="s">
        <v>1</v>
      </c>
      <c r="C1" s="5" t="s">
        <v>2</v>
      </c>
      <c r="D1" s="5" t="s">
        <v>36</v>
      </c>
    </row>
    <row r="2" spans="1:4">
      <c r="A2" t="s">
        <v>73</v>
      </c>
      <c r="B2" t="s">
        <v>3</v>
      </c>
      <c r="C2" t="s">
        <v>19</v>
      </c>
      <c r="D2" t="s">
        <v>35</v>
      </c>
    </row>
    <row r="3" spans="1:4">
      <c r="A3" t="s">
        <v>74</v>
      </c>
      <c r="B3" t="s">
        <v>4</v>
      </c>
      <c r="C3" t="s">
        <v>20</v>
      </c>
      <c r="D3" t="s">
        <v>35</v>
      </c>
    </row>
    <row r="4" spans="1:4">
      <c r="A4" t="s">
        <v>75</v>
      </c>
      <c r="B4" t="s">
        <v>5</v>
      </c>
      <c r="C4" t="s">
        <v>21</v>
      </c>
      <c r="D4" t="s">
        <v>35</v>
      </c>
    </row>
    <row r="5" spans="1:4">
      <c r="A5" t="s">
        <v>76</v>
      </c>
      <c r="B5" t="s">
        <v>6</v>
      </c>
      <c r="C5" t="s">
        <v>22</v>
      </c>
      <c r="D5" t="s">
        <v>35</v>
      </c>
    </row>
    <row r="6" spans="1:4">
      <c r="A6" t="s">
        <v>77</v>
      </c>
      <c r="B6" t="s">
        <v>7</v>
      </c>
      <c r="C6" t="s">
        <v>23</v>
      </c>
      <c r="D6" t="s">
        <v>35</v>
      </c>
    </row>
    <row r="7" spans="1:4">
      <c r="A7" t="s">
        <v>78</v>
      </c>
      <c r="B7" t="s">
        <v>8</v>
      </c>
      <c r="C7" t="s">
        <v>24</v>
      </c>
      <c r="D7" t="s">
        <v>35</v>
      </c>
    </row>
    <row r="8" spans="1:4">
      <c r="A8" t="s">
        <v>79</v>
      </c>
      <c r="B8" t="s">
        <v>9</v>
      </c>
      <c r="C8" t="s">
        <v>25</v>
      </c>
      <c r="D8" t="s">
        <v>35</v>
      </c>
    </row>
    <row r="9" spans="1:4">
      <c r="A9" t="s">
        <v>80</v>
      </c>
      <c r="B9" t="s">
        <v>10</v>
      </c>
      <c r="C9" t="s">
        <v>26</v>
      </c>
      <c r="D9" t="s">
        <v>35</v>
      </c>
    </row>
    <row r="10" spans="1:4">
      <c r="A10" t="s">
        <v>82</v>
      </c>
      <c r="B10" t="s">
        <v>11</v>
      </c>
      <c r="C10" t="s">
        <v>27</v>
      </c>
      <c r="D10" t="s">
        <v>35</v>
      </c>
    </row>
    <row r="11" spans="1:4">
      <c r="A11" t="s">
        <v>84</v>
      </c>
      <c r="B11" t="s">
        <v>12</v>
      </c>
      <c r="C11" t="s">
        <v>28</v>
      </c>
      <c r="D11" t="s">
        <v>35</v>
      </c>
    </row>
    <row r="12" spans="1:4">
      <c r="A12" t="s">
        <v>85</v>
      </c>
      <c r="B12" t="s">
        <v>13</v>
      </c>
      <c r="C12" t="s">
        <v>29</v>
      </c>
      <c r="D12" t="s">
        <v>35</v>
      </c>
    </row>
    <row r="13" spans="1:4">
      <c r="A13" t="s">
        <v>3597</v>
      </c>
      <c r="B13" t="s">
        <v>14</v>
      </c>
      <c r="C13" t="s">
        <v>30</v>
      </c>
      <c r="D13" t="s">
        <v>35</v>
      </c>
    </row>
    <row r="14" spans="1:4">
      <c r="A14" t="s">
        <v>89</v>
      </c>
      <c r="B14" t="s">
        <v>15</v>
      </c>
      <c r="C14" t="s">
        <v>31</v>
      </c>
      <c r="D14" t="s">
        <v>35</v>
      </c>
    </row>
    <row r="15" spans="1:4">
      <c r="A15" t="s">
        <v>90</v>
      </c>
      <c r="B15" t="s">
        <v>16</v>
      </c>
      <c r="C15" t="s">
        <v>32</v>
      </c>
      <c r="D15" t="s">
        <v>35</v>
      </c>
    </row>
    <row r="16" spans="1:4">
      <c r="A16" t="s">
        <v>93</v>
      </c>
      <c r="B16" t="s">
        <v>17</v>
      </c>
      <c r="C16" t="s">
        <v>33</v>
      </c>
      <c r="D16" t="s">
        <v>35</v>
      </c>
    </row>
    <row r="17" spans="1:4">
      <c r="A17" t="s">
        <v>95</v>
      </c>
      <c r="B17" t="s">
        <v>18</v>
      </c>
      <c r="C17" t="s">
        <v>34</v>
      </c>
      <c r="D17" t="s">
        <v>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sqref="A1:B3"/>
    </sheetView>
  </sheetViews>
  <sheetFormatPr defaultRowHeight="14.4"/>
  <cols>
    <col min="1" max="1" width="21.21875" bestFit="1" customWidth="1"/>
    <col min="2" max="2" width="47.5546875" bestFit="1" customWidth="1"/>
    <col min="3" max="3" width="18.109375" customWidth="1"/>
  </cols>
  <sheetData>
    <row r="1" spans="1:2">
      <c r="A1" t="s">
        <v>3634</v>
      </c>
      <c r="B1" t="s">
        <v>49</v>
      </c>
    </row>
    <row r="2" spans="1:2">
      <c r="A2" t="s">
        <v>3636</v>
      </c>
      <c r="B2" s="4" t="s">
        <v>39</v>
      </c>
    </row>
    <row r="3" spans="1:2">
      <c r="A3" t="s">
        <v>3637</v>
      </c>
      <c r="B3" s="4" t="s">
        <v>40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F4" sqref="F4"/>
    </sheetView>
  </sheetViews>
  <sheetFormatPr defaultRowHeight="14.4"/>
  <cols>
    <col min="1" max="1" width="12.33203125" customWidth="1"/>
    <col min="2" max="2" width="47.5546875" bestFit="1" customWidth="1"/>
    <col min="3" max="3" width="18.109375" customWidth="1"/>
  </cols>
  <sheetData>
    <row r="1" spans="1:3">
      <c r="A1" t="s">
        <v>3635</v>
      </c>
      <c r="B1" t="s">
        <v>50</v>
      </c>
      <c r="C1" t="s">
        <v>49</v>
      </c>
    </row>
    <row r="2" spans="1:3">
      <c r="A2" t="s">
        <v>3604</v>
      </c>
      <c r="B2" s="4" t="s">
        <v>64</v>
      </c>
      <c r="C2" s="4" t="s">
        <v>3636</v>
      </c>
    </row>
    <row r="3" spans="1:3">
      <c r="A3" t="s">
        <v>3605</v>
      </c>
      <c r="B3" s="4" t="s">
        <v>72</v>
      </c>
      <c r="C3" s="4" t="s">
        <v>3636</v>
      </c>
    </row>
    <row r="4" spans="1:3">
      <c r="A4" t="s">
        <v>3606</v>
      </c>
      <c r="B4" s="4" t="s">
        <v>70</v>
      </c>
      <c r="C4" s="4" t="s">
        <v>3636</v>
      </c>
    </row>
    <row r="5" spans="1:3">
      <c r="A5" t="s">
        <v>3607</v>
      </c>
      <c r="B5" s="4" t="s">
        <v>67</v>
      </c>
      <c r="C5" s="4" t="s">
        <v>3636</v>
      </c>
    </row>
    <row r="6" spans="1:3">
      <c r="A6" t="s">
        <v>3608</v>
      </c>
      <c r="B6" s="4" t="s">
        <v>68</v>
      </c>
      <c r="C6" s="4" t="s">
        <v>3636</v>
      </c>
    </row>
    <row r="7" spans="1:3">
      <c r="A7" t="s">
        <v>3609</v>
      </c>
      <c r="B7" s="4" t="s">
        <v>66</v>
      </c>
      <c r="C7" s="4" t="s">
        <v>3636</v>
      </c>
    </row>
    <row r="8" spans="1:3">
      <c r="A8" t="s">
        <v>3610</v>
      </c>
      <c r="B8" s="4" t="s">
        <v>63</v>
      </c>
      <c r="C8" s="4" t="s">
        <v>3636</v>
      </c>
    </row>
    <row r="9" spans="1:3">
      <c r="A9" t="s">
        <v>3611</v>
      </c>
      <c r="B9" s="4" t="s">
        <v>69</v>
      </c>
      <c r="C9" s="4" t="s">
        <v>3636</v>
      </c>
    </row>
    <row r="10" spans="1:3">
      <c r="A10" t="s">
        <v>3612</v>
      </c>
      <c r="B10" s="4" t="s">
        <v>65</v>
      </c>
      <c r="C10" s="4" t="s">
        <v>3636</v>
      </c>
    </row>
    <row r="11" spans="1:3">
      <c r="A11" t="s">
        <v>3613</v>
      </c>
      <c r="B11" s="4" t="s">
        <v>62</v>
      </c>
      <c r="C11" s="4" t="s">
        <v>3636</v>
      </c>
    </row>
    <row r="12" spans="1:3">
      <c r="A12" t="s">
        <v>3614</v>
      </c>
      <c r="B12" s="4" t="s">
        <v>56</v>
      </c>
      <c r="C12" s="4" t="s">
        <v>3637</v>
      </c>
    </row>
    <row r="13" spans="1:3">
      <c r="A13" t="s">
        <v>3615</v>
      </c>
      <c r="B13" s="4" t="s">
        <v>71</v>
      </c>
      <c r="C13" s="4" t="s">
        <v>3637</v>
      </c>
    </row>
    <row r="14" spans="1:3">
      <c r="A14" t="s">
        <v>3616</v>
      </c>
      <c r="B14" s="4" t="s">
        <v>59</v>
      </c>
      <c r="C14" s="4" t="s">
        <v>3637</v>
      </c>
    </row>
    <row r="15" spans="1:3">
      <c r="A15" t="s">
        <v>3617</v>
      </c>
      <c r="B15" s="4" t="s">
        <v>55</v>
      </c>
      <c r="C15" s="4" t="s">
        <v>3637</v>
      </c>
    </row>
    <row r="16" spans="1:3">
      <c r="A16" t="s">
        <v>3618</v>
      </c>
      <c r="B16" s="4" t="s">
        <v>53</v>
      </c>
      <c r="C16" s="4" t="s">
        <v>3637</v>
      </c>
    </row>
    <row r="17" spans="1:3">
      <c r="A17" t="s">
        <v>3619</v>
      </c>
      <c r="B17" s="4" t="s">
        <v>58</v>
      </c>
      <c r="C17" s="4" t="s">
        <v>3637</v>
      </c>
    </row>
    <row r="18" spans="1:3">
      <c r="A18" t="s">
        <v>3620</v>
      </c>
      <c r="B18" s="4" t="s">
        <v>60</v>
      </c>
      <c r="C18" s="4" t="s">
        <v>3637</v>
      </c>
    </row>
    <row r="19" spans="1:3">
      <c r="A19" t="s">
        <v>3621</v>
      </c>
      <c r="B19" s="4" t="s">
        <v>61</v>
      </c>
      <c r="C19" s="4" t="s">
        <v>3637</v>
      </c>
    </row>
    <row r="20" spans="1:3">
      <c r="A20" t="s">
        <v>3622</v>
      </c>
      <c r="B20" s="4" t="s">
        <v>54</v>
      </c>
      <c r="C20" s="4" t="s">
        <v>3637</v>
      </c>
    </row>
    <row r="21" spans="1:3">
      <c r="A21" t="s">
        <v>3623</v>
      </c>
      <c r="B21" s="4" t="s">
        <v>57</v>
      </c>
      <c r="C21" s="4" t="s">
        <v>3637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F2" sqref="F2"/>
    </sheetView>
  </sheetViews>
  <sheetFormatPr defaultRowHeight="14.4"/>
  <cols>
    <col min="1" max="1" width="19" bestFit="1" customWidth="1"/>
    <col min="2" max="2" width="19.6640625" bestFit="1" customWidth="1"/>
  </cols>
  <sheetData>
    <row r="1" spans="1:2">
      <c r="A1" t="s">
        <v>3638</v>
      </c>
      <c r="B1" t="s">
        <v>3602</v>
      </c>
    </row>
    <row r="2" spans="1:2">
      <c r="A2" t="s">
        <v>3624</v>
      </c>
      <c r="B2" t="s">
        <v>3598</v>
      </c>
    </row>
    <row r="3" spans="1:2">
      <c r="A3" t="s">
        <v>3625</v>
      </c>
      <c r="B3" t="s">
        <v>3599</v>
      </c>
    </row>
    <row r="4" spans="1:2">
      <c r="A4" t="s">
        <v>3626</v>
      </c>
      <c r="B4" t="s">
        <v>3600</v>
      </c>
    </row>
    <row r="5" spans="1:2">
      <c r="A5" t="s">
        <v>3627</v>
      </c>
      <c r="B5" t="s">
        <v>3601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6"/>
  <sheetViews>
    <sheetView topLeftCell="A2" workbookViewId="0">
      <selection activeCell="D10" sqref="D10"/>
    </sheetView>
  </sheetViews>
  <sheetFormatPr defaultRowHeight="14.4"/>
  <cols>
    <col min="1" max="1" width="11.77734375" bestFit="1" customWidth="1"/>
    <col min="2" max="3" width="12.5546875" bestFit="1" customWidth="1"/>
    <col min="4" max="4" width="21.21875" bestFit="1" customWidth="1"/>
    <col min="5" max="5" width="18.109375" customWidth="1"/>
    <col min="6" max="6" width="17.88671875" bestFit="1" customWidth="1"/>
    <col min="7" max="7" width="15.5546875" style="6" bestFit="1" customWidth="1"/>
  </cols>
  <sheetData>
    <row r="1" spans="1:7">
      <c r="A1" s="4" t="s">
        <v>37</v>
      </c>
      <c r="B1" s="9" t="s">
        <v>36</v>
      </c>
      <c r="C1" s="9" t="s">
        <v>0</v>
      </c>
      <c r="D1" s="9" t="s">
        <v>3634</v>
      </c>
      <c r="E1" s="9" t="s">
        <v>3635</v>
      </c>
      <c r="F1" s="9" t="s">
        <v>3639</v>
      </c>
      <c r="G1" s="10" t="s">
        <v>38</v>
      </c>
    </row>
    <row r="2" spans="1:7">
      <c r="A2" s="4" t="s">
        <v>41</v>
      </c>
      <c r="B2" s="9" t="s">
        <v>35</v>
      </c>
      <c r="C2" s="9" t="s">
        <v>73</v>
      </c>
      <c r="D2" s="9" t="s">
        <v>3636</v>
      </c>
      <c r="E2" s="9" t="s">
        <v>3604</v>
      </c>
      <c r="F2" s="9">
        <v>135466053.77000001</v>
      </c>
      <c r="G2" s="10">
        <v>45633</v>
      </c>
    </row>
    <row r="3" spans="1:7">
      <c r="A3" s="4" t="s">
        <v>41</v>
      </c>
      <c r="B3" s="9" t="s">
        <v>35</v>
      </c>
      <c r="C3" s="9" t="s">
        <v>73</v>
      </c>
      <c r="D3" s="9" t="s">
        <v>3636</v>
      </c>
      <c r="E3" s="9" t="s">
        <v>3605</v>
      </c>
      <c r="F3" s="9">
        <v>373581188.62</v>
      </c>
      <c r="G3" s="10">
        <v>45633</v>
      </c>
    </row>
    <row r="4" spans="1:7">
      <c r="A4" s="4" t="s">
        <v>41</v>
      </c>
      <c r="B4" s="9" t="s">
        <v>35</v>
      </c>
      <c r="C4" s="9" t="s">
        <v>73</v>
      </c>
      <c r="D4" s="9" t="s">
        <v>3636</v>
      </c>
      <c r="E4" s="9" t="s">
        <v>3606</v>
      </c>
      <c r="F4" s="9">
        <v>205220561.38999999</v>
      </c>
      <c r="G4" s="10">
        <v>45633</v>
      </c>
    </row>
    <row r="5" spans="1:7">
      <c r="A5" s="4" t="s">
        <v>41</v>
      </c>
      <c r="B5" s="9" t="s">
        <v>35</v>
      </c>
      <c r="C5" s="9" t="s">
        <v>73</v>
      </c>
      <c r="D5" s="9" t="s">
        <v>3636</v>
      </c>
      <c r="E5" s="9" t="s">
        <v>3607</v>
      </c>
      <c r="F5" s="9">
        <v>296522347.55000001</v>
      </c>
      <c r="G5" s="10">
        <v>45633</v>
      </c>
    </row>
    <row r="6" spans="1:7">
      <c r="A6" s="4" t="s">
        <v>41</v>
      </c>
      <c r="B6" s="9" t="s">
        <v>35</v>
      </c>
      <c r="C6" s="9" t="s">
        <v>73</v>
      </c>
      <c r="D6" s="9" t="s">
        <v>3636</v>
      </c>
      <c r="E6" s="9" t="s">
        <v>3608</v>
      </c>
      <c r="F6" s="9">
        <v>209169848.66999999</v>
      </c>
      <c r="G6" s="10">
        <v>45633</v>
      </c>
    </row>
    <row r="7" spans="1:7">
      <c r="A7" s="4" t="s">
        <v>41</v>
      </c>
      <c r="B7" s="9" t="s">
        <v>35</v>
      </c>
      <c r="C7" s="9" t="s">
        <v>73</v>
      </c>
      <c r="D7" s="9" t="s">
        <v>3637</v>
      </c>
      <c r="E7" s="9" t="s">
        <v>3614</v>
      </c>
      <c r="F7" s="9">
        <v>41769203.579999998</v>
      </c>
      <c r="G7" s="10">
        <v>45633</v>
      </c>
    </row>
    <row r="8" spans="1:7">
      <c r="A8" s="4" t="s">
        <v>41</v>
      </c>
      <c r="B8" s="9" t="s">
        <v>35</v>
      </c>
      <c r="C8" s="9" t="s">
        <v>73</v>
      </c>
      <c r="D8" s="9" t="s">
        <v>3637</v>
      </c>
      <c r="E8" s="9" t="s">
        <v>3615</v>
      </c>
      <c r="F8" s="9">
        <v>19337640.260000002</v>
      </c>
      <c r="G8" s="10">
        <v>45633</v>
      </c>
    </row>
    <row r="9" spans="1:7">
      <c r="A9" s="4" t="s">
        <v>41</v>
      </c>
      <c r="B9" s="9" t="s">
        <v>35</v>
      </c>
      <c r="C9" s="9" t="s">
        <v>73</v>
      </c>
      <c r="D9" s="9" t="s">
        <v>3637</v>
      </c>
      <c r="E9" s="9" t="s">
        <v>3616</v>
      </c>
      <c r="F9" s="9">
        <v>28554118.940000001</v>
      </c>
      <c r="G9" s="10">
        <v>45633</v>
      </c>
    </row>
    <row r="10" spans="1:7">
      <c r="A10" s="4" t="s">
        <v>41</v>
      </c>
      <c r="B10" s="9" t="s">
        <v>35</v>
      </c>
      <c r="C10" s="9" t="s">
        <v>73</v>
      </c>
      <c r="D10" s="9" t="s">
        <v>3637</v>
      </c>
      <c r="E10" s="9" t="s">
        <v>3617</v>
      </c>
      <c r="F10" s="9">
        <v>17826459.73</v>
      </c>
      <c r="G10" s="10">
        <v>45633</v>
      </c>
    </row>
    <row r="11" spans="1:7">
      <c r="A11" s="4" t="s">
        <v>41</v>
      </c>
      <c r="B11" s="9" t="s">
        <v>35</v>
      </c>
      <c r="C11" s="9" t="s">
        <v>73</v>
      </c>
      <c r="D11" s="9" t="s">
        <v>3637</v>
      </c>
      <c r="E11" s="9" t="s">
        <v>3618</v>
      </c>
      <c r="F11" s="9">
        <v>63482915.369999997</v>
      </c>
      <c r="G11" s="10">
        <v>45633</v>
      </c>
    </row>
    <row r="12" spans="1:7">
      <c r="A12" s="4" t="s">
        <v>41</v>
      </c>
      <c r="B12" s="9" t="s">
        <v>35</v>
      </c>
      <c r="C12" s="9" t="s">
        <v>73</v>
      </c>
      <c r="D12" s="9" t="s">
        <v>3637</v>
      </c>
      <c r="E12" s="9" t="s">
        <v>3619</v>
      </c>
      <c r="F12" s="9">
        <v>12023662.119999999</v>
      </c>
      <c r="G12" s="10">
        <v>45633</v>
      </c>
    </row>
    <row r="13" spans="1:7">
      <c r="A13" s="4" t="s">
        <v>42</v>
      </c>
      <c r="B13" s="9" t="s">
        <v>35</v>
      </c>
      <c r="C13" s="9" t="s">
        <v>74</v>
      </c>
      <c r="D13" s="9" t="s">
        <v>3636</v>
      </c>
      <c r="E13" s="9" t="s">
        <v>3605</v>
      </c>
      <c r="F13" s="9">
        <v>7482913540.7299995</v>
      </c>
      <c r="G13" s="10">
        <v>45633</v>
      </c>
    </row>
    <row r="14" spans="1:7">
      <c r="A14" s="4" t="s">
        <v>42</v>
      </c>
      <c r="B14" s="9" t="s">
        <v>35</v>
      </c>
      <c r="C14" s="9" t="s">
        <v>74</v>
      </c>
      <c r="D14" s="9" t="s">
        <v>3636</v>
      </c>
      <c r="E14" s="9" t="s">
        <v>3609</v>
      </c>
      <c r="F14" s="9">
        <v>4169284903.5799999</v>
      </c>
      <c r="G14" s="10">
        <v>45633</v>
      </c>
    </row>
    <row r="15" spans="1:7">
      <c r="A15" s="4" t="s">
        <v>42</v>
      </c>
      <c r="B15" s="9" t="s">
        <v>35</v>
      </c>
      <c r="C15" s="9" t="s">
        <v>74</v>
      </c>
      <c r="D15" s="9" t="s">
        <v>3636</v>
      </c>
      <c r="E15" s="9" t="s">
        <v>3607</v>
      </c>
      <c r="F15" s="9">
        <v>3012775418.2600002</v>
      </c>
      <c r="G15" s="10">
        <v>45633</v>
      </c>
    </row>
    <row r="16" spans="1:7">
      <c r="A16" s="4" t="s">
        <v>42</v>
      </c>
      <c r="B16" s="9" t="s">
        <v>35</v>
      </c>
      <c r="C16" s="9" t="s">
        <v>74</v>
      </c>
      <c r="D16" s="9" t="s">
        <v>3636</v>
      </c>
      <c r="E16" s="9" t="s">
        <v>3610</v>
      </c>
      <c r="F16" s="9">
        <v>2186940662.9099998</v>
      </c>
      <c r="G16" s="10">
        <v>45633</v>
      </c>
    </row>
    <row r="17" spans="1:7">
      <c r="A17" s="4" t="s">
        <v>42</v>
      </c>
      <c r="B17" s="9" t="s">
        <v>35</v>
      </c>
      <c r="C17" s="9" t="s">
        <v>74</v>
      </c>
      <c r="D17" s="9" t="s">
        <v>3636</v>
      </c>
      <c r="E17" s="9" t="s">
        <v>3611</v>
      </c>
      <c r="F17" s="9">
        <v>1253085474.52</v>
      </c>
      <c r="G17" s="10">
        <v>45633</v>
      </c>
    </row>
    <row r="18" spans="1:7">
      <c r="A18" s="4" t="s">
        <v>42</v>
      </c>
      <c r="B18" s="9" t="s">
        <v>35</v>
      </c>
      <c r="C18" s="9" t="s">
        <v>74</v>
      </c>
      <c r="D18" s="9" t="s">
        <v>3637</v>
      </c>
      <c r="E18" s="9" t="s">
        <v>3615</v>
      </c>
      <c r="F18" s="9">
        <v>214890661.72999999</v>
      </c>
      <c r="G18" s="10">
        <v>45633</v>
      </c>
    </row>
    <row r="19" spans="1:7">
      <c r="A19" s="4" t="s">
        <v>42</v>
      </c>
      <c r="B19" s="9" t="s">
        <v>35</v>
      </c>
      <c r="C19" s="9" t="s">
        <v>74</v>
      </c>
      <c r="D19" s="9" t="s">
        <v>3637</v>
      </c>
      <c r="E19" s="9" t="s">
        <v>3618</v>
      </c>
      <c r="F19" s="9">
        <v>924613845.37</v>
      </c>
      <c r="G19" s="10">
        <v>45633</v>
      </c>
    </row>
    <row r="20" spans="1:7">
      <c r="A20" s="4" t="s">
        <v>42</v>
      </c>
      <c r="B20" s="9" t="s">
        <v>35</v>
      </c>
      <c r="C20" s="9" t="s">
        <v>74</v>
      </c>
      <c r="D20" s="9" t="s">
        <v>3637</v>
      </c>
      <c r="E20" s="9" t="s">
        <v>3614</v>
      </c>
      <c r="F20" s="9">
        <v>301755284.19</v>
      </c>
      <c r="G20" s="10">
        <v>45633</v>
      </c>
    </row>
    <row r="21" spans="1:7">
      <c r="A21" s="4" t="s">
        <v>42</v>
      </c>
      <c r="B21" s="9" t="s">
        <v>35</v>
      </c>
      <c r="C21" s="9" t="s">
        <v>74</v>
      </c>
      <c r="D21" s="9" t="s">
        <v>3637</v>
      </c>
      <c r="E21" s="9" t="s">
        <v>3620</v>
      </c>
      <c r="F21" s="9">
        <v>135790535.91</v>
      </c>
      <c r="G21" s="10">
        <v>45633</v>
      </c>
    </row>
    <row r="22" spans="1:7">
      <c r="A22" s="4" t="s">
        <v>42</v>
      </c>
      <c r="B22" s="9" t="s">
        <v>35</v>
      </c>
      <c r="C22" s="9" t="s">
        <v>74</v>
      </c>
      <c r="D22" s="9" t="s">
        <v>3637</v>
      </c>
      <c r="E22" s="9" t="s">
        <v>3617</v>
      </c>
      <c r="F22" s="9">
        <v>187456908.44</v>
      </c>
      <c r="G22" s="10">
        <v>45633</v>
      </c>
    </row>
    <row r="23" spans="1:7">
      <c r="A23" s="4" t="s">
        <v>42</v>
      </c>
      <c r="B23" s="9" t="s">
        <v>35</v>
      </c>
      <c r="C23" s="9" t="s">
        <v>74</v>
      </c>
      <c r="D23" s="9" t="s">
        <v>3637</v>
      </c>
      <c r="E23" s="9" t="s">
        <v>3616</v>
      </c>
      <c r="F23" s="9">
        <v>412968573.83999997</v>
      </c>
      <c r="G23" s="10">
        <v>45633</v>
      </c>
    </row>
    <row r="24" spans="1:7">
      <c r="A24" s="4" t="s">
        <v>42</v>
      </c>
      <c r="B24" s="9" t="s">
        <v>35</v>
      </c>
      <c r="C24" s="9" t="s">
        <v>74</v>
      </c>
      <c r="D24" s="9" t="s">
        <v>3637</v>
      </c>
      <c r="E24" s="9" t="s">
        <v>3621</v>
      </c>
      <c r="F24" s="9">
        <v>538274190.51999998</v>
      </c>
      <c r="G24" s="10">
        <v>45633</v>
      </c>
    </row>
    <row r="25" spans="1:7">
      <c r="A25" s="4" t="s">
        <v>43</v>
      </c>
      <c r="B25" s="9" t="s">
        <v>35</v>
      </c>
      <c r="C25" s="9" t="s">
        <v>75</v>
      </c>
      <c r="D25" s="9" t="s">
        <v>3636</v>
      </c>
      <c r="E25" s="9" t="s">
        <v>3607</v>
      </c>
      <c r="F25" s="9">
        <v>230696534.27000001</v>
      </c>
      <c r="G25" s="10">
        <v>45633</v>
      </c>
    </row>
    <row r="26" spans="1:7">
      <c r="A26" s="4" t="s">
        <v>43</v>
      </c>
      <c r="B26" s="9" t="s">
        <v>35</v>
      </c>
      <c r="C26" s="9" t="s">
        <v>75</v>
      </c>
      <c r="D26" s="9" t="s">
        <v>3636</v>
      </c>
      <c r="E26" s="9" t="s">
        <v>3612</v>
      </c>
      <c r="F26" s="9">
        <v>282687541.94999999</v>
      </c>
      <c r="G26" s="10">
        <v>45633</v>
      </c>
    </row>
    <row r="27" spans="1:7">
      <c r="A27" s="4" t="s">
        <v>43</v>
      </c>
      <c r="B27" s="9" t="s">
        <v>35</v>
      </c>
      <c r="C27" s="9" t="s">
        <v>75</v>
      </c>
      <c r="D27" s="9" t="s">
        <v>3636</v>
      </c>
      <c r="E27" s="9" t="s">
        <v>3606</v>
      </c>
      <c r="F27" s="9">
        <v>300409246.19999999</v>
      </c>
      <c r="G27" s="10">
        <v>45633</v>
      </c>
    </row>
    <row r="28" spans="1:7">
      <c r="A28" s="4" t="s">
        <v>43</v>
      </c>
      <c r="B28" s="9" t="s">
        <v>35</v>
      </c>
      <c r="C28" s="9" t="s">
        <v>75</v>
      </c>
      <c r="D28" s="9" t="s">
        <v>3636</v>
      </c>
      <c r="E28" s="9" t="s">
        <v>3613</v>
      </c>
      <c r="F28" s="9">
        <v>942075052.89999998</v>
      </c>
      <c r="G28" s="10">
        <v>45633</v>
      </c>
    </row>
    <row r="29" spans="1:7">
      <c r="A29" s="4" t="s">
        <v>43</v>
      </c>
      <c r="B29" s="9" t="s">
        <v>35</v>
      </c>
      <c r="C29" s="9" t="s">
        <v>75</v>
      </c>
      <c r="D29" s="9" t="s">
        <v>3636</v>
      </c>
      <c r="E29" s="9" t="s">
        <v>3605</v>
      </c>
      <c r="F29" s="9">
        <v>477941624.68000001</v>
      </c>
      <c r="G29" s="10">
        <v>45633</v>
      </c>
    </row>
    <row r="30" spans="1:7">
      <c r="A30" s="4" t="s">
        <v>43</v>
      </c>
      <c r="B30" s="9" t="s">
        <v>35</v>
      </c>
      <c r="C30" s="9" t="s">
        <v>75</v>
      </c>
      <c r="D30" s="9" t="s">
        <v>3637</v>
      </c>
      <c r="E30" s="9" t="s">
        <v>3616</v>
      </c>
      <c r="F30" s="9">
        <v>140547267.25999999</v>
      </c>
      <c r="G30" s="10">
        <v>45633</v>
      </c>
    </row>
    <row r="31" spans="1:7">
      <c r="A31" s="4" t="s">
        <v>43</v>
      </c>
      <c r="B31" s="9" t="s">
        <v>35</v>
      </c>
      <c r="C31" s="9" t="s">
        <v>75</v>
      </c>
      <c r="D31" s="9" t="s">
        <v>3637</v>
      </c>
      <c r="E31" s="9" t="s">
        <v>3619</v>
      </c>
      <c r="F31" s="9">
        <v>216222750.88</v>
      </c>
      <c r="G31" s="10">
        <v>45633</v>
      </c>
    </row>
    <row r="32" spans="1:7">
      <c r="A32" s="4" t="s">
        <v>43</v>
      </c>
      <c r="B32" s="9" t="s">
        <v>35</v>
      </c>
      <c r="C32" s="9" t="s">
        <v>75</v>
      </c>
      <c r="D32" s="9" t="s">
        <v>3637</v>
      </c>
      <c r="E32" s="9" t="s">
        <v>3615</v>
      </c>
      <c r="F32" s="9">
        <v>114117952.87</v>
      </c>
      <c r="G32" s="10">
        <v>45633</v>
      </c>
    </row>
    <row r="33" spans="1:7">
      <c r="A33" s="4" t="s">
        <v>43</v>
      </c>
      <c r="B33" s="9" t="s">
        <v>35</v>
      </c>
      <c r="C33" s="9" t="s">
        <v>75</v>
      </c>
      <c r="D33" s="9" t="s">
        <v>3637</v>
      </c>
      <c r="E33" s="9" t="s">
        <v>3621</v>
      </c>
      <c r="F33" s="9">
        <v>232465267.18000001</v>
      </c>
      <c r="G33" s="10">
        <v>45633</v>
      </c>
    </row>
    <row r="34" spans="1:7">
      <c r="A34" s="4" t="s">
        <v>43</v>
      </c>
      <c r="B34" s="9" t="s">
        <v>35</v>
      </c>
      <c r="C34" s="9" t="s">
        <v>75</v>
      </c>
      <c r="D34" s="9" t="s">
        <v>3637</v>
      </c>
      <c r="E34" s="9" t="s">
        <v>3618</v>
      </c>
      <c r="F34" s="9">
        <v>41957023.979999997</v>
      </c>
      <c r="G34" s="10">
        <v>45633</v>
      </c>
    </row>
    <row r="35" spans="1:7">
      <c r="A35" s="4" t="s">
        <v>43</v>
      </c>
      <c r="B35" s="9" t="s">
        <v>35</v>
      </c>
      <c r="C35" s="9" t="s">
        <v>75</v>
      </c>
      <c r="D35" s="9" t="s">
        <v>3637</v>
      </c>
      <c r="E35" s="9" t="s">
        <v>3614</v>
      </c>
      <c r="F35" s="9">
        <v>148213737.83000001</v>
      </c>
      <c r="G35" s="10">
        <v>45633</v>
      </c>
    </row>
    <row r="36" spans="1:7">
      <c r="A36" s="4" t="s">
        <v>44</v>
      </c>
      <c r="B36" s="9" t="s">
        <v>35</v>
      </c>
      <c r="C36" s="9" t="s">
        <v>76</v>
      </c>
      <c r="D36" s="9" t="s">
        <v>3636</v>
      </c>
      <c r="E36" s="9" t="s">
        <v>3611</v>
      </c>
      <c r="F36" s="9">
        <v>290751828.99000001</v>
      </c>
      <c r="G36" s="10">
        <v>45633</v>
      </c>
    </row>
    <row r="37" spans="1:7">
      <c r="A37" s="4" t="s">
        <v>44</v>
      </c>
      <c r="B37" s="9" t="s">
        <v>35</v>
      </c>
      <c r="C37" s="9" t="s">
        <v>76</v>
      </c>
      <c r="D37" s="9" t="s">
        <v>3636</v>
      </c>
      <c r="E37" s="9" t="s">
        <v>3604</v>
      </c>
      <c r="F37" s="9">
        <v>362087070.07999998</v>
      </c>
      <c r="G37" s="10">
        <v>45633</v>
      </c>
    </row>
    <row r="38" spans="1:7">
      <c r="A38" s="4" t="s">
        <v>44</v>
      </c>
      <c r="B38" s="9" t="s">
        <v>35</v>
      </c>
      <c r="C38" s="9" t="s">
        <v>76</v>
      </c>
      <c r="D38" s="9" t="s">
        <v>3636</v>
      </c>
      <c r="E38" s="9" t="s">
        <v>3609</v>
      </c>
      <c r="F38" s="9">
        <v>184604188.09</v>
      </c>
      <c r="G38" s="10">
        <v>45633</v>
      </c>
    </row>
    <row r="39" spans="1:7">
      <c r="A39" s="4" t="s">
        <v>44</v>
      </c>
      <c r="B39" s="9" t="s">
        <v>35</v>
      </c>
      <c r="C39" s="9" t="s">
        <v>76</v>
      </c>
      <c r="D39" s="9" t="s">
        <v>3636</v>
      </c>
      <c r="E39" s="9" t="s">
        <v>3608</v>
      </c>
      <c r="F39" s="9">
        <v>237719055.75999999</v>
      </c>
      <c r="G39" s="10">
        <v>45633</v>
      </c>
    </row>
    <row r="40" spans="1:7">
      <c r="A40" s="4" t="s">
        <v>44</v>
      </c>
      <c r="B40" s="9" t="s">
        <v>35</v>
      </c>
      <c r="C40" s="9" t="s">
        <v>76</v>
      </c>
      <c r="D40" s="9" t="s">
        <v>3636</v>
      </c>
      <c r="E40" s="9" t="s">
        <v>3606</v>
      </c>
      <c r="F40" s="9">
        <v>385620806.75999999</v>
      </c>
      <c r="G40" s="10">
        <v>45633</v>
      </c>
    </row>
    <row r="41" spans="1:7">
      <c r="A41" s="4" t="s">
        <v>44</v>
      </c>
      <c r="B41" s="9" t="s">
        <v>35</v>
      </c>
      <c r="C41" s="9" t="s">
        <v>76</v>
      </c>
      <c r="D41" s="9" t="s">
        <v>3636</v>
      </c>
      <c r="E41" s="9" t="s">
        <v>3605</v>
      </c>
      <c r="F41" s="9">
        <v>374377050.31999999</v>
      </c>
      <c r="G41" s="10">
        <v>45633</v>
      </c>
    </row>
    <row r="42" spans="1:7">
      <c r="A42" s="4" t="s">
        <v>44</v>
      </c>
      <c r="B42" s="9" t="s">
        <v>35</v>
      </c>
      <c r="C42" s="9" t="s">
        <v>76</v>
      </c>
      <c r="D42" s="9" t="s">
        <v>3637</v>
      </c>
      <c r="E42" s="9" t="s">
        <v>3617</v>
      </c>
      <c r="F42" s="9">
        <v>154811034.34</v>
      </c>
      <c r="G42" s="10">
        <v>45633</v>
      </c>
    </row>
    <row r="43" spans="1:7">
      <c r="A43" s="4" t="s">
        <v>44</v>
      </c>
      <c r="B43" s="9" t="s">
        <v>35</v>
      </c>
      <c r="C43" s="9" t="s">
        <v>76</v>
      </c>
      <c r="D43" s="9" t="s">
        <v>3637</v>
      </c>
      <c r="E43" s="9" t="s">
        <v>3615</v>
      </c>
      <c r="F43" s="9">
        <v>124451678.3</v>
      </c>
      <c r="G43" s="10">
        <v>45633</v>
      </c>
    </row>
    <row r="44" spans="1:7">
      <c r="A44" s="4" t="s">
        <v>44</v>
      </c>
      <c r="B44" s="9" t="s">
        <v>35</v>
      </c>
      <c r="C44" s="9" t="s">
        <v>76</v>
      </c>
      <c r="D44" s="9" t="s">
        <v>3637</v>
      </c>
      <c r="E44" s="9" t="s">
        <v>3614</v>
      </c>
      <c r="F44" s="9">
        <v>17877395.210000001</v>
      </c>
      <c r="G44" s="10">
        <v>45633</v>
      </c>
    </row>
    <row r="45" spans="1:7">
      <c r="A45" s="4" t="s">
        <v>44</v>
      </c>
      <c r="B45" s="9" t="s">
        <v>35</v>
      </c>
      <c r="C45" s="9" t="s">
        <v>76</v>
      </c>
      <c r="D45" s="9" t="s">
        <v>3637</v>
      </c>
      <c r="E45" s="9" t="s">
        <v>3619</v>
      </c>
      <c r="F45" s="9">
        <v>106560585.2</v>
      </c>
      <c r="G45" s="10">
        <v>45633</v>
      </c>
    </row>
    <row r="46" spans="1:7">
      <c r="A46" s="4" t="s">
        <v>44</v>
      </c>
      <c r="B46" s="9" t="s">
        <v>35</v>
      </c>
      <c r="C46" s="9" t="s">
        <v>76</v>
      </c>
      <c r="D46" s="9" t="s">
        <v>3637</v>
      </c>
      <c r="E46" s="9" t="s">
        <v>3622</v>
      </c>
      <c r="F46" s="9">
        <v>121821147.95999999</v>
      </c>
      <c r="G46" s="10">
        <v>45633</v>
      </c>
    </row>
    <row r="47" spans="1:7">
      <c r="A47" s="4" t="s">
        <v>44</v>
      </c>
      <c r="B47" s="9" t="s">
        <v>35</v>
      </c>
      <c r="C47" s="9" t="s">
        <v>76</v>
      </c>
      <c r="D47" s="9" t="s">
        <v>3637</v>
      </c>
      <c r="E47" s="9" t="s">
        <v>3620</v>
      </c>
      <c r="F47" s="9">
        <v>73336261.120000005</v>
      </c>
      <c r="G47" s="10">
        <v>45633</v>
      </c>
    </row>
    <row r="48" spans="1:7">
      <c r="A48" s="4" t="s">
        <v>44</v>
      </c>
      <c r="B48" s="9" t="s">
        <v>35</v>
      </c>
      <c r="C48" s="9" t="s">
        <v>76</v>
      </c>
      <c r="D48" s="9" t="s">
        <v>3637</v>
      </c>
      <c r="E48" s="9" t="s">
        <v>3621</v>
      </c>
      <c r="F48" s="9">
        <v>135205897.87</v>
      </c>
      <c r="G48" s="10">
        <v>45633</v>
      </c>
    </row>
    <row r="49" spans="1:7">
      <c r="A49" s="4" t="s">
        <v>45</v>
      </c>
      <c r="B49" s="9" t="s">
        <v>35</v>
      </c>
      <c r="C49" s="9" t="s">
        <v>77</v>
      </c>
      <c r="D49" s="9" t="s">
        <v>3636</v>
      </c>
      <c r="E49" s="9" t="s">
        <v>3612</v>
      </c>
      <c r="F49" s="9">
        <v>305584474</v>
      </c>
      <c r="G49" s="10">
        <v>45633</v>
      </c>
    </row>
    <row r="50" spans="1:7">
      <c r="A50" s="4" t="s">
        <v>45</v>
      </c>
      <c r="B50" s="9" t="s">
        <v>35</v>
      </c>
      <c r="C50" s="9" t="s">
        <v>77</v>
      </c>
      <c r="D50" s="9" t="s">
        <v>3636</v>
      </c>
      <c r="E50" s="9" t="s">
        <v>3605</v>
      </c>
      <c r="F50" s="9">
        <v>120737588.36</v>
      </c>
      <c r="G50" s="10">
        <v>45633</v>
      </c>
    </row>
    <row r="51" spans="1:7">
      <c r="A51" s="4" t="s">
        <v>45</v>
      </c>
      <c r="B51" s="9" t="s">
        <v>35</v>
      </c>
      <c r="C51" s="9" t="s">
        <v>77</v>
      </c>
      <c r="D51" s="9" t="s">
        <v>3636</v>
      </c>
      <c r="E51" s="9" t="s">
        <v>3607</v>
      </c>
      <c r="F51" s="9">
        <v>441756632.45999998</v>
      </c>
      <c r="G51" s="10">
        <v>45633</v>
      </c>
    </row>
    <row r="52" spans="1:7">
      <c r="A52" s="4" t="s">
        <v>45</v>
      </c>
      <c r="B52" s="9" t="s">
        <v>35</v>
      </c>
      <c r="C52" s="9" t="s">
        <v>77</v>
      </c>
      <c r="D52" s="9" t="s">
        <v>3636</v>
      </c>
      <c r="E52" s="9" t="s">
        <v>3610</v>
      </c>
      <c r="F52" s="9">
        <v>379966847.67000002</v>
      </c>
      <c r="G52" s="10">
        <v>45633</v>
      </c>
    </row>
    <row r="53" spans="1:7">
      <c r="A53" s="4" t="s">
        <v>45</v>
      </c>
      <c r="B53" s="9" t="s">
        <v>35</v>
      </c>
      <c r="C53" s="9" t="s">
        <v>77</v>
      </c>
      <c r="D53" s="9" t="s">
        <v>3636</v>
      </c>
      <c r="E53" s="9" t="s">
        <v>3613</v>
      </c>
      <c r="F53" s="9">
        <v>426478753.10000002</v>
      </c>
      <c r="G53" s="10">
        <v>45633</v>
      </c>
    </row>
    <row r="54" spans="1:7">
      <c r="A54" s="4" t="s">
        <v>45</v>
      </c>
      <c r="B54" s="9" t="s">
        <v>35</v>
      </c>
      <c r="C54" s="9" t="s">
        <v>77</v>
      </c>
      <c r="D54" s="9" t="s">
        <v>3636</v>
      </c>
      <c r="E54" s="9" t="s">
        <v>3604</v>
      </c>
      <c r="F54" s="9">
        <v>91235704.409999996</v>
      </c>
      <c r="G54" s="10">
        <v>45633</v>
      </c>
    </row>
    <row r="55" spans="1:7">
      <c r="A55" s="4" t="s">
        <v>45</v>
      </c>
      <c r="B55" s="9" t="s">
        <v>35</v>
      </c>
      <c r="C55" s="9" t="s">
        <v>77</v>
      </c>
      <c r="D55" s="9" t="s">
        <v>3637</v>
      </c>
      <c r="E55" s="9" t="s">
        <v>3616</v>
      </c>
      <c r="F55" s="9">
        <v>119006560.81999999</v>
      </c>
      <c r="G55" s="10">
        <v>45633</v>
      </c>
    </row>
    <row r="56" spans="1:7">
      <c r="A56" s="4" t="s">
        <v>45</v>
      </c>
      <c r="B56" s="9" t="s">
        <v>35</v>
      </c>
      <c r="C56" s="9" t="s">
        <v>77</v>
      </c>
      <c r="D56" s="9" t="s">
        <v>3637</v>
      </c>
      <c r="E56" s="9" t="s">
        <v>3620</v>
      </c>
      <c r="F56" s="9">
        <v>52992603.18</v>
      </c>
      <c r="G56" s="10">
        <v>45633</v>
      </c>
    </row>
    <row r="57" spans="1:7">
      <c r="A57" s="4" t="s">
        <v>45</v>
      </c>
      <c r="B57" s="9" t="s">
        <v>35</v>
      </c>
      <c r="C57" s="9" t="s">
        <v>77</v>
      </c>
      <c r="D57" s="9" t="s">
        <v>3637</v>
      </c>
      <c r="E57" s="9" t="s">
        <v>3617</v>
      </c>
      <c r="F57" s="9">
        <v>58292975.82</v>
      </c>
      <c r="G57" s="10">
        <v>45633</v>
      </c>
    </row>
    <row r="58" spans="1:7">
      <c r="A58" s="4" t="s">
        <v>45</v>
      </c>
      <c r="B58" s="9" t="s">
        <v>35</v>
      </c>
      <c r="C58" s="9" t="s">
        <v>77</v>
      </c>
      <c r="D58" s="9" t="s">
        <v>3637</v>
      </c>
      <c r="E58" s="9" t="s">
        <v>3618</v>
      </c>
      <c r="F58" s="9">
        <v>134027461.40000001</v>
      </c>
      <c r="G58" s="10">
        <v>45633</v>
      </c>
    </row>
    <row r="59" spans="1:7">
      <c r="A59" s="4" t="s">
        <v>45</v>
      </c>
      <c r="B59" s="9" t="s">
        <v>35</v>
      </c>
      <c r="C59" s="9" t="s">
        <v>77</v>
      </c>
      <c r="D59" s="9" t="s">
        <v>3637</v>
      </c>
      <c r="E59" s="9" t="s">
        <v>3622</v>
      </c>
      <c r="F59" s="9">
        <v>145371229.22999999</v>
      </c>
      <c r="G59" s="10">
        <v>45633</v>
      </c>
    </row>
    <row r="60" spans="1:7">
      <c r="A60" s="4" t="s">
        <v>45</v>
      </c>
      <c r="B60" s="9" t="s">
        <v>35</v>
      </c>
      <c r="C60" s="9" t="s">
        <v>77</v>
      </c>
      <c r="D60" s="9" t="s">
        <v>3637</v>
      </c>
      <c r="E60" s="9" t="s">
        <v>3615</v>
      </c>
      <c r="F60" s="9">
        <v>82384175.650000006</v>
      </c>
      <c r="G60" s="10">
        <v>45633</v>
      </c>
    </row>
    <row r="61" spans="1:7">
      <c r="A61" s="4" t="s">
        <v>45</v>
      </c>
      <c r="B61" s="9" t="s">
        <v>35</v>
      </c>
      <c r="C61" s="9" t="s">
        <v>77</v>
      </c>
      <c r="D61" s="9" t="s">
        <v>3637</v>
      </c>
      <c r="E61" s="9" t="s">
        <v>3619</v>
      </c>
      <c r="F61" s="9">
        <v>114228993.90000001</v>
      </c>
      <c r="G61" s="10">
        <v>45633</v>
      </c>
    </row>
    <row r="62" spans="1:7">
      <c r="A62" s="4" t="s">
        <v>46</v>
      </c>
      <c r="B62" s="9" t="s">
        <v>35</v>
      </c>
      <c r="C62" s="9" t="s">
        <v>78</v>
      </c>
      <c r="D62" s="9" t="s">
        <v>3636</v>
      </c>
      <c r="E62" s="9" t="s">
        <v>3613</v>
      </c>
      <c r="F62" s="9">
        <v>231897466.78</v>
      </c>
      <c r="G62" s="10">
        <v>45633</v>
      </c>
    </row>
    <row r="63" spans="1:7">
      <c r="A63" s="4" t="s">
        <v>46</v>
      </c>
      <c r="B63" s="9" t="s">
        <v>35</v>
      </c>
      <c r="C63" s="9" t="s">
        <v>78</v>
      </c>
      <c r="D63" s="9" t="s">
        <v>3636</v>
      </c>
      <c r="E63" s="9" t="s">
        <v>3612</v>
      </c>
      <c r="F63" s="9">
        <v>89861241.549999997</v>
      </c>
      <c r="G63" s="10">
        <v>45633</v>
      </c>
    </row>
    <row r="64" spans="1:7">
      <c r="A64" s="4" t="s">
        <v>46</v>
      </c>
      <c r="B64" s="9" t="s">
        <v>35</v>
      </c>
      <c r="C64" s="9" t="s">
        <v>78</v>
      </c>
      <c r="D64" s="9" t="s">
        <v>3636</v>
      </c>
      <c r="E64" s="9" t="s">
        <v>3610</v>
      </c>
      <c r="F64" s="9">
        <v>132107696.15000001</v>
      </c>
      <c r="G64" s="10">
        <v>45633</v>
      </c>
    </row>
    <row r="65" spans="1:7">
      <c r="A65" s="4" t="s">
        <v>46</v>
      </c>
      <c r="B65" s="9" t="s">
        <v>35</v>
      </c>
      <c r="C65" s="9" t="s">
        <v>78</v>
      </c>
      <c r="D65" s="9" t="s">
        <v>3636</v>
      </c>
      <c r="E65" s="9" t="s">
        <v>3606</v>
      </c>
      <c r="F65" s="9">
        <v>210312255.28</v>
      </c>
      <c r="G65" s="10">
        <v>45633</v>
      </c>
    </row>
    <row r="66" spans="1:7">
      <c r="A66" s="4" t="s">
        <v>46</v>
      </c>
      <c r="B66" s="9" t="s">
        <v>35</v>
      </c>
      <c r="C66" s="9" t="s">
        <v>78</v>
      </c>
      <c r="D66" s="9" t="s">
        <v>3636</v>
      </c>
      <c r="E66" s="9" t="s">
        <v>3607</v>
      </c>
      <c r="F66" s="9">
        <v>53951340.240000002</v>
      </c>
      <c r="G66" s="10">
        <v>45633</v>
      </c>
    </row>
    <row r="67" spans="1:7">
      <c r="A67" s="4" t="s">
        <v>46</v>
      </c>
      <c r="B67" s="9" t="s">
        <v>35</v>
      </c>
      <c r="C67" s="9" t="s">
        <v>78</v>
      </c>
      <c r="D67" s="9" t="s">
        <v>3637</v>
      </c>
      <c r="E67" s="9" t="s">
        <v>3614</v>
      </c>
      <c r="F67" s="9">
        <v>5321614.93</v>
      </c>
      <c r="G67" s="10">
        <v>45633</v>
      </c>
    </row>
    <row r="68" spans="1:7">
      <c r="A68" s="4" t="s">
        <v>46</v>
      </c>
      <c r="B68" s="9" t="s">
        <v>35</v>
      </c>
      <c r="C68" s="9" t="s">
        <v>78</v>
      </c>
      <c r="D68" s="9" t="s">
        <v>3637</v>
      </c>
      <c r="E68" s="9" t="s">
        <v>3617</v>
      </c>
      <c r="F68" s="9">
        <v>2534771.79</v>
      </c>
      <c r="G68" s="10">
        <v>45633</v>
      </c>
    </row>
    <row r="69" spans="1:7">
      <c r="A69" s="4" t="s">
        <v>46</v>
      </c>
      <c r="B69" s="9" t="s">
        <v>35</v>
      </c>
      <c r="C69" s="9" t="s">
        <v>78</v>
      </c>
      <c r="D69" s="9" t="s">
        <v>3637</v>
      </c>
      <c r="E69" s="9" t="s">
        <v>3621</v>
      </c>
      <c r="F69" s="9">
        <v>549768.06999999995</v>
      </c>
      <c r="G69" s="10">
        <v>45633</v>
      </c>
    </row>
    <row r="70" spans="1:7">
      <c r="A70" s="4" t="s">
        <v>46</v>
      </c>
      <c r="B70" s="9" t="s">
        <v>35</v>
      </c>
      <c r="C70" s="9" t="s">
        <v>78</v>
      </c>
      <c r="D70" s="9" t="s">
        <v>3637</v>
      </c>
      <c r="E70" s="9" t="s">
        <v>3620</v>
      </c>
      <c r="F70" s="9">
        <v>5849000.0700000003</v>
      </c>
      <c r="G70" s="10">
        <v>45633</v>
      </c>
    </row>
    <row r="71" spans="1:7">
      <c r="A71" s="4" t="s">
        <v>46</v>
      </c>
      <c r="B71" s="9" t="s">
        <v>35</v>
      </c>
      <c r="C71" s="9" t="s">
        <v>78</v>
      </c>
      <c r="D71" s="9" t="s">
        <v>3637</v>
      </c>
      <c r="E71" s="9" t="s">
        <v>3615</v>
      </c>
      <c r="F71" s="9">
        <v>2286103.4700000002</v>
      </c>
      <c r="G71" s="10">
        <v>45633</v>
      </c>
    </row>
    <row r="72" spans="1:7">
      <c r="A72" s="4" t="s">
        <v>46</v>
      </c>
      <c r="B72" s="9" t="s">
        <v>35</v>
      </c>
      <c r="C72" s="9" t="s">
        <v>78</v>
      </c>
      <c r="D72" s="9" t="s">
        <v>3637</v>
      </c>
      <c r="E72" s="9" t="s">
        <v>3618</v>
      </c>
      <c r="F72" s="9">
        <v>10459044.27</v>
      </c>
      <c r="G72" s="10">
        <v>45633</v>
      </c>
    </row>
    <row r="73" spans="1:7">
      <c r="A73" s="4" t="s">
        <v>46</v>
      </c>
      <c r="B73" s="9" t="s">
        <v>35</v>
      </c>
      <c r="C73" s="9" t="s">
        <v>78</v>
      </c>
      <c r="D73" s="9" t="s">
        <v>3637</v>
      </c>
      <c r="E73" s="9" t="s">
        <v>3623</v>
      </c>
      <c r="F73" s="9">
        <v>8906197.4000000004</v>
      </c>
      <c r="G73" s="10">
        <v>45633</v>
      </c>
    </row>
    <row r="74" spans="1:7">
      <c r="A74" s="4" t="s">
        <v>47</v>
      </c>
      <c r="B74" s="9" t="s">
        <v>35</v>
      </c>
      <c r="C74" s="9" t="s">
        <v>79</v>
      </c>
      <c r="D74" s="9" t="s">
        <v>3636</v>
      </c>
      <c r="E74" s="9" t="s">
        <v>3606</v>
      </c>
      <c r="F74" s="9">
        <v>94505551.299999997</v>
      </c>
      <c r="G74" s="10">
        <v>45633</v>
      </c>
    </row>
    <row r="75" spans="1:7">
      <c r="A75" s="4" t="s">
        <v>47</v>
      </c>
      <c r="B75" s="9" t="s">
        <v>35</v>
      </c>
      <c r="C75" s="9" t="s">
        <v>79</v>
      </c>
      <c r="D75" s="9" t="s">
        <v>3636</v>
      </c>
      <c r="E75" s="9" t="s">
        <v>3611</v>
      </c>
      <c r="F75" s="9">
        <v>215513151.91999999</v>
      </c>
      <c r="G75" s="10">
        <v>45633</v>
      </c>
    </row>
    <row r="76" spans="1:7">
      <c r="A76" s="4" t="s">
        <v>47</v>
      </c>
      <c r="B76" s="9" t="s">
        <v>35</v>
      </c>
      <c r="C76" s="9" t="s">
        <v>79</v>
      </c>
      <c r="D76" s="9" t="s">
        <v>3636</v>
      </c>
      <c r="E76" s="9" t="s">
        <v>3613</v>
      </c>
      <c r="F76" s="9">
        <v>121671036.5</v>
      </c>
      <c r="G76" s="10">
        <v>45633</v>
      </c>
    </row>
    <row r="77" spans="1:7">
      <c r="A77" s="4" t="s">
        <v>47</v>
      </c>
      <c r="B77" s="9" t="s">
        <v>35</v>
      </c>
      <c r="C77" s="9" t="s">
        <v>79</v>
      </c>
      <c r="D77" s="9" t="s">
        <v>3636</v>
      </c>
      <c r="E77" s="9" t="s">
        <v>3607</v>
      </c>
      <c r="F77" s="9">
        <v>78642772.079999998</v>
      </c>
      <c r="G77" s="10">
        <v>45633</v>
      </c>
    </row>
    <row r="78" spans="1:7">
      <c r="A78" s="4" t="s">
        <v>47</v>
      </c>
      <c r="B78" s="9" t="s">
        <v>35</v>
      </c>
      <c r="C78" s="9" t="s">
        <v>79</v>
      </c>
      <c r="D78" s="9" t="s">
        <v>3636</v>
      </c>
      <c r="E78" s="9" t="s">
        <v>3604</v>
      </c>
      <c r="F78" s="9">
        <v>55286180.07</v>
      </c>
      <c r="G78" s="10">
        <v>45633</v>
      </c>
    </row>
    <row r="79" spans="1:7">
      <c r="A79" s="4" t="s">
        <v>47</v>
      </c>
      <c r="B79" s="9" t="s">
        <v>35</v>
      </c>
      <c r="C79" s="9" t="s">
        <v>79</v>
      </c>
      <c r="D79" s="9" t="s">
        <v>3636</v>
      </c>
      <c r="E79" s="9" t="s">
        <v>3605</v>
      </c>
      <c r="F79" s="9">
        <v>47609448.200000003</v>
      </c>
      <c r="G79" s="10">
        <v>45633</v>
      </c>
    </row>
    <row r="80" spans="1:7">
      <c r="A80" s="4" t="s">
        <v>47</v>
      </c>
      <c r="B80" s="9" t="s">
        <v>35</v>
      </c>
      <c r="C80" s="9" t="s">
        <v>79</v>
      </c>
      <c r="D80" s="9" t="s">
        <v>3636</v>
      </c>
      <c r="E80" s="9" t="s">
        <v>3609</v>
      </c>
      <c r="F80" s="9">
        <v>137261859.93000001</v>
      </c>
      <c r="G80" s="10">
        <v>45633</v>
      </c>
    </row>
    <row r="81" spans="1:7">
      <c r="A81" s="4" t="s">
        <v>47</v>
      </c>
      <c r="B81" s="9" t="s">
        <v>35</v>
      </c>
      <c r="C81" s="9" t="s">
        <v>79</v>
      </c>
      <c r="D81" s="9" t="s">
        <v>3637</v>
      </c>
      <c r="E81" s="9" t="s">
        <v>3616</v>
      </c>
      <c r="F81" s="9">
        <v>742528364.82000005</v>
      </c>
      <c r="G81" s="10">
        <v>45633</v>
      </c>
    </row>
    <row r="82" spans="1:7">
      <c r="A82" s="4" t="s">
        <v>47</v>
      </c>
      <c r="B82" s="9" t="s">
        <v>35</v>
      </c>
      <c r="C82" s="9" t="s">
        <v>79</v>
      </c>
      <c r="D82" s="9" t="s">
        <v>3637</v>
      </c>
      <c r="E82" s="9" t="s">
        <v>3617</v>
      </c>
      <c r="F82" s="9">
        <v>693905269.33000004</v>
      </c>
      <c r="G82" s="10">
        <v>45633</v>
      </c>
    </row>
    <row r="83" spans="1:7">
      <c r="A83" s="4" t="s">
        <v>47</v>
      </c>
      <c r="B83" s="9" t="s">
        <v>35</v>
      </c>
      <c r="C83" s="9" t="s">
        <v>79</v>
      </c>
      <c r="D83" s="9" t="s">
        <v>3637</v>
      </c>
      <c r="E83" s="9" t="s">
        <v>3614</v>
      </c>
      <c r="F83" s="9">
        <v>638291361.20000005</v>
      </c>
      <c r="G83" s="10">
        <v>45633</v>
      </c>
    </row>
    <row r="84" spans="1:7">
      <c r="A84" s="4" t="s">
        <v>47</v>
      </c>
      <c r="B84" s="9" t="s">
        <v>35</v>
      </c>
      <c r="C84" s="9" t="s">
        <v>79</v>
      </c>
      <c r="D84" s="9" t="s">
        <v>3637</v>
      </c>
      <c r="E84" s="9" t="s">
        <v>3618</v>
      </c>
      <c r="F84" s="9">
        <v>81134823.579999998</v>
      </c>
      <c r="G84" s="10">
        <v>45633</v>
      </c>
    </row>
    <row r="85" spans="1:7">
      <c r="A85" s="4" t="s">
        <v>47</v>
      </c>
      <c r="B85" s="9" t="s">
        <v>35</v>
      </c>
      <c r="C85" s="9" t="s">
        <v>79</v>
      </c>
      <c r="D85" s="9" t="s">
        <v>3637</v>
      </c>
      <c r="E85" s="9" t="s">
        <v>3623</v>
      </c>
      <c r="F85" s="9">
        <v>519652671.11000001</v>
      </c>
      <c r="G85" s="10">
        <v>45633</v>
      </c>
    </row>
    <row r="86" spans="1:7">
      <c r="A86" s="4" t="s">
        <v>47</v>
      </c>
      <c r="B86" s="9" t="s">
        <v>35</v>
      </c>
      <c r="C86" s="9" t="s">
        <v>79</v>
      </c>
      <c r="D86" s="9" t="s">
        <v>3637</v>
      </c>
      <c r="E86" s="9" t="s">
        <v>3620</v>
      </c>
      <c r="F86" s="9">
        <v>375185695.44</v>
      </c>
      <c r="G86" s="10">
        <v>45633</v>
      </c>
    </row>
    <row r="87" spans="1:7">
      <c r="A87" s="4" t="s">
        <v>47</v>
      </c>
      <c r="B87" s="9" t="s">
        <v>35</v>
      </c>
      <c r="C87" s="9" t="s">
        <v>79</v>
      </c>
      <c r="D87" s="9" t="s">
        <v>3637</v>
      </c>
      <c r="E87" s="9" t="s">
        <v>3615</v>
      </c>
      <c r="F87" s="9">
        <v>701751814.51999998</v>
      </c>
      <c r="G87" s="10">
        <v>45633</v>
      </c>
    </row>
    <row r="88" spans="1:7">
      <c r="A88" s="4" t="s">
        <v>48</v>
      </c>
      <c r="B88" s="9" t="s">
        <v>35</v>
      </c>
      <c r="C88" s="9" t="s">
        <v>80</v>
      </c>
      <c r="D88" s="9" t="s">
        <v>3636</v>
      </c>
      <c r="E88" s="9" t="s">
        <v>3608</v>
      </c>
      <c r="F88" s="9">
        <v>25223917.719999999</v>
      </c>
      <c r="G88" s="10">
        <v>45633</v>
      </c>
    </row>
    <row r="89" spans="1:7">
      <c r="A89" s="4" t="s">
        <v>48</v>
      </c>
      <c r="B89" s="9" t="s">
        <v>35</v>
      </c>
      <c r="C89" s="9" t="s">
        <v>80</v>
      </c>
      <c r="D89" s="9" t="s">
        <v>3636</v>
      </c>
      <c r="E89" s="9" t="s">
        <v>3613</v>
      </c>
      <c r="F89" s="9">
        <v>84870958.989999995</v>
      </c>
      <c r="G89" s="10">
        <v>45633</v>
      </c>
    </row>
    <row r="90" spans="1:7">
      <c r="A90" s="4" t="s">
        <v>48</v>
      </c>
      <c r="B90" s="9" t="s">
        <v>35</v>
      </c>
      <c r="C90" s="9" t="s">
        <v>80</v>
      </c>
      <c r="D90" s="9" t="s">
        <v>3636</v>
      </c>
      <c r="E90" s="9" t="s">
        <v>3610</v>
      </c>
      <c r="F90" s="9">
        <v>59887247.869999997</v>
      </c>
      <c r="G90" s="10">
        <v>45633</v>
      </c>
    </row>
    <row r="91" spans="1:7">
      <c r="A91" s="4" t="s">
        <v>48</v>
      </c>
      <c r="B91" s="9" t="s">
        <v>35</v>
      </c>
      <c r="C91" s="9" t="s">
        <v>80</v>
      </c>
      <c r="D91" s="9" t="s">
        <v>3636</v>
      </c>
      <c r="E91" s="9" t="s">
        <v>3604</v>
      </c>
      <c r="F91" s="9">
        <v>89743050.379999995</v>
      </c>
      <c r="G91" s="10">
        <v>45633</v>
      </c>
    </row>
    <row r="92" spans="1:7">
      <c r="A92" s="4" t="s">
        <v>48</v>
      </c>
      <c r="B92" s="9" t="s">
        <v>35</v>
      </c>
      <c r="C92" s="9" t="s">
        <v>80</v>
      </c>
      <c r="D92" s="9" t="s">
        <v>3636</v>
      </c>
      <c r="E92" s="9" t="s">
        <v>3611</v>
      </c>
      <c r="F92" s="9">
        <v>34259386.520000003</v>
      </c>
      <c r="G92" s="10">
        <v>45633</v>
      </c>
    </row>
    <row r="93" spans="1:7">
      <c r="A93" s="4" t="s">
        <v>48</v>
      </c>
      <c r="B93" s="9" t="s">
        <v>35</v>
      </c>
      <c r="C93" s="9" t="s">
        <v>80</v>
      </c>
      <c r="D93" s="9" t="s">
        <v>3636</v>
      </c>
      <c r="E93" s="9" t="s">
        <v>3605</v>
      </c>
      <c r="F93" s="9">
        <v>121845438.52</v>
      </c>
      <c r="G93" s="10">
        <v>45633</v>
      </c>
    </row>
    <row r="94" spans="1:7">
      <c r="A94" s="4" t="s">
        <v>48</v>
      </c>
      <c r="B94" s="9" t="s">
        <v>35</v>
      </c>
      <c r="C94" s="9" t="s">
        <v>80</v>
      </c>
      <c r="D94" s="9" t="s">
        <v>3637</v>
      </c>
      <c r="E94" s="9" t="s">
        <v>3619</v>
      </c>
      <c r="F94" s="9">
        <v>11120650.380000001</v>
      </c>
      <c r="G94" s="10">
        <v>45633</v>
      </c>
    </row>
    <row r="95" spans="1:7">
      <c r="A95" s="4" t="s">
        <v>48</v>
      </c>
      <c r="B95" s="9" t="s">
        <v>35</v>
      </c>
      <c r="C95" s="9" t="s">
        <v>80</v>
      </c>
      <c r="D95" s="9" t="s">
        <v>3637</v>
      </c>
      <c r="E95" s="9" t="s">
        <v>3615</v>
      </c>
      <c r="F95" s="9">
        <v>29703906.440000001</v>
      </c>
      <c r="G95" s="10">
        <v>45633</v>
      </c>
    </row>
    <row r="96" spans="1:7">
      <c r="A96" s="4" t="s">
        <v>48</v>
      </c>
      <c r="B96" s="9" t="s">
        <v>35</v>
      </c>
      <c r="C96" s="9" t="s">
        <v>80</v>
      </c>
      <c r="D96" s="9" t="s">
        <v>3637</v>
      </c>
      <c r="E96" s="9" t="s">
        <v>3623</v>
      </c>
      <c r="F96" s="9">
        <v>21081184.280000001</v>
      </c>
      <c r="G96" s="10">
        <v>45633</v>
      </c>
    </row>
    <row r="97" spans="1:7">
      <c r="A97" s="4" t="s">
        <v>48</v>
      </c>
      <c r="B97" s="9" t="s">
        <v>35</v>
      </c>
      <c r="C97" s="9" t="s">
        <v>80</v>
      </c>
      <c r="D97" s="9" t="s">
        <v>3637</v>
      </c>
      <c r="E97" s="9" t="s">
        <v>3622</v>
      </c>
      <c r="F97" s="9">
        <v>8837600.9199999999</v>
      </c>
      <c r="G97" s="10">
        <v>45633</v>
      </c>
    </row>
    <row r="98" spans="1:7">
      <c r="A98" s="4" t="s">
        <v>48</v>
      </c>
      <c r="B98" s="9" t="s">
        <v>35</v>
      </c>
      <c r="C98" s="9" t="s">
        <v>80</v>
      </c>
      <c r="D98" s="9" t="s">
        <v>3637</v>
      </c>
      <c r="E98" s="9" t="s">
        <v>3614</v>
      </c>
      <c r="F98" s="9">
        <v>4562815.75</v>
      </c>
      <c r="G98" s="10">
        <v>45633</v>
      </c>
    </row>
    <row r="99" spans="1:7">
      <c r="A99" s="4" t="s">
        <v>48</v>
      </c>
      <c r="B99" s="9" t="s">
        <v>35</v>
      </c>
      <c r="C99" s="9" t="s">
        <v>80</v>
      </c>
      <c r="D99" s="9" t="s">
        <v>3637</v>
      </c>
      <c r="E99" s="9" t="s">
        <v>3621</v>
      </c>
      <c r="F99" s="9">
        <v>21847804.809999999</v>
      </c>
      <c r="G99" s="10">
        <v>45633</v>
      </c>
    </row>
    <row r="100" spans="1:7">
      <c r="A100" s="4" t="s">
        <v>48</v>
      </c>
      <c r="B100" s="9" t="s">
        <v>35</v>
      </c>
      <c r="C100" s="9" t="s">
        <v>80</v>
      </c>
      <c r="D100" s="9" t="s">
        <v>3637</v>
      </c>
      <c r="E100" s="9" t="s">
        <v>3618</v>
      </c>
      <c r="F100" s="9">
        <v>27595037.420000002</v>
      </c>
      <c r="G100" s="10">
        <v>45633</v>
      </c>
    </row>
    <row r="101" spans="1:7">
      <c r="A101" s="4" t="s">
        <v>81</v>
      </c>
      <c r="B101" s="9" t="s">
        <v>35</v>
      </c>
      <c r="C101" s="9" t="s">
        <v>82</v>
      </c>
      <c r="D101" s="9" t="s">
        <v>3636</v>
      </c>
      <c r="E101" s="9" t="s">
        <v>3606</v>
      </c>
      <c r="F101" s="9">
        <v>641903393.94000006</v>
      </c>
      <c r="G101" s="10">
        <v>45633</v>
      </c>
    </row>
    <row r="102" spans="1:7">
      <c r="A102" s="4" t="s">
        <v>81</v>
      </c>
      <c r="B102" s="9" t="s">
        <v>35</v>
      </c>
      <c r="C102" s="9" t="s">
        <v>82</v>
      </c>
      <c r="D102" s="9" t="s">
        <v>3636</v>
      </c>
      <c r="E102" s="9" t="s">
        <v>3613</v>
      </c>
      <c r="F102" s="9">
        <v>385945637.94</v>
      </c>
      <c r="G102" s="10">
        <v>45633</v>
      </c>
    </row>
    <row r="103" spans="1:7">
      <c r="A103" s="4" t="s">
        <v>81</v>
      </c>
      <c r="B103" s="9" t="s">
        <v>35</v>
      </c>
      <c r="C103" s="9" t="s">
        <v>82</v>
      </c>
      <c r="D103" s="9" t="s">
        <v>3636</v>
      </c>
      <c r="E103" s="9" t="s">
        <v>3608</v>
      </c>
      <c r="F103" s="9">
        <v>335984050.42000002</v>
      </c>
      <c r="G103" s="10">
        <v>45633</v>
      </c>
    </row>
    <row r="104" spans="1:7">
      <c r="A104" s="4" t="s">
        <v>81</v>
      </c>
      <c r="B104" s="9" t="s">
        <v>35</v>
      </c>
      <c r="C104" s="9" t="s">
        <v>82</v>
      </c>
      <c r="D104" s="9" t="s">
        <v>3636</v>
      </c>
      <c r="E104" s="9" t="s">
        <v>3612</v>
      </c>
      <c r="F104" s="9">
        <v>809597151.12</v>
      </c>
      <c r="G104" s="10">
        <v>45633</v>
      </c>
    </row>
    <row r="105" spans="1:7">
      <c r="A105" s="4" t="s">
        <v>81</v>
      </c>
      <c r="B105" s="9" t="s">
        <v>35</v>
      </c>
      <c r="C105" s="9" t="s">
        <v>82</v>
      </c>
      <c r="D105" s="9" t="s">
        <v>3636</v>
      </c>
      <c r="E105" s="9" t="s">
        <v>3604</v>
      </c>
      <c r="F105" s="9">
        <v>201699766.58000001</v>
      </c>
      <c r="G105" s="10">
        <v>45633</v>
      </c>
    </row>
    <row r="106" spans="1:7">
      <c r="A106" s="4" t="s">
        <v>81</v>
      </c>
      <c r="B106" s="9" t="s">
        <v>35</v>
      </c>
      <c r="C106" s="9" t="s">
        <v>82</v>
      </c>
      <c r="D106" s="9" t="s">
        <v>3637</v>
      </c>
      <c r="E106" s="9" t="s">
        <v>3617</v>
      </c>
      <c r="F106" s="9">
        <v>527087501.25999999</v>
      </c>
      <c r="G106" s="10">
        <v>45633</v>
      </c>
    </row>
    <row r="107" spans="1:7">
      <c r="A107" s="4" t="s">
        <v>81</v>
      </c>
      <c r="B107" s="9" t="s">
        <v>35</v>
      </c>
      <c r="C107" s="9" t="s">
        <v>82</v>
      </c>
      <c r="D107" s="9" t="s">
        <v>3637</v>
      </c>
      <c r="E107" s="9" t="s">
        <v>3618</v>
      </c>
      <c r="F107" s="9">
        <v>876568893.52999997</v>
      </c>
      <c r="G107" s="10">
        <v>45633</v>
      </c>
    </row>
    <row r="108" spans="1:7">
      <c r="A108" s="4" t="s">
        <v>81</v>
      </c>
      <c r="B108" s="9" t="s">
        <v>35</v>
      </c>
      <c r="C108" s="9" t="s">
        <v>82</v>
      </c>
      <c r="D108" s="9" t="s">
        <v>3637</v>
      </c>
      <c r="E108" s="9" t="s">
        <v>3615</v>
      </c>
      <c r="F108" s="9">
        <v>668771821.75999999</v>
      </c>
      <c r="G108" s="10">
        <v>45633</v>
      </c>
    </row>
    <row r="109" spans="1:7">
      <c r="A109" s="4" t="s">
        <v>81</v>
      </c>
      <c r="B109" s="9" t="s">
        <v>35</v>
      </c>
      <c r="C109" s="9" t="s">
        <v>82</v>
      </c>
      <c r="D109" s="9" t="s">
        <v>3637</v>
      </c>
      <c r="E109" s="9" t="s">
        <v>3621</v>
      </c>
      <c r="F109" s="9">
        <v>507920274.17000002</v>
      </c>
      <c r="G109" s="10">
        <v>45633</v>
      </c>
    </row>
    <row r="110" spans="1:7">
      <c r="A110" s="4" t="s">
        <v>81</v>
      </c>
      <c r="B110" s="9" t="s">
        <v>35</v>
      </c>
      <c r="C110" s="9" t="s">
        <v>82</v>
      </c>
      <c r="D110" s="9" t="s">
        <v>3637</v>
      </c>
      <c r="E110" s="9" t="s">
        <v>3614</v>
      </c>
      <c r="F110" s="9">
        <v>187846031.34</v>
      </c>
      <c r="G110" s="10">
        <v>45633</v>
      </c>
    </row>
    <row r="111" spans="1:7">
      <c r="A111" s="4" t="s">
        <v>81</v>
      </c>
      <c r="B111" s="9" t="s">
        <v>35</v>
      </c>
      <c r="C111" s="9" t="s">
        <v>82</v>
      </c>
      <c r="D111" s="9" t="s">
        <v>3637</v>
      </c>
      <c r="E111" s="9" t="s">
        <v>3619</v>
      </c>
      <c r="F111" s="9">
        <v>294302039.87</v>
      </c>
      <c r="G111" s="10">
        <v>45633</v>
      </c>
    </row>
    <row r="112" spans="1:7">
      <c r="A112" s="4" t="s">
        <v>81</v>
      </c>
      <c r="B112" s="9" t="s">
        <v>35</v>
      </c>
      <c r="C112" s="9" t="s">
        <v>82</v>
      </c>
      <c r="D112" s="9" t="s">
        <v>3637</v>
      </c>
      <c r="E112" s="9" t="s">
        <v>3616</v>
      </c>
      <c r="F112" s="9">
        <v>500198438.06999999</v>
      </c>
      <c r="G112" s="10">
        <v>45633</v>
      </c>
    </row>
    <row r="113" spans="1:7">
      <c r="A113" s="4" t="s">
        <v>83</v>
      </c>
      <c r="B113" s="9" t="s">
        <v>35</v>
      </c>
      <c r="C113" s="9" t="s">
        <v>84</v>
      </c>
      <c r="D113" s="9" t="s">
        <v>3636</v>
      </c>
      <c r="E113" s="9" t="s">
        <v>3606</v>
      </c>
      <c r="F113" s="9">
        <v>361688697.38999999</v>
      </c>
      <c r="G113" s="10">
        <v>45633</v>
      </c>
    </row>
    <row r="114" spans="1:7">
      <c r="A114" s="4" t="s">
        <v>83</v>
      </c>
      <c r="B114" s="9" t="s">
        <v>35</v>
      </c>
      <c r="C114" s="9" t="s">
        <v>84</v>
      </c>
      <c r="D114" s="9" t="s">
        <v>3636</v>
      </c>
      <c r="E114" s="9" t="s">
        <v>3610</v>
      </c>
      <c r="F114" s="9">
        <v>238049937.46000001</v>
      </c>
      <c r="G114" s="10">
        <v>45633</v>
      </c>
    </row>
    <row r="115" spans="1:7">
      <c r="A115" s="4" t="s">
        <v>83</v>
      </c>
      <c r="B115" s="9" t="s">
        <v>35</v>
      </c>
      <c r="C115" s="9" t="s">
        <v>84</v>
      </c>
      <c r="D115" s="9" t="s">
        <v>3636</v>
      </c>
      <c r="E115" s="9" t="s">
        <v>3611</v>
      </c>
      <c r="F115" s="9">
        <v>505793215.97000003</v>
      </c>
      <c r="G115" s="10">
        <v>45633</v>
      </c>
    </row>
    <row r="116" spans="1:7">
      <c r="A116" s="4" t="s">
        <v>83</v>
      </c>
      <c r="B116" s="9" t="s">
        <v>35</v>
      </c>
      <c r="C116" s="9" t="s">
        <v>84</v>
      </c>
      <c r="D116" s="9" t="s">
        <v>3636</v>
      </c>
      <c r="E116" s="9" t="s">
        <v>3608</v>
      </c>
      <c r="F116" s="9">
        <v>544241619.22000003</v>
      </c>
      <c r="G116" s="10">
        <v>45633</v>
      </c>
    </row>
    <row r="117" spans="1:7">
      <c r="A117" s="4" t="s">
        <v>83</v>
      </c>
      <c r="B117" s="9" t="s">
        <v>35</v>
      </c>
      <c r="C117" s="9" t="s">
        <v>84</v>
      </c>
      <c r="D117" s="9" t="s">
        <v>3636</v>
      </c>
      <c r="E117" s="9" t="s">
        <v>3609</v>
      </c>
      <c r="F117" s="9">
        <v>240948161.49000001</v>
      </c>
      <c r="G117" s="10">
        <v>45633</v>
      </c>
    </row>
    <row r="118" spans="1:7">
      <c r="A118" s="4" t="s">
        <v>83</v>
      </c>
      <c r="B118" s="9" t="s">
        <v>35</v>
      </c>
      <c r="C118" s="9" t="s">
        <v>84</v>
      </c>
      <c r="D118" s="9" t="s">
        <v>3636</v>
      </c>
      <c r="E118" s="9" t="s">
        <v>3605</v>
      </c>
      <c r="F118" s="9">
        <v>298157308.04000002</v>
      </c>
      <c r="G118" s="10">
        <v>45633</v>
      </c>
    </row>
    <row r="119" spans="1:7">
      <c r="A119" s="4" t="s">
        <v>83</v>
      </c>
      <c r="B119" s="9" t="s">
        <v>35</v>
      </c>
      <c r="C119" s="9" t="s">
        <v>84</v>
      </c>
      <c r="D119" s="9" t="s">
        <v>3636</v>
      </c>
      <c r="E119" s="9" t="s">
        <v>3612</v>
      </c>
      <c r="F119" s="9">
        <v>243901060.43000001</v>
      </c>
      <c r="G119" s="10">
        <v>45633</v>
      </c>
    </row>
    <row r="120" spans="1:7">
      <c r="A120" s="4" t="s">
        <v>83</v>
      </c>
      <c r="B120" s="9" t="s">
        <v>35</v>
      </c>
      <c r="C120" s="9" t="s">
        <v>84</v>
      </c>
      <c r="D120" s="9" t="s">
        <v>3637</v>
      </c>
      <c r="E120" s="9" t="s">
        <v>3614</v>
      </c>
      <c r="F120" s="9">
        <v>272639204.54000002</v>
      </c>
      <c r="G120" s="10">
        <v>45633</v>
      </c>
    </row>
    <row r="121" spans="1:7">
      <c r="A121" s="4" t="s">
        <v>83</v>
      </c>
      <c r="B121" s="9" t="s">
        <v>35</v>
      </c>
      <c r="C121" s="9" t="s">
        <v>84</v>
      </c>
      <c r="D121" s="9" t="s">
        <v>3637</v>
      </c>
      <c r="E121" s="9" t="s">
        <v>3621</v>
      </c>
      <c r="F121" s="9">
        <v>1387346269.4300001</v>
      </c>
      <c r="G121" s="10">
        <v>45633</v>
      </c>
    </row>
    <row r="122" spans="1:7">
      <c r="A122" s="4" t="s">
        <v>83</v>
      </c>
      <c r="B122" s="9" t="s">
        <v>35</v>
      </c>
      <c r="C122" s="9" t="s">
        <v>84</v>
      </c>
      <c r="D122" s="9" t="s">
        <v>3637</v>
      </c>
      <c r="E122" s="9" t="s">
        <v>3617</v>
      </c>
      <c r="F122" s="9">
        <v>726553834.75</v>
      </c>
      <c r="G122" s="10">
        <v>45633</v>
      </c>
    </row>
    <row r="123" spans="1:7">
      <c r="A123" s="4" t="s">
        <v>83</v>
      </c>
      <c r="B123" s="9" t="s">
        <v>35</v>
      </c>
      <c r="C123" s="9" t="s">
        <v>84</v>
      </c>
      <c r="D123" s="9" t="s">
        <v>3637</v>
      </c>
      <c r="E123" s="9" t="s">
        <v>3615</v>
      </c>
      <c r="F123" s="9">
        <v>1242223793.4300001</v>
      </c>
      <c r="G123" s="10">
        <v>45633</v>
      </c>
    </row>
    <row r="124" spans="1:7">
      <c r="A124" s="4" t="s">
        <v>83</v>
      </c>
      <c r="B124" s="9" t="s">
        <v>35</v>
      </c>
      <c r="C124" s="9" t="s">
        <v>84</v>
      </c>
      <c r="D124" s="9" t="s">
        <v>3637</v>
      </c>
      <c r="E124" s="9" t="s">
        <v>3618</v>
      </c>
      <c r="F124" s="9">
        <v>1102131406.3099999</v>
      </c>
      <c r="G124" s="10">
        <v>45633</v>
      </c>
    </row>
    <row r="125" spans="1:7">
      <c r="A125" s="4" t="s">
        <v>83</v>
      </c>
      <c r="B125" s="9" t="s">
        <v>35</v>
      </c>
      <c r="C125" s="9" t="s">
        <v>84</v>
      </c>
      <c r="D125" s="9" t="s">
        <v>3637</v>
      </c>
      <c r="E125" s="9" t="s">
        <v>3622</v>
      </c>
      <c r="F125" s="9">
        <v>1351055491.54</v>
      </c>
      <c r="G125" s="10">
        <v>45633</v>
      </c>
    </row>
    <row r="126" spans="1:7">
      <c r="A126" s="4" t="s">
        <v>86</v>
      </c>
      <c r="B126" s="9" t="s">
        <v>35</v>
      </c>
      <c r="C126" s="9" t="s">
        <v>85</v>
      </c>
      <c r="D126" s="9" t="s">
        <v>3636</v>
      </c>
      <c r="E126" s="9" t="s">
        <v>3604</v>
      </c>
      <c r="F126" s="9">
        <v>43748238.810000002</v>
      </c>
      <c r="G126" s="10">
        <v>45633</v>
      </c>
    </row>
    <row r="127" spans="1:7">
      <c r="A127" s="4" t="s">
        <v>86</v>
      </c>
      <c r="B127" s="9" t="s">
        <v>35</v>
      </c>
      <c r="C127" s="9" t="s">
        <v>85</v>
      </c>
      <c r="D127" s="9" t="s">
        <v>3636</v>
      </c>
      <c r="E127" s="9" t="s">
        <v>3611</v>
      </c>
      <c r="F127" s="9">
        <v>56186340.969999999</v>
      </c>
      <c r="G127" s="10">
        <v>45633</v>
      </c>
    </row>
    <row r="128" spans="1:7">
      <c r="A128" s="4" t="s">
        <v>86</v>
      </c>
      <c r="B128" s="9" t="s">
        <v>35</v>
      </c>
      <c r="C128" s="9" t="s">
        <v>85</v>
      </c>
      <c r="D128" s="9" t="s">
        <v>3636</v>
      </c>
      <c r="E128" s="9" t="s">
        <v>3606</v>
      </c>
      <c r="F128" s="9">
        <v>62507381.640000001</v>
      </c>
      <c r="G128" s="10">
        <v>45633</v>
      </c>
    </row>
    <row r="129" spans="1:7">
      <c r="A129" s="4" t="s">
        <v>86</v>
      </c>
      <c r="B129" s="9" t="s">
        <v>35</v>
      </c>
      <c r="C129" s="9" t="s">
        <v>85</v>
      </c>
      <c r="D129" s="9" t="s">
        <v>3636</v>
      </c>
      <c r="E129" s="9" t="s">
        <v>3607</v>
      </c>
      <c r="F129" s="9">
        <v>84688385.680000007</v>
      </c>
      <c r="G129" s="10">
        <v>45633</v>
      </c>
    </row>
    <row r="130" spans="1:7">
      <c r="A130" s="4" t="s">
        <v>86</v>
      </c>
      <c r="B130" s="9" t="s">
        <v>35</v>
      </c>
      <c r="C130" s="9" t="s">
        <v>85</v>
      </c>
      <c r="D130" s="9" t="s">
        <v>3636</v>
      </c>
      <c r="E130" s="9" t="s">
        <v>3613</v>
      </c>
      <c r="F130" s="9">
        <v>76676634.640000001</v>
      </c>
      <c r="G130" s="10">
        <v>45633</v>
      </c>
    </row>
    <row r="131" spans="1:7">
      <c r="A131" s="4" t="s">
        <v>86</v>
      </c>
      <c r="B131" s="9" t="s">
        <v>35</v>
      </c>
      <c r="C131" s="9" t="s">
        <v>85</v>
      </c>
      <c r="D131" s="9" t="s">
        <v>3636</v>
      </c>
      <c r="E131" s="9" t="s">
        <v>3605</v>
      </c>
      <c r="F131" s="9">
        <v>91323018.260000005</v>
      </c>
      <c r="G131" s="10">
        <v>45633</v>
      </c>
    </row>
    <row r="132" spans="1:7">
      <c r="A132" s="4" t="s">
        <v>86</v>
      </c>
      <c r="B132" s="9" t="s">
        <v>35</v>
      </c>
      <c r="C132" s="9" t="s">
        <v>85</v>
      </c>
      <c r="D132" s="9" t="s">
        <v>3637</v>
      </c>
      <c r="E132" s="9" t="s">
        <v>3617</v>
      </c>
      <c r="F132" s="9">
        <v>99241783.430000007</v>
      </c>
      <c r="G132" s="10">
        <v>45633</v>
      </c>
    </row>
    <row r="133" spans="1:7">
      <c r="A133" s="4" t="s">
        <v>86</v>
      </c>
      <c r="B133" s="9" t="s">
        <v>35</v>
      </c>
      <c r="C133" s="9" t="s">
        <v>85</v>
      </c>
      <c r="D133" s="9" t="s">
        <v>3637</v>
      </c>
      <c r="E133" s="9" t="s">
        <v>3615</v>
      </c>
      <c r="F133" s="9">
        <v>85398923.140000001</v>
      </c>
      <c r="G133" s="10">
        <v>45633</v>
      </c>
    </row>
    <row r="134" spans="1:7">
      <c r="A134" s="4" t="s">
        <v>86</v>
      </c>
      <c r="B134" s="9" t="s">
        <v>35</v>
      </c>
      <c r="C134" s="9" t="s">
        <v>85</v>
      </c>
      <c r="D134" s="9" t="s">
        <v>3637</v>
      </c>
      <c r="E134" s="9" t="s">
        <v>3620</v>
      </c>
      <c r="F134" s="9">
        <v>15222200.779999999</v>
      </c>
      <c r="G134" s="10">
        <v>45633</v>
      </c>
    </row>
    <row r="135" spans="1:7">
      <c r="A135" s="4" t="s">
        <v>86</v>
      </c>
      <c r="B135" s="9" t="s">
        <v>35</v>
      </c>
      <c r="C135" s="9" t="s">
        <v>85</v>
      </c>
      <c r="D135" s="9" t="s">
        <v>3637</v>
      </c>
      <c r="E135" s="9" t="s">
        <v>3614</v>
      </c>
      <c r="F135" s="9">
        <v>78505645.099999994</v>
      </c>
      <c r="G135" s="10">
        <v>45633</v>
      </c>
    </row>
    <row r="136" spans="1:7">
      <c r="A136" s="4" t="s">
        <v>86</v>
      </c>
      <c r="B136" s="9" t="s">
        <v>35</v>
      </c>
      <c r="C136" s="9" t="s">
        <v>85</v>
      </c>
      <c r="D136" s="9" t="s">
        <v>3637</v>
      </c>
      <c r="E136" s="9" t="s">
        <v>3621</v>
      </c>
      <c r="F136" s="9">
        <v>44685680.340000004</v>
      </c>
      <c r="G136" s="10">
        <v>45633</v>
      </c>
    </row>
    <row r="137" spans="1:7">
      <c r="A137" s="4" t="s">
        <v>86</v>
      </c>
      <c r="B137" s="9" t="s">
        <v>35</v>
      </c>
      <c r="C137" s="9" t="s">
        <v>85</v>
      </c>
      <c r="D137" s="9" t="s">
        <v>3637</v>
      </c>
      <c r="E137" s="9" t="s">
        <v>3622</v>
      </c>
      <c r="F137" s="9">
        <v>133588767.20999999</v>
      </c>
      <c r="G137" s="10">
        <v>45633</v>
      </c>
    </row>
    <row r="138" spans="1:7">
      <c r="A138" s="4" t="s">
        <v>87</v>
      </c>
      <c r="B138" s="9" t="s">
        <v>35</v>
      </c>
      <c r="C138" s="9" t="s">
        <v>3597</v>
      </c>
      <c r="D138" s="9" t="s">
        <v>3636</v>
      </c>
      <c r="E138" s="9" t="s">
        <v>3605</v>
      </c>
      <c r="F138" s="9">
        <v>108157307.79000001</v>
      </c>
      <c r="G138" s="10">
        <v>45633</v>
      </c>
    </row>
    <row r="139" spans="1:7">
      <c r="A139" s="4" t="s">
        <v>87</v>
      </c>
      <c r="B139" s="9" t="s">
        <v>35</v>
      </c>
      <c r="C139" s="9" t="s">
        <v>3597</v>
      </c>
      <c r="D139" s="9" t="s">
        <v>3636</v>
      </c>
      <c r="E139" s="9" t="s">
        <v>3612</v>
      </c>
      <c r="F139" s="9">
        <v>139792038.30000001</v>
      </c>
      <c r="G139" s="10">
        <v>45633</v>
      </c>
    </row>
    <row r="140" spans="1:7">
      <c r="A140" s="4" t="s">
        <v>87</v>
      </c>
      <c r="B140" s="9" t="s">
        <v>35</v>
      </c>
      <c r="C140" s="9" t="s">
        <v>3597</v>
      </c>
      <c r="D140" s="9" t="s">
        <v>3636</v>
      </c>
      <c r="E140" s="9" t="s">
        <v>3608</v>
      </c>
      <c r="F140" s="9">
        <v>190875252.97</v>
      </c>
      <c r="G140" s="10">
        <v>45633</v>
      </c>
    </row>
    <row r="141" spans="1:7">
      <c r="A141" s="4" t="s">
        <v>87</v>
      </c>
      <c r="B141" s="9" t="s">
        <v>35</v>
      </c>
      <c r="C141" s="9" t="s">
        <v>3597</v>
      </c>
      <c r="D141" s="9" t="s">
        <v>3636</v>
      </c>
      <c r="E141" s="9" t="s">
        <v>3606</v>
      </c>
      <c r="F141" s="9">
        <v>74088918.870000005</v>
      </c>
      <c r="G141" s="10">
        <v>45633</v>
      </c>
    </row>
    <row r="142" spans="1:7">
      <c r="A142" s="4" t="s">
        <v>87</v>
      </c>
      <c r="B142" s="9" t="s">
        <v>35</v>
      </c>
      <c r="C142" s="9" t="s">
        <v>3597</v>
      </c>
      <c r="D142" s="9" t="s">
        <v>3636</v>
      </c>
      <c r="E142" s="9" t="s">
        <v>3613</v>
      </c>
      <c r="F142" s="9">
        <v>139323345.06</v>
      </c>
      <c r="G142" s="10">
        <v>45633</v>
      </c>
    </row>
    <row r="143" spans="1:7">
      <c r="A143" s="4" t="s">
        <v>87</v>
      </c>
      <c r="B143" s="9" t="s">
        <v>35</v>
      </c>
      <c r="C143" s="9" t="s">
        <v>3597</v>
      </c>
      <c r="D143" s="9" t="s">
        <v>3636</v>
      </c>
      <c r="E143" s="9" t="s">
        <v>3611</v>
      </c>
      <c r="F143" s="9">
        <v>257619053.27000001</v>
      </c>
      <c r="G143" s="10">
        <v>45633</v>
      </c>
    </row>
    <row r="144" spans="1:7">
      <c r="A144" s="4" t="s">
        <v>87</v>
      </c>
      <c r="B144" s="9" t="s">
        <v>35</v>
      </c>
      <c r="C144" s="9" t="s">
        <v>3597</v>
      </c>
      <c r="D144" s="9" t="s">
        <v>3636</v>
      </c>
      <c r="E144" s="9" t="s">
        <v>3604</v>
      </c>
      <c r="F144" s="9">
        <v>211324083.74000001</v>
      </c>
      <c r="G144" s="10">
        <v>45633</v>
      </c>
    </row>
    <row r="145" spans="1:7">
      <c r="A145" s="4" t="s">
        <v>87</v>
      </c>
      <c r="B145" s="9" t="s">
        <v>35</v>
      </c>
      <c r="C145" s="9" t="s">
        <v>3597</v>
      </c>
      <c r="D145" s="9" t="s">
        <v>3637</v>
      </c>
      <c r="E145" s="9" t="s">
        <v>3622</v>
      </c>
      <c r="F145" s="9">
        <v>1507848230.98</v>
      </c>
      <c r="G145" s="10">
        <v>45633</v>
      </c>
    </row>
    <row r="146" spans="1:7">
      <c r="A146" s="4" t="s">
        <v>87</v>
      </c>
      <c r="B146" s="9" t="s">
        <v>35</v>
      </c>
      <c r="C146" s="9" t="s">
        <v>3597</v>
      </c>
      <c r="D146" s="9" t="s">
        <v>3637</v>
      </c>
      <c r="E146" s="9" t="s">
        <v>3617</v>
      </c>
      <c r="F146" s="9">
        <v>460314301.17000002</v>
      </c>
      <c r="G146" s="10">
        <v>45633</v>
      </c>
    </row>
    <row r="147" spans="1:7">
      <c r="A147" s="4" t="s">
        <v>87</v>
      </c>
      <c r="B147" s="9" t="s">
        <v>35</v>
      </c>
      <c r="C147" s="9" t="s">
        <v>3597</v>
      </c>
      <c r="D147" s="9" t="s">
        <v>3637</v>
      </c>
      <c r="E147" s="9" t="s">
        <v>3623</v>
      </c>
      <c r="F147" s="9">
        <v>1270543787.0899999</v>
      </c>
      <c r="G147" s="10">
        <v>45633</v>
      </c>
    </row>
    <row r="148" spans="1:7">
      <c r="A148" s="4" t="s">
        <v>87</v>
      </c>
      <c r="B148" s="9" t="s">
        <v>35</v>
      </c>
      <c r="C148" s="9" t="s">
        <v>3597</v>
      </c>
      <c r="D148" s="9" t="s">
        <v>3637</v>
      </c>
      <c r="E148" s="9" t="s">
        <v>3620</v>
      </c>
      <c r="F148" s="9">
        <v>1473480934.71</v>
      </c>
      <c r="G148" s="10">
        <v>45633</v>
      </c>
    </row>
    <row r="149" spans="1:7">
      <c r="A149" s="4" t="s">
        <v>87</v>
      </c>
      <c r="B149" s="9" t="s">
        <v>35</v>
      </c>
      <c r="C149" s="9" t="s">
        <v>3597</v>
      </c>
      <c r="D149" s="9" t="s">
        <v>3637</v>
      </c>
      <c r="E149" s="9" t="s">
        <v>3619</v>
      </c>
      <c r="F149" s="9">
        <v>476902549.95999998</v>
      </c>
      <c r="G149" s="10">
        <v>45633</v>
      </c>
    </row>
    <row r="150" spans="1:7">
      <c r="A150" s="4" t="s">
        <v>87</v>
      </c>
      <c r="B150" s="9" t="s">
        <v>35</v>
      </c>
      <c r="C150" s="9" t="s">
        <v>3597</v>
      </c>
      <c r="D150" s="9" t="s">
        <v>3637</v>
      </c>
      <c r="E150" s="9" t="s">
        <v>3616</v>
      </c>
      <c r="F150" s="9">
        <v>1313754196.0899999</v>
      </c>
      <c r="G150" s="10">
        <v>45633</v>
      </c>
    </row>
    <row r="151" spans="1:7">
      <c r="A151" s="4" t="s">
        <v>88</v>
      </c>
      <c r="B151" s="9" t="s">
        <v>35</v>
      </c>
      <c r="C151" s="9" t="s">
        <v>89</v>
      </c>
      <c r="D151" s="9" t="s">
        <v>3636</v>
      </c>
      <c r="E151" s="9" t="s">
        <v>3613</v>
      </c>
      <c r="F151" s="9">
        <v>104321109.39</v>
      </c>
      <c r="G151" s="10">
        <v>45633</v>
      </c>
    </row>
    <row r="152" spans="1:7">
      <c r="A152" s="4" t="s">
        <v>88</v>
      </c>
      <c r="B152" s="9" t="s">
        <v>35</v>
      </c>
      <c r="C152" s="9" t="s">
        <v>89</v>
      </c>
      <c r="D152" s="9" t="s">
        <v>3636</v>
      </c>
      <c r="E152" s="9" t="s">
        <v>3609</v>
      </c>
      <c r="F152" s="9">
        <v>39601535.530000001</v>
      </c>
      <c r="G152" s="10">
        <v>45633</v>
      </c>
    </row>
    <row r="153" spans="1:7">
      <c r="A153" s="4" t="s">
        <v>88</v>
      </c>
      <c r="B153" s="9" t="s">
        <v>35</v>
      </c>
      <c r="C153" s="9" t="s">
        <v>89</v>
      </c>
      <c r="D153" s="9" t="s">
        <v>3636</v>
      </c>
      <c r="E153" s="9" t="s">
        <v>3606</v>
      </c>
      <c r="F153" s="9">
        <v>82831815.879999995</v>
      </c>
      <c r="G153" s="10">
        <v>45633</v>
      </c>
    </row>
    <row r="154" spans="1:7">
      <c r="A154" s="4" t="s">
        <v>88</v>
      </c>
      <c r="B154" s="9" t="s">
        <v>35</v>
      </c>
      <c r="C154" s="9" t="s">
        <v>89</v>
      </c>
      <c r="D154" s="9" t="s">
        <v>3636</v>
      </c>
      <c r="E154" s="9" t="s">
        <v>3608</v>
      </c>
      <c r="F154" s="9">
        <v>86447127.049999997</v>
      </c>
      <c r="G154" s="10">
        <v>45633</v>
      </c>
    </row>
    <row r="155" spans="1:7">
      <c r="A155" s="4" t="s">
        <v>88</v>
      </c>
      <c r="B155" s="9" t="s">
        <v>35</v>
      </c>
      <c r="C155" s="9" t="s">
        <v>89</v>
      </c>
      <c r="D155" s="9" t="s">
        <v>3636</v>
      </c>
      <c r="E155" s="9" t="s">
        <v>3605</v>
      </c>
      <c r="F155" s="9">
        <v>54838412.149999999</v>
      </c>
      <c r="G155" s="10">
        <v>45633</v>
      </c>
    </row>
    <row r="156" spans="1:7">
      <c r="A156" s="4" t="s">
        <v>88</v>
      </c>
      <c r="B156" s="9" t="s">
        <v>35</v>
      </c>
      <c r="C156" s="9" t="s">
        <v>89</v>
      </c>
      <c r="D156" s="9" t="s">
        <v>3637</v>
      </c>
      <c r="E156" s="9" t="s">
        <v>3622</v>
      </c>
      <c r="F156" s="9">
        <v>7005007.8600000003</v>
      </c>
      <c r="G156" s="10">
        <v>45633</v>
      </c>
    </row>
    <row r="157" spans="1:7">
      <c r="A157" s="4" t="s">
        <v>88</v>
      </c>
      <c r="B157" s="9" t="s">
        <v>35</v>
      </c>
      <c r="C157" s="9" t="s">
        <v>89</v>
      </c>
      <c r="D157" s="9" t="s">
        <v>3637</v>
      </c>
      <c r="E157" s="9" t="s">
        <v>3619</v>
      </c>
      <c r="F157" s="9">
        <v>12112208.26</v>
      </c>
      <c r="G157" s="10">
        <v>45633</v>
      </c>
    </row>
    <row r="158" spans="1:7">
      <c r="A158" s="4" t="s">
        <v>88</v>
      </c>
      <c r="B158" s="9" t="s">
        <v>35</v>
      </c>
      <c r="C158" s="9" t="s">
        <v>89</v>
      </c>
      <c r="D158" s="9" t="s">
        <v>3637</v>
      </c>
      <c r="E158" s="9" t="s">
        <v>3620</v>
      </c>
      <c r="F158" s="9">
        <v>6682201.8799999999</v>
      </c>
      <c r="G158" s="10">
        <v>45633</v>
      </c>
    </row>
    <row r="159" spans="1:7">
      <c r="A159" s="4" t="s">
        <v>88</v>
      </c>
      <c r="B159" s="9" t="s">
        <v>35</v>
      </c>
      <c r="C159" s="9" t="s">
        <v>89</v>
      </c>
      <c r="D159" s="9" t="s">
        <v>3637</v>
      </c>
      <c r="E159" s="9" t="s">
        <v>3617</v>
      </c>
      <c r="F159" s="9">
        <v>6686036.6799999997</v>
      </c>
      <c r="G159" s="10">
        <v>45633</v>
      </c>
    </row>
    <row r="160" spans="1:7">
      <c r="A160" s="4" t="s">
        <v>88</v>
      </c>
      <c r="B160" s="9" t="s">
        <v>35</v>
      </c>
      <c r="C160" s="9" t="s">
        <v>89</v>
      </c>
      <c r="D160" s="9" t="s">
        <v>3637</v>
      </c>
      <c r="E160" s="9" t="s">
        <v>3616</v>
      </c>
      <c r="F160" s="9">
        <v>18005260.609999999</v>
      </c>
      <c r="G160" s="10">
        <v>45633</v>
      </c>
    </row>
    <row r="161" spans="1:7">
      <c r="A161" s="4" t="s">
        <v>88</v>
      </c>
      <c r="B161" s="9" t="s">
        <v>35</v>
      </c>
      <c r="C161" s="9" t="s">
        <v>89</v>
      </c>
      <c r="D161" s="9" t="s">
        <v>3637</v>
      </c>
      <c r="E161" s="9" t="s">
        <v>3623</v>
      </c>
      <c r="F161" s="9">
        <v>8395684.7100000009</v>
      </c>
      <c r="G161" s="10">
        <v>45633</v>
      </c>
    </row>
    <row r="162" spans="1:7">
      <c r="A162" s="4" t="s">
        <v>91</v>
      </c>
      <c r="B162" s="9" t="s">
        <v>35</v>
      </c>
      <c r="C162" s="9" t="s">
        <v>90</v>
      </c>
      <c r="D162" s="9" t="s">
        <v>3636</v>
      </c>
      <c r="E162" s="9" t="s">
        <v>3610</v>
      </c>
      <c r="F162" s="9">
        <v>450403102.98000002</v>
      </c>
      <c r="G162" s="10">
        <v>45633</v>
      </c>
    </row>
    <row r="163" spans="1:7">
      <c r="A163" s="4" t="s">
        <v>91</v>
      </c>
      <c r="B163" s="9" t="s">
        <v>35</v>
      </c>
      <c r="C163" s="9" t="s">
        <v>90</v>
      </c>
      <c r="D163" s="9" t="s">
        <v>3636</v>
      </c>
      <c r="E163" s="9" t="s">
        <v>3605</v>
      </c>
      <c r="F163" s="9">
        <v>454753377.94</v>
      </c>
      <c r="G163" s="10">
        <v>45633</v>
      </c>
    </row>
    <row r="164" spans="1:7">
      <c r="A164" s="4" t="s">
        <v>91</v>
      </c>
      <c r="B164" s="9" t="s">
        <v>35</v>
      </c>
      <c r="C164" s="9" t="s">
        <v>90</v>
      </c>
      <c r="D164" s="9" t="s">
        <v>3636</v>
      </c>
      <c r="E164" s="9" t="s">
        <v>3607</v>
      </c>
      <c r="F164" s="9">
        <v>645176664.64999998</v>
      </c>
      <c r="G164" s="10">
        <v>45633</v>
      </c>
    </row>
    <row r="165" spans="1:7">
      <c r="A165" s="4" t="s">
        <v>91</v>
      </c>
      <c r="B165" s="9" t="s">
        <v>35</v>
      </c>
      <c r="C165" s="9" t="s">
        <v>90</v>
      </c>
      <c r="D165" s="9" t="s">
        <v>3636</v>
      </c>
      <c r="E165" s="9" t="s">
        <v>3606</v>
      </c>
      <c r="F165" s="9">
        <v>489596195.13</v>
      </c>
      <c r="G165" s="10">
        <v>45633</v>
      </c>
    </row>
    <row r="166" spans="1:7">
      <c r="A166" s="4" t="s">
        <v>91</v>
      </c>
      <c r="B166" s="9" t="s">
        <v>35</v>
      </c>
      <c r="C166" s="9" t="s">
        <v>90</v>
      </c>
      <c r="D166" s="9" t="s">
        <v>3636</v>
      </c>
      <c r="E166" s="9" t="s">
        <v>3612</v>
      </c>
      <c r="F166" s="9">
        <v>278180659.30000001</v>
      </c>
      <c r="G166" s="10">
        <v>45633</v>
      </c>
    </row>
    <row r="167" spans="1:7">
      <c r="A167" s="4" t="s">
        <v>91</v>
      </c>
      <c r="B167" s="9" t="s">
        <v>35</v>
      </c>
      <c r="C167" s="9" t="s">
        <v>90</v>
      </c>
      <c r="D167" s="9" t="s">
        <v>3637</v>
      </c>
      <c r="E167" s="9" t="s">
        <v>3616</v>
      </c>
      <c r="F167" s="9">
        <v>4684559.75</v>
      </c>
      <c r="G167" s="10">
        <v>45633</v>
      </c>
    </row>
    <row r="168" spans="1:7">
      <c r="A168" s="4" t="s">
        <v>91</v>
      </c>
      <c r="B168" s="9" t="s">
        <v>35</v>
      </c>
      <c r="C168" s="9" t="s">
        <v>90</v>
      </c>
      <c r="D168" s="9" t="s">
        <v>3637</v>
      </c>
      <c r="E168" s="9" t="s">
        <v>3621</v>
      </c>
      <c r="F168" s="9">
        <v>566873.46</v>
      </c>
      <c r="G168" s="10">
        <v>45633</v>
      </c>
    </row>
    <row r="169" spans="1:7">
      <c r="A169" s="4" t="s">
        <v>91</v>
      </c>
      <c r="B169" s="9" t="s">
        <v>35</v>
      </c>
      <c r="C169" s="9" t="s">
        <v>90</v>
      </c>
      <c r="D169" s="9" t="s">
        <v>3637</v>
      </c>
      <c r="E169" s="9" t="s">
        <v>3622</v>
      </c>
      <c r="F169" s="9">
        <v>7105152.0899999999</v>
      </c>
      <c r="G169" s="10">
        <v>45633</v>
      </c>
    </row>
    <row r="170" spans="1:7">
      <c r="A170" s="4" t="s">
        <v>91</v>
      </c>
      <c r="B170" s="9" t="s">
        <v>35</v>
      </c>
      <c r="C170" s="9" t="s">
        <v>90</v>
      </c>
      <c r="D170" s="9" t="s">
        <v>3637</v>
      </c>
      <c r="E170" s="9" t="s">
        <v>3618</v>
      </c>
      <c r="F170" s="9">
        <v>3025311.89</v>
      </c>
      <c r="G170" s="10">
        <v>45633</v>
      </c>
    </row>
    <row r="171" spans="1:7">
      <c r="A171" s="4" t="s">
        <v>91</v>
      </c>
      <c r="B171" s="9" t="s">
        <v>35</v>
      </c>
      <c r="C171" s="9" t="s">
        <v>90</v>
      </c>
      <c r="D171" s="9" t="s">
        <v>3637</v>
      </c>
      <c r="E171" s="9" t="s">
        <v>3619</v>
      </c>
      <c r="F171" s="9">
        <v>4312932.32</v>
      </c>
      <c r="G171" s="10">
        <v>45633</v>
      </c>
    </row>
    <row r="172" spans="1:7">
      <c r="A172" s="4" t="s">
        <v>91</v>
      </c>
      <c r="B172" s="9" t="s">
        <v>35</v>
      </c>
      <c r="C172" s="9" t="s">
        <v>90</v>
      </c>
      <c r="D172" s="9" t="s">
        <v>3637</v>
      </c>
      <c r="E172" s="9" t="s">
        <v>3617</v>
      </c>
      <c r="F172" s="9">
        <v>3776605.18</v>
      </c>
      <c r="G172" s="10">
        <v>45633</v>
      </c>
    </row>
    <row r="173" spans="1:7">
      <c r="A173" s="4" t="s">
        <v>91</v>
      </c>
      <c r="B173" s="9" t="s">
        <v>35</v>
      </c>
      <c r="C173" s="9" t="s">
        <v>90</v>
      </c>
      <c r="D173" s="9" t="s">
        <v>3637</v>
      </c>
      <c r="E173" s="9" t="s">
        <v>3620</v>
      </c>
      <c r="F173" s="9">
        <v>2027775.31</v>
      </c>
      <c r="G173" s="10">
        <v>45633</v>
      </c>
    </row>
    <row r="174" spans="1:7">
      <c r="A174" s="4" t="s">
        <v>92</v>
      </c>
      <c r="B174" s="9" t="s">
        <v>35</v>
      </c>
      <c r="C174" s="9" t="s">
        <v>93</v>
      </c>
      <c r="D174" s="9" t="s">
        <v>3636</v>
      </c>
      <c r="E174" s="9" t="s">
        <v>3608</v>
      </c>
      <c r="F174" s="9">
        <v>249390248.47999999</v>
      </c>
      <c r="G174" s="10">
        <v>45633</v>
      </c>
    </row>
    <row r="175" spans="1:7">
      <c r="A175" s="4" t="s">
        <v>92</v>
      </c>
      <c r="B175" s="9" t="s">
        <v>35</v>
      </c>
      <c r="C175" s="9" t="s">
        <v>93</v>
      </c>
      <c r="D175" s="9" t="s">
        <v>3636</v>
      </c>
      <c r="E175" s="9" t="s">
        <v>3606</v>
      </c>
      <c r="F175" s="9">
        <v>112271812.89</v>
      </c>
      <c r="G175" s="10">
        <v>45633</v>
      </c>
    </row>
    <row r="176" spans="1:7">
      <c r="A176" s="4" t="s">
        <v>92</v>
      </c>
      <c r="B176" s="9" t="s">
        <v>35</v>
      </c>
      <c r="C176" s="9" t="s">
        <v>93</v>
      </c>
      <c r="D176" s="9" t="s">
        <v>3636</v>
      </c>
      <c r="E176" s="9" t="s">
        <v>3607</v>
      </c>
      <c r="F176" s="9">
        <v>569520639.41999996</v>
      </c>
      <c r="G176" s="10">
        <v>45633</v>
      </c>
    </row>
    <row r="177" spans="1:7">
      <c r="A177" s="4" t="s">
        <v>92</v>
      </c>
      <c r="B177" s="9" t="s">
        <v>35</v>
      </c>
      <c r="C177" s="9" t="s">
        <v>93</v>
      </c>
      <c r="D177" s="9" t="s">
        <v>3636</v>
      </c>
      <c r="E177" s="9" t="s">
        <v>3611</v>
      </c>
      <c r="F177" s="9">
        <v>175056027.47999999</v>
      </c>
      <c r="G177" s="10">
        <v>45633</v>
      </c>
    </row>
    <row r="178" spans="1:7">
      <c r="A178" s="4" t="s">
        <v>92</v>
      </c>
      <c r="B178" s="9" t="s">
        <v>35</v>
      </c>
      <c r="C178" s="9" t="s">
        <v>93</v>
      </c>
      <c r="D178" s="9" t="s">
        <v>3636</v>
      </c>
      <c r="E178" s="9" t="s">
        <v>3612</v>
      </c>
      <c r="F178" s="9">
        <v>211021271.72999999</v>
      </c>
      <c r="G178" s="10">
        <v>45633</v>
      </c>
    </row>
    <row r="179" spans="1:7">
      <c r="A179" s="4" t="s">
        <v>92</v>
      </c>
      <c r="B179" s="9" t="s">
        <v>35</v>
      </c>
      <c r="C179" s="9" t="s">
        <v>93</v>
      </c>
      <c r="D179" s="9" t="s">
        <v>3637</v>
      </c>
      <c r="E179" s="9" t="s">
        <v>3615</v>
      </c>
      <c r="F179" s="9">
        <v>785153.94</v>
      </c>
      <c r="G179" s="10">
        <v>45633</v>
      </c>
    </row>
    <row r="180" spans="1:7">
      <c r="A180" s="4" t="s">
        <v>92</v>
      </c>
      <c r="B180" s="9" t="s">
        <v>35</v>
      </c>
      <c r="C180" s="9" t="s">
        <v>93</v>
      </c>
      <c r="D180" s="9" t="s">
        <v>3637</v>
      </c>
      <c r="E180" s="9" t="s">
        <v>3618</v>
      </c>
      <c r="F180" s="9">
        <v>7589968.46</v>
      </c>
      <c r="G180" s="10">
        <v>45633</v>
      </c>
    </row>
    <row r="181" spans="1:7">
      <c r="A181" s="4" t="s">
        <v>92</v>
      </c>
      <c r="B181" s="9" t="s">
        <v>35</v>
      </c>
      <c r="C181" s="9" t="s">
        <v>93</v>
      </c>
      <c r="D181" s="9" t="s">
        <v>3637</v>
      </c>
      <c r="E181" s="9" t="s">
        <v>3616</v>
      </c>
      <c r="F181" s="9">
        <v>55295826.100000001</v>
      </c>
      <c r="G181" s="10">
        <v>45633</v>
      </c>
    </row>
    <row r="182" spans="1:7">
      <c r="A182" s="4" t="s">
        <v>92</v>
      </c>
      <c r="B182" s="9" t="s">
        <v>35</v>
      </c>
      <c r="C182" s="9" t="s">
        <v>93</v>
      </c>
      <c r="D182" s="9" t="s">
        <v>3637</v>
      </c>
      <c r="E182" s="9" t="s">
        <v>3620</v>
      </c>
      <c r="F182" s="9">
        <v>38478324.18</v>
      </c>
      <c r="G182" s="10">
        <v>45633</v>
      </c>
    </row>
    <row r="183" spans="1:7">
      <c r="A183" s="4" t="s">
        <v>92</v>
      </c>
      <c r="B183" s="9" t="s">
        <v>35</v>
      </c>
      <c r="C183" s="9" t="s">
        <v>93</v>
      </c>
      <c r="D183" s="9" t="s">
        <v>3637</v>
      </c>
      <c r="E183" s="9" t="s">
        <v>3621</v>
      </c>
      <c r="F183" s="9">
        <v>58809233.729999997</v>
      </c>
      <c r="G183" s="10">
        <v>45633</v>
      </c>
    </row>
    <row r="184" spans="1:7">
      <c r="A184" s="4" t="s">
        <v>92</v>
      </c>
      <c r="B184" s="9" t="s">
        <v>35</v>
      </c>
      <c r="C184" s="9" t="s">
        <v>93</v>
      </c>
      <c r="D184" s="9" t="s">
        <v>3637</v>
      </c>
      <c r="E184" s="9" t="s">
        <v>3623</v>
      </c>
      <c r="F184" s="9">
        <v>76148293.590000004</v>
      </c>
      <c r="G184" s="10">
        <v>45633</v>
      </c>
    </row>
    <row r="185" spans="1:7">
      <c r="A185" s="4" t="s">
        <v>94</v>
      </c>
      <c r="B185" s="9" t="s">
        <v>35</v>
      </c>
      <c r="C185" s="9" t="s">
        <v>95</v>
      </c>
      <c r="D185" s="9" t="s">
        <v>3636</v>
      </c>
      <c r="E185" s="9" t="s">
        <v>3609</v>
      </c>
      <c r="F185" s="9">
        <v>108829031.73</v>
      </c>
      <c r="G185" s="10">
        <v>45633</v>
      </c>
    </row>
    <row r="186" spans="1:7">
      <c r="A186" s="4" t="s">
        <v>94</v>
      </c>
      <c r="B186" s="9" t="s">
        <v>35</v>
      </c>
      <c r="C186" s="9" t="s">
        <v>95</v>
      </c>
      <c r="D186" s="9" t="s">
        <v>3636</v>
      </c>
      <c r="E186" s="9" t="s">
        <v>3606</v>
      </c>
      <c r="F186" s="9">
        <v>218063939.46000001</v>
      </c>
      <c r="G186" s="10">
        <v>45633</v>
      </c>
    </row>
    <row r="187" spans="1:7">
      <c r="A187" s="4" t="s">
        <v>94</v>
      </c>
      <c r="B187" s="9" t="s">
        <v>35</v>
      </c>
      <c r="C187" s="9" t="s">
        <v>95</v>
      </c>
      <c r="D187" s="9" t="s">
        <v>3636</v>
      </c>
      <c r="E187" s="9" t="s">
        <v>3612</v>
      </c>
      <c r="F187" s="9">
        <v>384134184.63999999</v>
      </c>
      <c r="G187" s="10">
        <v>45633</v>
      </c>
    </row>
    <row r="188" spans="1:7">
      <c r="A188" s="4" t="s">
        <v>94</v>
      </c>
      <c r="B188" s="9" t="s">
        <v>35</v>
      </c>
      <c r="C188" s="9" t="s">
        <v>95</v>
      </c>
      <c r="D188" s="9" t="s">
        <v>3636</v>
      </c>
      <c r="E188" s="9" t="s">
        <v>3610</v>
      </c>
      <c r="F188" s="9">
        <v>438773985.67000002</v>
      </c>
      <c r="G188" s="10">
        <v>45633</v>
      </c>
    </row>
    <row r="189" spans="1:7">
      <c r="A189" s="4" t="s">
        <v>94</v>
      </c>
      <c r="B189" s="9" t="s">
        <v>35</v>
      </c>
      <c r="C189" s="9" t="s">
        <v>95</v>
      </c>
      <c r="D189" s="9" t="s">
        <v>3636</v>
      </c>
      <c r="E189" s="9" t="s">
        <v>3604</v>
      </c>
      <c r="F189" s="9">
        <v>187304550.99000001</v>
      </c>
      <c r="G189" s="10">
        <v>45633</v>
      </c>
    </row>
    <row r="190" spans="1:7">
      <c r="A190" s="4" t="s">
        <v>94</v>
      </c>
      <c r="B190" s="9" t="s">
        <v>35</v>
      </c>
      <c r="C190" s="9" t="s">
        <v>95</v>
      </c>
      <c r="D190" s="9" t="s">
        <v>3636</v>
      </c>
      <c r="E190" s="9" t="s">
        <v>3611</v>
      </c>
      <c r="F190" s="9">
        <v>169044307.50999999</v>
      </c>
      <c r="G190" s="10">
        <v>45633</v>
      </c>
    </row>
    <row r="191" spans="1:7">
      <c r="A191" s="4" t="s">
        <v>94</v>
      </c>
      <c r="B191" s="9" t="s">
        <v>35</v>
      </c>
      <c r="C191" s="9" t="s">
        <v>95</v>
      </c>
      <c r="D191" s="9" t="s">
        <v>3637</v>
      </c>
      <c r="E191" s="9" t="s">
        <v>3623</v>
      </c>
      <c r="F191" s="9">
        <v>152656892.69999999</v>
      </c>
      <c r="G191" s="10">
        <v>45633</v>
      </c>
    </row>
    <row r="192" spans="1:7">
      <c r="A192" s="4" t="s">
        <v>94</v>
      </c>
      <c r="B192" s="9" t="s">
        <v>35</v>
      </c>
      <c r="C192" s="9" t="s">
        <v>95</v>
      </c>
      <c r="D192" s="9" t="s">
        <v>3637</v>
      </c>
      <c r="E192" s="9" t="s">
        <v>3615</v>
      </c>
      <c r="F192" s="9">
        <v>121496997.7</v>
      </c>
      <c r="G192" s="10">
        <v>45633</v>
      </c>
    </row>
    <row r="193" spans="1:7">
      <c r="A193" s="4" t="s">
        <v>94</v>
      </c>
      <c r="B193" s="9" t="s">
        <v>35</v>
      </c>
      <c r="C193" s="9" t="s">
        <v>95</v>
      </c>
      <c r="D193" s="9" t="s">
        <v>3637</v>
      </c>
      <c r="E193" s="9" t="s">
        <v>3614</v>
      </c>
      <c r="F193" s="9">
        <v>118969821.7</v>
      </c>
      <c r="G193" s="10">
        <v>45633</v>
      </c>
    </row>
    <row r="194" spans="1:7">
      <c r="A194" s="4" t="s">
        <v>94</v>
      </c>
      <c r="B194" s="9" t="s">
        <v>35</v>
      </c>
      <c r="C194" s="9" t="s">
        <v>95</v>
      </c>
      <c r="D194" s="9" t="s">
        <v>3637</v>
      </c>
      <c r="E194" s="9" t="s">
        <v>3621</v>
      </c>
      <c r="F194" s="9">
        <v>118630710.2</v>
      </c>
      <c r="G194" s="10">
        <v>45633</v>
      </c>
    </row>
    <row r="195" spans="1:7">
      <c r="A195" s="4" t="s">
        <v>94</v>
      </c>
      <c r="B195" s="9" t="s">
        <v>35</v>
      </c>
      <c r="C195" s="9" t="s">
        <v>95</v>
      </c>
      <c r="D195" s="9" t="s">
        <v>3637</v>
      </c>
      <c r="E195" s="9" t="s">
        <v>3617</v>
      </c>
      <c r="F195" s="9">
        <v>142720471.09999999</v>
      </c>
      <c r="G195" s="10">
        <v>45633</v>
      </c>
    </row>
    <row r="196" spans="1:7">
      <c r="A196" s="4" t="s">
        <v>94</v>
      </c>
      <c r="B196" s="9" t="s">
        <v>35</v>
      </c>
      <c r="C196" s="9" t="s">
        <v>95</v>
      </c>
      <c r="D196" s="9" t="s">
        <v>3637</v>
      </c>
      <c r="E196" s="9" t="s">
        <v>3616</v>
      </c>
      <c r="F196" s="9">
        <v>249215106.69999999</v>
      </c>
      <c r="G196" s="10">
        <v>45633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topLeftCell="A2" workbookViewId="0">
      <selection activeCell="D11" sqref="D11"/>
    </sheetView>
  </sheetViews>
  <sheetFormatPr defaultRowHeight="14.4"/>
  <cols>
    <col min="1" max="1" width="11.44140625" customWidth="1"/>
    <col min="2" max="2" width="11.77734375" customWidth="1"/>
    <col min="3" max="3" width="12.21875" customWidth="1"/>
    <col min="4" max="4" width="19.6640625" bestFit="1" customWidth="1"/>
    <col min="5" max="5" width="17.5546875" bestFit="1" customWidth="1"/>
    <col min="6" max="6" width="19.6640625" bestFit="1" customWidth="1"/>
    <col min="7" max="7" width="17.44140625" bestFit="1" customWidth="1"/>
    <col min="8" max="8" width="16" bestFit="1" customWidth="1"/>
    <col min="9" max="9" width="13.77734375" bestFit="1" customWidth="1"/>
    <col min="10" max="10" width="19.6640625" bestFit="1" customWidth="1"/>
    <col min="12" max="13" width="10.44140625" customWidth="1"/>
  </cols>
  <sheetData>
    <row r="1" spans="1:5">
      <c r="A1" t="s">
        <v>37</v>
      </c>
      <c r="B1" t="s">
        <v>36</v>
      </c>
      <c r="C1" t="s">
        <v>0</v>
      </c>
      <c r="D1" t="s">
        <v>3638</v>
      </c>
      <c r="E1" t="s">
        <v>3603</v>
      </c>
    </row>
    <row r="2" spans="1:5">
      <c r="A2" t="s">
        <v>41</v>
      </c>
      <c r="B2" t="s">
        <v>35</v>
      </c>
      <c r="C2" t="s">
        <v>73</v>
      </c>
      <c r="D2" t="s">
        <v>3624</v>
      </c>
      <c r="E2">
        <v>771624700.00000012</v>
      </c>
    </row>
    <row r="3" spans="1:5">
      <c r="A3" t="s">
        <v>41</v>
      </c>
      <c r="B3" t="s">
        <v>35</v>
      </c>
      <c r="C3" t="s">
        <v>73</v>
      </c>
      <c r="D3" t="s">
        <v>3625</v>
      </c>
      <c r="E3">
        <v>350738500</v>
      </c>
    </row>
    <row r="4" spans="1:5">
      <c r="A4" t="s">
        <v>41</v>
      </c>
      <c r="B4" t="s">
        <v>35</v>
      </c>
      <c r="C4" t="s">
        <v>73</v>
      </c>
      <c r="D4" t="s">
        <v>3626</v>
      </c>
      <c r="E4">
        <v>210443100</v>
      </c>
    </row>
    <row r="5" spans="1:5">
      <c r="A5" t="s">
        <v>41</v>
      </c>
      <c r="B5" t="s">
        <v>35</v>
      </c>
      <c r="C5" t="s">
        <v>73</v>
      </c>
      <c r="D5" t="s">
        <v>3627</v>
      </c>
      <c r="E5">
        <v>70147700</v>
      </c>
    </row>
    <row r="6" spans="1:5">
      <c r="A6" t="s">
        <v>42</v>
      </c>
      <c r="B6" t="s">
        <v>35</v>
      </c>
      <c r="C6" t="s">
        <v>74</v>
      </c>
      <c r="D6" t="s">
        <v>3624</v>
      </c>
      <c r="E6">
        <v>11451412500</v>
      </c>
    </row>
    <row r="7" spans="1:5">
      <c r="A7" t="s">
        <v>42</v>
      </c>
      <c r="B7" t="s">
        <v>35</v>
      </c>
      <c r="C7" t="s">
        <v>74</v>
      </c>
      <c r="D7" t="s">
        <v>3625</v>
      </c>
      <c r="E7">
        <v>5205187500</v>
      </c>
    </row>
    <row r="8" spans="1:5">
      <c r="A8" t="s">
        <v>42</v>
      </c>
      <c r="B8" t="s">
        <v>35</v>
      </c>
      <c r="C8" t="s">
        <v>74</v>
      </c>
      <c r="D8" t="s">
        <v>3626</v>
      </c>
      <c r="E8">
        <v>3123112500</v>
      </c>
    </row>
    <row r="9" spans="1:5">
      <c r="A9" t="s">
        <v>42</v>
      </c>
      <c r="B9" t="s">
        <v>35</v>
      </c>
      <c r="C9" t="s">
        <v>74</v>
      </c>
      <c r="D9" t="s">
        <v>3627</v>
      </c>
      <c r="E9">
        <v>1041037500</v>
      </c>
    </row>
    <row r="10" spans="1:5">
      <c r="A10" t="s">
        <v>43</v>
      </c>
      <c r="B10" t="s">
        <v>35</v>
      </c>
      <c r="C10" t="s">
        <v>75</v>
      </c>
      <c r="D10" t="s">
        <v>3624</v>
      </c>
      <c r="E10">
        <v>1720033700.0000002</v>
      </c>
    </row>
    <row r="11" spans="1:5">
      <c r="A11" t="s">
        <v>43</v>
      </c>
      <c r="B11" t="s">
        <v>35</v>
      </c>
      <c r="C11" t="s">
        <v>75</v>
      </c>
      <c r="D11" t="s">
        <v>3625</v>
      </c>
      <c r="E11">
        <v>781833500</v>
      </c>
    </row>
    <row r="12" spans="1:5">
      <c r="A12" t="s">
        <v>43</v>
      </c>
      <c r="B12" t="s">
        <v>35</v>
      </c>
      <c r="C12" t="s">
        <v>75</v>
      </c>
      <c r="D12" t="s">
        <v>3626</v>
      </c>
      <c r="E12">
        <v>469100100</v>
      </c>
    </row>
    <row r="13" spans="1:5">
      <c r="A13" t="s">
        <v>43</v>
      </c>
      <c r="B13" t="s">
        <v>35</v>
      </c>
      <c r="C13" t="s">
        <v>75</v>
      </c>
      <c r="D13" t="s">
        <v>3627</v>
      </c>
      <c r="E13">
        <v>156366700</v>
      </c>
    </row>
    <row r="14" spans="1:5">
      <c r="A14" t="s">
        <v>44</v>
      </c>
      <c r="B14" t="s">
        <v>35</v>
      </c>
      <c r="C14" t="s">
        <v>76</v>
      </c>
      <c r="D14" t="s">
        <v>3624</v>
      </c>
      <c r="E14">
        <v>1413073200</v>
      </c>
    </row>
    <row r="15" spans="1:5">
      <c r="A15" t="s">
        <v>44</v>
      </c>
      <c r="B15" t="s">
        <v>35</v>
      </c>
      <c r="C15" t="s">
        <v>76</v>
      </c>
      <c r="D15" t="s">
        <v>3625</v>
      </c>
      <c r="E15">
        <v>642306000</v>
      </c>
    </row>
    <row r="16" spans="1:5">
      <c r="A16" t="s">
        <v>44</v>
      </c>
      <c r="B16" t="s">
        <v>35</v>
      </c>
      <c r="C16" t="s">
        <v>76</v>
      </c>
      <c r="D16" t="s">
        <v>3626</v>
      </c>
      <c r="E16">
        <v>385383600</v>
      </c>
    </row>
    <row r="17" spans="1:5">
      <c r="A17" t="s">
        <v>44</v>
      </c>
      <c r="B17" t="s">
        <v>35</v>
      </c>
      <c r="C17" t="s">
        <v>76</v>
      </c>
      <c r="D17" t="s">
        <v>3627</v>
      </c>
      <c r="E17">
        <v>128461200</v>
      </c>
    </row>
    <row r="18" spans="1:5">
      <c r="A18" t="s">
        <v>45</v>
      </c>
      <c r="B18" t="s">
        <v>35</v>
      </c>
      <c r="C18" t="s">
        <v>77</v>
      </c>
      <c r="D18" t="s">
        <v>3624</v>
      </c>
      <c r="E18">
        <v>1359635200</v>
      </c>
    </row>
    <row r="19" spans="1:5">
      <c r="A19" t="s">
        <v>45</v>
      </c>
      <c r="B19" t="s">
        <v>35</v>
      </c>
      <c r="C19" t="s">
        <v>77</v>
      </c>
      <c r="D19" t="s">
        <v>3625</v>
      </c>
      <c r="E19">
        <v>618016000</v>
      </c>
    </row>
    <row r="20" spans="1:5">
      <c r="A20" t="s">
        <v>45</v>
      </c>
      <c r="B20" t="s">
        <v>35</v>
      </c>
      <c r="C20" t="s">
        <v>77</v>
      </c>
      <c r="D20" t="s">
        <v>3626</v>
      </c>
      <c r="E20">
        <v>370809600</v>
      </c>
    </row>
    <row r="21" spans="1:5">
      <c r="A21" t="s">
        <v>45</v>
      </c>
      <c r="B21" t="s">
        <v>35</v>
      </c>
      <c r="C21" t="s">
        <v>77</v>
      </c>
      <c r="D21" t="s">
        <v>3627</v>
      </c>
      <c r="E21">
        <v>123603200</v>
      </c>
    </row>
    <row r="22" spans="1:5">
      <c r="A22" t="s">
        <v>46</v>
      </c>
      <c r="B22" t="s">
        <v>35</v>
      </c>
      <c r="C22" t="s">
        <v>78</v>
      </c>
      <c r="D22" t="s">
        <v>3624</v>
      </c>
      <c r="E22">
        <v>414720075.00000006</v>
      </c>
    </row>
    <row r="23" spans="1:5">
      <c r="A23" t="s">
        <v>46</v>
      </c>
      <c r="B23" t="s">
        <v>35</v>
      </c>
      <c r="C23" t="s">
        <v>78</v>
      </c>
      <c r="D23" t="s">
        <v>3625</v>
      </c>
      <c r="E23">
        <v>188509125</v>
      </c>
    </row>
    <row r="24" spans="1:5">
      <c r="A24" t="s">
        <v>46</v>
      </c>
      <c r="B24" t="s">
        <v>35</v>
      </c>
      <c r="C24" t="s">
        <v>78</v>
      </c>
      <c r="D24" t="s">
        <v>3626</v>
      </c>
      <c r="E24">
        <v>113105475</v>
      </c>
    </row>
    <row r="25" spans="1:5">
      <c r="A25" t="s">
        <v>46</v>
      </c>
      <c r="B25" t="s">
        <v>35</v>
      </c>
      <c r="C25" t="s">
        <v>78</v>
      </c>
      <c r="D25" t="s">
        <v>3627</v>
      </c>
      <c r="E25">
        <v>37701825</v>
      </c>
    </row>
    <row r="26" spans="1:5">
      <c r="A26" t="s">
        <v>47</v>
      </c>
      <c r="B26" t="s">
        <v>35</v>
      </c>
      <c r="C26" t="s">
        <v>79</v>
      </c>
      <c r="D26" t="s">
        <v>3624</v>
      </c>
      <c r="E26">
        <v>2476617000</v>
      </c>
    </row>
    <row r="27" spans="1:5">
      <c r="A27" t="s">
        <v>47</v>
      </c>
      <c r="B27" t="s">
        <v>35</v>
      </c>
      <c r="C27" t="s">
        <v>79</v>
      </c>
      <c r="D27" t="s">
        <v>3625</v>
      </c>
      <c r="E27">
        <v>1125735000</v>
      </c>
    </row>
    <row r="28" spans="1:5">
      <c r="A28" t="s">
        <v>47</v>
      </c>
      <c r="B28" t="s">
        <v>35</v>
      </c>
      <c r="C28" t="s">
        <v>79</v>
      </c>
      <c r="D28" t="s">
        <v>3626</v>
      </c>
      <c r="E28">
        <v>675441000</v>
      </c>
    </row>
    <row r="29" spans="1:5">
      <c r="A29" t="s">
        <v>47</v>
      </c>
      <c r="B29" t="s">
        <v>35</v>
      </c>
      <c r="C29" t="s">
        <v>79</v>
      </c>
      <c r="D29" t="s">
        <v>3627</v>
      </c>
      <c r="E29">
        <v>225147000</v>
      </c>
    </row>
    <row r="30" spans="1:5">
      <c r="A30" t="s">
        <v>48</v>
      </c>
      <c r="B30" t="s">
        <v>35</v>
      </c>
      <c r="C30" t="s">
        <v>80</v>
      </c>
      <c r="D30" t="s">
        <v>3624</v>
      </c>
      <c r="E30">
        <v>297318450</v>
      </c>
    </row>
    <row r="31" spans="1:5">
      <c r="A31" t="s">
        <v>48</v>
      </c>
      <c r="B31" t="s">
        <v>35</v>
      </c>
      <c r="C31" t="s">
        <v>80</v>
      </c>
      <c r="D31" t="s">
        <v>3625</v>
      </c>
      <c r="E31">
        <v>135144750</v>
      </c>
    </row>
    <row r="32" spans="1:5">
      <c r="A32" t="s">
        <v>48</v>
      </c>
      <c r="B32" t="s">
        <v>35</v>
      </c>
      <c r="C32" t="s">
        <v>80</v>
      </c>
      <c r="D32" t="s">
        <v>3626</v>
      </c>
      <c r="E32">
        <v>81086850</v>
      </c>
    </row>
    <row r="33" spans="1:5">
      <c r="A33" t="s">
        <v>48</v>
      </c>
      <c r="B33" t="s">
        <v>35</v>
      </c>
      <c r="C33" t="s">
        <v>80</v>
      </c>
      <c r="D33" t="s">
        <v>3627</v>
      </c>
      <c r="E33">
        <v>27028950</v>
      </c>
    </row>
    <row r="34" spans="1:5">
      <c r="A34" t="s">
        <v>81</v>
      </c>
      <c r="B34" t="s">
        <v>35</v>
      </c>
      <c r="C34" t="s">
        <v>82</v>
      </c>
      <c r="D34" t="s">
        <v>3624</v>
      </c>
      <c r="E34">
        <v>3265803750.0000005</v>
      </c>
    </row>
    <row r="35" spans="1:5">
      <c r="A35" t="s">
        <v>81</v>
      </c>
      <c r="B35" t="s">
        <v>35</v>
      </c>
      <c r="C35" t="s">
        <v>82</v>
      </c>
      <c r="D35" t="s">
        <v>3625</v>
      </c>
      <c r="E35">
        <v>1484456250</v>
      </c>
    </row>
    <row r="36" spans="1:5">
      <c r="A36" t="s">
        <v>81</v>
      </c>
      <c r="B36" t="s">
        <v>35</v>
      </c>
      <c r="C36" t="s">
        <v>82</v>
      </c>
      <c r="D36" t="s">
        <v>3626</v>
      </c>
      <c r="E36">
        <v>890673750</v>
      </c>
    </row>
    <row r="37" spans="1:5">
      <c r="A37" t="s">
        <v>81</v>
      </c>
      <c r="B37" t="s">
        <v>35</v>
      </c>
      <c r="C37" t="s">
        <v>82</v>
      </c>
      <c r="D37" t="s">
        <v>3627</v>
      </c>
      <c r="E37">
        <v>296891250</v>
      </c>
    </row>
    <row r="38" spans="1:5">
      <c r="A38" t="s">
        <v>83</v>
      </c>
      <c r="B38" t="s">
        <v>35</v>
      </c>
      <c r="C38" t="s">
        <v>84</v>
      </c>
      <c r="D38" t="s">
        <v>3624</v>
      </c>
      <c r="E38">
        <v>4683101500</v>
      </c>
    </row>
    <row r="39" spans="1:5">
      <c r="A39" t="s">
        <v>83</v>
      </c>
      <c r="B39" t="s">
        <v>35</v>
      </c>
      <c r="C39" t="s">
        <v>84</v>
      </c>
      <c r="D39" t="s">
        <v>3625</v>
      </c>
      <c r="E39">
        <v>2128682500</v>
      </c>
    </row>
    <row r="40" spans="1:5">
      <c r="A40" t="s">
        <v>83</v>
      </c>
      <c r="B40" t="s">
        <v>35</v>
      </c>
      <c r="C40" t="s">
        <v>84</v>
      </c>
      <c r="D40" t="s">
        <v>3626</v>
      </c>
      <c r="E40">
        <v>1277209500</v>
      </c>
    </row>
    <row r="41" spans="1:5">
      <c r="A41" t="s">
        <v>83</v>
      </c>
      <c r="B41" t="s">
        <v>35</v>
      </c>
      <c r="C41" t="s">
        <v>84</v>
      </c>
      <c r="D41" t="s">
        <v>3627</v>
      </c>
      <c r="E41">
        <v>425736500</v>
      </c>
    </row>
    <row r="42" spans="1:5">
      <c r="A42" t="s">
        <v>86</v>
      </c>
      <c r="B42" t="s">
        <v>35</v>
      </c>
      <c r="C42" t="s">
        <v>85</v>
      </c>
      <c r="D42" t="s">
        <v>3624</v>
      </c>
      <c r="E42">
        <v>479475150.00000006</v>
      </c>
    </row>
    <row r="43" spans="1:5">
      <c r="A43" t="s">
        <v>86</v>
      </c>
      <c r="B43" t="s">
        <v>35</v>
      </c>
      <c r="C43" t="s">
        <v>85</v>
      </c>
      <c r="D43" t="s">
        <v>3625</v>
      </c>
      <c r="E43">
        <v>217943250</v>
      </c>
    </row>
    <row r="44" spans="1:5">
      <c r="A44" t="s">
        <v>86</v>
      </c>
      <c r="B44" t="s">
        <v>35</v>
      </c>
      <c r="C44" t="s">
        <v>85</v>
      </c>
      <c r="D44" t="s">
        <v>3626</v>
      </c>
      <c r="E44">
        <v>130765950</v>
      </c>
    </row>
    <row r="45" spans="1:5">
      <c r="A45" t="s">
        <v>86</v>
      </c>
      <c r="B45" t="s">
        <v>35</v>
      </c>
      <c r="C45" t="s">
        <v>85</v>
      </c>
      <c r="D45" t="s">
        <v>3627</v>
      </c>
      <c r="E45">
        <v>43588650</v>
      </c>
    </row>
    <row r="46" spans="1:5">
      <c r="A46" t="s">
        <v>87</v>
      </c>
      <c r="B46" t="s">
        <v>35</v>
      </c>
      <c r="C46" t="s">
        <v>3597</v>
      </c>
      <c r="D46" t="s">
        <v>3624</v>
      </c>
      <c r="E46">
        <v>4193213200.0000005</v>
      </c>
    </row>
    <row r="47" spans="1:5">
      <c r="A47" t="s">
        <v>87</v>
      </c>
      <c r="B47" t="s">
        <v>35</v>
      </c>
      <c r="C47" t="s">
        <v>3597</v>
      </c>
      <c r="D47" t="s">
        <v>3625</v>
      </c>
      <c r="E47">
        <v>1906006000</v>
      </c>
    </row>
    <row r="48" spans="1:5">
      <c r="A48" t="s">
        <v>87</v>
      </c>
      <c r="B48" t="s">
        <v>35</v>
      </c>
      <c r="C48" t="s">
        <v>3597</v>
      </c>
      <c r="D48" t="s">
        <v>3626</v>
      </c>
      <c r="E48">
        <v>1143603600</v>
      </c>
    </row>
    <row r="49" spans="1:5">
      <c r="A49" t="s">
        <v>87</v>
      </c>
      <c r="B49" t="s">
        <v>35</v>
      </c>
      <c r="C49" t="s">
        <v>3597</v>
      </c>
      <c r="D49" t="s">
        <v>3627</v>
      </c>
      <c r="E49">
        <v>381201200</v>
      </c>
    </row>
    <row r="50" spans="1:5">
      <c r="A50" t="s">
        <v>88</v>
      </c>
      <c r="B50" t="s">
        <v>35</v>
      </c>
      <c r="C50" t="s">
        <v>89</v>
      </c>
      <c r="D50" t="s">
        <v>3624</v>
      </c>
      <c r="E50">
        <v>234809520.00000003</v>
      </c>
    </row>
    <row r="51" spans="1:5">
      <c r="A51" t="s">
        <v>88</v>
      </c>
      <c r="B51" t="s">
        <v>35</v>
      </c>
      <c r="C51" t="s">
        <v>89</v>
      </c>
      <c r="D51" t="s">
        <v>3625</v>
      </c>
      <c r="E51">
        <v>106731600</v>
      </c>
    </row>
    <row r="52" spans="1:5">
      <c r="A52" t="s">
        <v>88</v>
      </c>
      <c r="B52" t="s">
        <v>35</v>
      </c>
      <c r="C52" t="s">
        <v>89</v>
      </c>
      <c r="D52" t="s">
        <v>3626</v>
      </c>
      <c r="E52">
        <v>64038960</v>
      </c>
    </row>
    <row r="53" spans="1:5">
      <c r="A53" t="s">
        <v>88</v>
      </c>
      <c r="B53" t="s">
        <v>35</v>
      </c>
      <c r="C53" t="s">
        <v>89</v>
      </c>
      <c r="D53" t="s">
        <v>3627</v>
      </c>
      <c r="E53">
        <v>21346320</v>
      </c>
    </row>
    <row r="54" spans="1:5">
      <c r="A54" t="s">
        <v>91</v>
      </c>
      <c r="B54" t="s">
        <v>35</v>
      </c>
      <c r="C54" t="s">
        <v>90</v>
      </c>
      <c r="D54" t="s">
        <v>3624</v>
      </c>
      <c r="E54">
        <v>1288985065.5</v>
      </c>
    </row>
    <row r="55" spans="1:5">
      <c r="A55" t="s">
        <v>91</v>
      </c>
      <c r="B55" t="s">
        <v>35</v>
      </c>
      <c r="C55" t="s">
        <v>90</v>
      </c>
      <c r="D55" t="s">
        <v>3625</v>
      </c>
      <c r="E55">
        <v>585902302.5</v>
      </c>
    </row>
    <row r="56" spans="1:5">
      <c r="A56" t="s">
        <v>91</v>
      </c>
      <c r="B56" t="s">
        <v>35</v>
      </c>
      <c r="C56" t="s">
        <v>90</v>
      </c>
      <c r="D56" t="s">
        <v>3626</v>
      </c>
      <c r="E56">
        <v>351541381.5</v>
      </c>
    </row>
    <row r="57" spans="1:5">
      <c r="A57" t="s">
        <v>91</v>
      </c>
      <c r="B57" t="s">
        <v>35</v>
      </c>
      <c r="C57" t="s">
        <v>90</v>
      </c>
      <c r="D57" t="s">
        <v>3627</v>
      </c>
      <c r="E57">
        <v>117180460.5</v>
      </c>
    </row>
    <row r="58" spans="1:5">
      <c r="A58" t="s">
        <v>92</v>
      </c>
      <c r="B58" t="s">
        <v>35</v>
      </c>
      <c r="C58" t="s">
        <v>93</v>
      </c>
      <c r="D58" t="s">
        <v>3624</v>
      </c>
      <c r="E58">
        <v>854901740.00000012</v>
      </c>
    </row>
    <row r="59" spans="1:5">
      <c r="A59" t="s">
        <v>92</v>
      </c>
      <c r="B59" t="s">
        <v>35</v>
      </c>
      <c r="C59" t="s">
        <v>93</v>
      </c>
      <c r="D59" t="s">
        <v>3625</v>
      </c>
      <c r="E59">
        <v>388591700</v>
      </c>
    </row>
    <row r="60" spans="1:5">
      <c r="A60" t="s">
        <v>92</v>
      </c>
      <c r="B60" t="s">
        <v>35</v>
      </c>
      <c r="C60" t="s">
        <v>93</v>
      </c>
      <c r="D60" t="s">
        <v>3626</v>
      </c>
      <c r="E60">
        <v>233155020</v>
      </c>
    </row>
    <row r="61" spans="1:5">
      <c r="A61" t="s">
        <v>92</v>
      </c>
      <c r="B61" t="s">
        <v>35</v>
      </c>
      <c r="C61" t="s">
        <v>93</v>
      </c>
      <c r="D61" t="s">
        <v>3627</v>
      </c>
      <c r="E61">
        <v>77718340</v>
      </c>
    </row>
    <row r="62" spans="1:5">
      <c r="A62" t="s">
        <v>94</v>
      </c>
      <c r="B62" t="s">
        <v>35</v>
      </c>
      <c r="C62" t="s">
        <v>95</v>
      </c>
      <c r="D62" t="s">
        <v>3624</v>
      </c>
      <c r="E62">
        <v>1325412000</v>
      </c>
    </row>
    <row r="63" spans="1:5">
      <c r="A63" t="s">
        <v>94</v>
      </c>
      <c r="B63" t="s">
        <v>35</v>
      </c>
      <c r="C63" t="s">
        <v>95</v>
      </c>
      <c r="D63" t="s">
        <v>3625</v>
      </c>
      <c r="E63">
        <v>602460000</v>
      </c>
    </row>
    <row r="64" spans="1:5">
      <c r="A64" t="s">
        <v>94</v>
      </c>
      <c r="B64" t="s">
        <v>35</v>
      </c>
      <c r="C64" t="s">
        <v>95</v>
      </c>
      <c r="D64" t="s">
        <v>3626</v>
      </c>
      <c r="E64">
        <v>361476000</v>
      </c>
    </row>
    <row r="65" spans="1:5">
      <c r="A65" t="s">
        <v>94</v>
      </c>
      <c r="B65" t="s">
        <v>35</v>
      </c>
      <c r="C65" t="s">
        <v>95</v>
      </c>
      <c r="D65" t="s">
        <v>3627</v>
      </c>
      <c r="E65">
        <v>120492000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01"/>
  <sheetViews>
    <sheetView topLeftCell="A2" zoomScale="70" zoomScaleNormal="70" workbookViewId="0">
      <selection activeCell="D13" sqref="D13"/>
    </sheetView>
  </sheetViews>
  <sheetFormatPr defaultRowHeight="14.4"/>
  <cols>
    <col min="1" max="1" width="16.109375" bestFit="1" customWidth="1"/>
    <col min="2" max="2" width="17.6640625" style="6" customWidth="1"/>
    <col min="3" max="3" width="22.109375" style="6" customWidth="1"/>
    <col min="4" max="4" width="38.21875" bestFit="1" customWidth="1"/>
    <col min="5" max="5" width="22.21875" bestFit="1" customWidth="1"/>
    <col min="6" max="6" width="18.33203125" bestFit="1" customWidth="1"/>
    <col min="7" max="7" width="22.77734375" style="1" customWidth="1"/>
    <col min="8" max="8" width="19.77734375" bestFit="1" customWidth="1"/>
    <col min="9" max="10" width="13.33203125" customWidth="1"/>
    <col min="12" max="12" width="17.6640625" customWidth="1"/>
  </cols>
  <sheetData>
    <row r="1" spans="1:9">
      <c r="A1" t="s">
        <v>51</v>
      </c>
      <c r="B1" s="6" t="s">
        <v>96</v>
      </c>
      <c r="C1" s="6" t="s">
        <v>3633</v>
      </c>
      <c r="D1" t="s">
        <v>0</v>
      </c>
      <c r="E1" t="s">
        <v>3634</v>
      </c>
      <c r="F1" t="s">
        <v>3635</v>
      </c>
      <c r="G1" t="s">
        <v>52</v>
      </c>
      <c r="H1" s="2"/>
      <c r="I1" s="2"/>
    </row>
    <row r="2" spans="1:9">
      <c r="A2" t="s">
        <v>97</v>
      </c>
      <c r="B2" s="6">
        <v>45906</v>
      </c>
      <c r="C2" s="6" t="str">
        <f>TEXT(Table3[[#This Row],[transaction_date]], "yyyy-mm")</f>
        <v>2025-09</v>
      </c>
      <c r="D2" t="s">
        <v>85</v>
      </c>
      <c r="E2" t="s">
        <v>3636</v>
      </c>
      <c r="F2" t="s">
        <v>3613</v>
      </c>
      <c r="G2">
        <v>2985572.91</v>
      </c>
    </row>
    <row r="3" spans="1:9">
      <c r="A3" t="s">
        <v>98</v>
      </c>
      <c r="B3" s="6">
        <v>45965</v>
      </c>
      <c r="C3" s="6" t="str">
        <f>TEXT(Table3[[#This Row],[transaction_date]], "yyyy-mm")</f>
        <v>2025-11</v>
      </c>
      <c r="D3" t="s">
        <v>90</v>
      </c>
      <c r="E3" t="s">
        <v>3636</v>
      </c>
      <c r="F3" t="s">
        <v>3608</v>
      </c>
      <c r="G3">
        <v>12635066.050000001</v>
      </c>
    </row>
    <row r="4" spans="1:9">
      <c r="A4" t="s">
        <v>99</v>
      </c>
      <c r="B4" s="6">
        <v>45718</v>
      </c>
      <c r="C4" s="6" t="str">
        <f>TEXT(Table3[[#This Row],[transaction_date]], "yyyy-mm")</f>
        <v>2025-03</v>
      </c>
      <c r="D4" t="s">
        <v>95</v>
      </c>
      <c r="E4" t="s">
        <v>3637</v>
      </c>
      <c r="F4" t="s">
        <v>3614</v>
      </c>
      <c r="G4">
        <v>2241162.7999999998</v>
      </c>
    </row>
    <row r="5" spans="1:9">
      <c r="A5" t="s">
        <v>100</v>
      </c>
      <c r="B5" s="6">
        <v>45684</v>
      </c>
      <c r="C5" s="6" t="str">
        <f>TEXT(Table3[[#This Row],[transaction_date]], "yyyy-mm")</f>
        <v>2025-01</v>
      </c>
      <c r="D5" t="s">
        <v>78</v>
      </c>
      <c r="E5" t="s">
        <v>3636</v>
      </c>
      <c r="F5" t="s">
        <v>3610</v>
      </c>
      <c r="G5">
        <v>941863.83</v>
      </c>
    </row>
    <row r="6" spans="1:9">
      <c r="A6" t="s">
        <v>101</v>
      </c>
      <c r="B6" s="6">
        <v>45932</v>
      </c>
      <c r="C6" s="6" t="str">
        <f>TEXT(Table3[[#This Row],[transaction_date]], "yyyy-mm")</f>
        <v>2025-10</v>
      </c>
      <c r="D6" t="s">
        <v>93</v>
      </c>
      <c r="E6" t="s">
        <v>3637</v>
      </c>
      <c r="F6" t="s">
        <v>3615</v>
      </c>
      <c r="G6">
        <v>4462901.4400000004</v>
      </c>
    </row>
    <row r="7" spans="1:9">
      <c r="A7" t="s">
        <v>102</v>
      </c>
      <c r="B7" s="6">
        <v>45976</v>
      </c>
      <c r="C7" s="6" t="str">
        <f>TEXT(Table3[[#This Row],[transaction_date]], "yyyy-mm")</f>
        <v>2025-11</v>
      </c>
      <c r="D7" t="s">
        <v>95</v>
      </c>
      <c r="E7" t="s">
        <v>3636</v>
      </c>
      <c r="F7" t="s">
        <v>3608</v>
      </c>
      <c r="G7">
        <v>21126094.359999999</v>
      </c>
    </row>
    <row r="8" spans="1:9">
      <c r="A8" t="s">
        <v>103</v>
      </c>
      <c r="B8" s="6">
        <v>45813</v>
      </c>
      <c r="C8" s="6" t="str">
        <f>TEXT(Table3[[#This Row],[transaction_date]], "yyyy-mm")</f>
        <v>2025-06</v>
      </c>
      <c r="D8" t="s">
        <v>75</v>
      </c>
      <c r="E8" t="s">
        <v>3636</v>
      </c>
      <c r="F8" t="s">
        <v>3608</v>
      </c>
      <c r="G8">
        <v>908018.27</v>
      </c>
    </row>
    <row r="9" spans="1:9">
      <c r="A9" t="s">
        <v>104</v>
      </c>
      <c r="B9" s="6">
        <v>45977</v>
      </c>
      <c r="C9" s="6" t="str">
        <f>TEXT(Table3[[#This Row],[transaction_date]], "yyyy-mm")</f>
        <v>2025-11</v>
      </c>
      <c r="D9" t="s">
        <v>76</v>
      </c>
      <c r="E9" t="s">
        <v>3637</v>
      </c>
      <c r="F9" t="s">
        <v>3620</v>
      </c>
      <c r="G9">
        <v>6874274.4000000004</v>
      </c>
    </row>
    <row r="10" spans="1:9">
      <c r="A10" t="s">
        <v>105</v>
      </c>
      <c r="B10" s="6">
        <v>45847</v>
      </c>
      <c r="C10" s="6" t="str">
        <f>TEXT(Table3[[#This Row],[transaction_date]], "yyyy-mm")</f>
        <v>2025-07</v>
      </c>
      <c r="D10" t="s">
        <v>84</v>
      </c>
      <c r="E10" t="s">
        <v>3637</v>
      </c>
      <c r="F10" t="s">
        <v>3616</v>
      </c>
      <c r="G10">
        <v>2015492.37</v>
      </c>
    </row>
    <row r="11" spans="1:9">
      <c r="A11" t="s">
        <v>106</v>
      </c>
      <c r="B11" s="6">
        <v>45779</v>
      </c>
      <c r="C11" s="6" t="str">
        <f>TEXT(Table3[[#This Row],[transaction_date]], "yyyy-mm")</f>
        <v>2025-05</v>
      </c>
      <c r="D11" t="s">
        <v>84</v>
      </c>
      <c r="E11" t="s">
        <v>3636</v>
      </c>
      <c r="F11" t="s">
        <v>3604</v>
      </c>
      <c r="G11">
        <v>12648713.439999999</v>
      </c>
    </row>
    <row r="12" spans="1:9">
      <c r="A12" t="s">
        <v>107</v>
      </c>
      <c r="B12" s="6">
        <v>45889</v>
      </c>
      <c r="C12" s="6" t="str">
        <f>TEXT(Table3[[#This Row],[transaction_date]], "yyyy-mm")</f>
        <v>2025-08</v>
      </c>
      <c r="D12" t="s">
        <v>89</v>
      </c>
      <c r="E12" t="s">
        <v>3637</v>
      </c>
      <c r="F12" t="s">
        <v>3617</v>
      </c>
      <c r="G12">
        <v>138171.07</v>
      </c>
    </row>
    <row r="13" spans="1:9">
      <c r="A13" t="s">
        <v>108</v>
      </c>
      <c r="B13" s="6">
        <v>45720</v>
      </c>
      <c r="C13" s="6" t="str">
        <f>TEXT(Table3[[#This Row],[transaction_date]], "yyyy-mm")</f>
        <v>2025-03</v>
      </c>
      <c r="D13" t="s">
        <v>85</v>
      </c>
      <c r="E13" t="s">
        <v>3636</v>
      </c>
      <c r="F13" t="s">
        <v>3605</v>
      </c>
      <c r="G13">
        <v>1534934.26</v>
      </c>
    </row>
    <row r="14" spans="1:9">
      <c r="A14" t="s">
        <v>109</v>
      </c>
      <c r="B14" s="6">
        <v>45964</v>
      </c>
      <c r="C14" s="6" t="str">
        <f>TEXT(Table3[[#This Row],[transaction_date]], "yyyy-mm")</f>
        <v>2025-11</v>
      </c>
      <c r="D14" t="s">
        <v>75</v>
      </c>
      <c r="E14" t="s">
        <v>3636</v>
      </c>
      <c r="F14" t="s">
        <v>3606</v>
      </c>
      <c r="G14">
        <v>671311.63</v>
      </c>
    </row>
    <row r="15" spans="1:9">
      <c r="A15" t="s">
        <v>110</v>
      </c>
      <c r="B15" s="6">
        <v>45934</v>
      </c>
      <c r="C15" s="6" t="str">
        <f>TEXT(Table3[[#This Row],[transaction_date]], "yyyy-mm")</f>
        <v>2025-10</v>
      </c>
      <c r="D15" t="s">
        <v>89</v>
      </c>
      <c r="E15" t="s">
        <v>3637</v>
      </c>
      <c r="F15" t="s">
        <v>3618</v>
      </c>
      <c r="G15">
        <v>499143.82</v>
      </c>
    </row>
    <row r="16" spans="1:9">
      <c r="A16" t="s">
        <v>111</v>
      </c>
      <c r="B16" s="6">
        <v>45804</v>
      </c>
      <c r="C16" s="6" t="str">
        <f>TEXT(Table3[[#This Row],[transaction_date]], "yyyy-mm")</f>
        <v>2025-05</v>
      </c>
      <c r="D16" t="s">
        <v>84</v>
      </c>
      <c r="E16" t="s">
        <v>3636</v>
      </c>
      <c r="F16" t="s">
        <v>3605</v>
      </c>
      <c r="G16">
        <v>62010.11</v>
      </c>
    </row>
    <row r="17" spans="1:7">
      <c r="A17" t="s">
        <v>112</v>
      </c>
      <c r="B17" s="6">
        <v>45719</v>
      </c>
      <c r="C17" s="6" t="str">
        <f>TEXT(Table3[[#This Row],[transaction_date]], "yyyy-mm")</f>
        <v>2025-03</v>
      </c>
      <c r="D17" t="s">
        <v>77</v>
      </c>
      <c r="E17" t="s">
        <v>3637</v>
      </c>
      <c r="F17" t="s">
        <v>3617</v>
      </c>
      <c r="G17">
        <v>687265.28000000003</v>
      </c>
    </row>
    <row r="18" spans="1:7">
      <c r="A18" t="s">
        <v>113</v>
      </c>
      <c r="B18" s="6">
        <v>46005</v>
      </c>
      <c r="C18" s="6" t="str">
        <f>TEXT(Table3[[#This Row],[transaction_date]], "yyyy-mm")</f>
        <v>2025-12</v>
      </c>
      <c r="D18" t="s">
        <v>77</v>
      </c>
      <c r="E18" t="s">
        <v>3636</v>
      </c>
      <c r="F18" t="s">
        <v>3610</v>
      </c>
      <c r="G18">
        <v>3512655.77</v>
      </c>
    </row>
    <row r="19" spans="1:7">
      <c r="A19" t="s">
        <v>114</v>
      </c>
      <c r="B19" s="6">
        <v>45870</v>
      </c>
      <c r="C19" s="6" t="str">
        <f>TEXT(Table3[[#This Row],[transaction_date]], "yyyy-mm")</f>
        <v>2025-08</v>
      </c>
      <c r="D19" t="s">
        <v>79</v>
      </c>
      <c r="E19" t="s">
        <v>3636</v>
      </c>
      <c r="F19" t="s">
        <v>3604</v>
      </c>
      <c r="G19">
        <v>2573507.9300000002</v>
      </c>
    </row>
    <row r="20" spans="1:7">
      <c r="A20" t="s">
        <v>115</v>
      </c>
      <c r="B20" s="6">
        <v>45730</v>
      </c>
      <c r="C20" s="6" t="str">
        <f>TEXT(Table3[[#This Row],[transaction_date]], "yyyy-mm")</f>
        <v>2025-03</v>
      </c>
      <c r="D20" t="s">
        <v>79</v>
      </c>
      <c r="E20" t="s">
        <v>3636</v>
      </c>
      <c r="F20" t="s">
        <v>3606</v>
      </c>
      <c r="G20">
        <v>4069465.31</v>
      </c>
    </row>
    <row r="21" spans="1:7">
      <c r="A21" t="s">
        <v>116</v>
      </c>
      <c r="B21" s="6">
        <v>46009</v>
      </c>
      <c r="C21" s="6" t="str">
        <f>TEXT(Table3[[#This Row],[transaction_date]], "yyyy-mm")</f>
        <v>2025-12</v>
      </c>
      <c r="D21" t="s">
        <v>95</v>
      </c>
      <c r="E21" t="s">
        <v>3637</v>
      </c>
      <c r="F21" t="s">
        <v>3622</v>
      </c>
      <c r="G21">
        <v>4257926.49</v>
      </c>
    </row>
    <row r="22" spans="1:7">
      <c r="A22" t="s">
        <v>117</v>
      </c>
      <c r="B22" s="6">
        <v>45825</v>
      </c>
      <c r="C22" s="6" t="str">
        <f>TEXT(Table3[[#This Row],[transaction_date]], "yyyy-mm")</f>
        <v>2025-06</v>
      </c>
      <c r="D22" t="s">
        <v>95</v>
      </c>
      <c r="E22" t="s">
        <v>3637</v>
      </c>
      <c r="F22" t="s">
        <v>3621</v>
      </c>
      <c r="G22">
        <v>4354943.05</v>
      </c>
    </row>
    <row r="23" spans="1:7">
      <c r="A23" t="s">
        <v>118</v>
      </c>
      <c r="B23" s="6">
        <v>45878</v>
      </c>
      <c r="C23" s="6" t="str">
        <f>TEXT(Table3[[#This Row],[transaction_date]], "yyyy-mm")</f>
        <v>2025-08</v>
      </c>
      <c r="D23" t="s">
        <v>74</v>
      </c>
      <c r="E23" t="s">
        <v>3636</v>
      </c>
      <c r="F23" t="s">
        <v>3610</v>
      </c>
      <c r="G23">
        <v>444289.91</v>
      </c>
    </row>
    <row r="24" spans="1:7">
      <c r="A24" t="s">
        <v>119</v>
      </c>
      <c r="B24" s="6">
        <v>45784</v>
      </c>
      <c r="C24" s="6" t="str">
        <f>TEXT(Table3[[#This Row],[transaction_date]], "yyyy-mm")</f>
        <v>2025-05</v>
      </c>
      <c r="D24" t="s">
        <v>90</v>
      </c>
      <c r="E24" t="s">
        <v>3637</v>
      </c>
      <c r="F24" t="s">
        <v>3617</v>
      </c>
      <c r="G24">
        <v>4652687.04</v>
      </c>
    </row>
    <row r="25" spans="1:7">
      <c r="A25" t="s">
        <v>120</v>
      </c>
      <c r="B25" s="6">
        <v>45934</v>
      </c>
      <c r="C25" s="6" t="str">
        <f>TEXT(Table3[[#This Row],[transaction_date]], "yyyy-mm")</f>
        <v>2025-10</v>
      </c>
      <c r="D25" t="s">
        <v>93</v>
      </c>
      <c r="E25" t="s">
        <v>3636</v>
      </c>
      <c r="F25" t="s">
        <v>3612</v>
      </c>
      <c r="G25">
        <v>1824980.15</v>
      </c>
    </row>
    <row r="26" spans="1:7">
      <c r="A26" t="s">
        <v>121</v>
      </c>
      <c r="B26" s="6">
        <v>45843</v>
      </c>
      <c r="C26" s="6" t="str">
        <f>TEXT(Table3[[#This Row],[transaction_date]], "yyyy-mm")</f>
        <v>2025-07</v>
      </c>
      <c r="D26" t="s">
        <v>85</v>
      </c>
      <c r="E26" t="s">
        <v>3636</v>
      </c>
      <c r="F26" t="s">
        <v>3605</v>
      </c>
      <c r="G26">
        <v>87516.84</v>
      </c>
    </row>
    <row r="27" spans="1:7">
      <c r="A27" t="s">
        <v>122</v>
      </c>
      <c r="B27" s="6">
        <v>45812</v>
      </c>
      <c r="C27" s="6" t="str">
        <f>TEXT(Table3[[#This Row],[transaction_date]], "yyyy-mm")</f>
        <v>2025-06</v>
      </c>
      <c r="D27" t="s">
        <v>76</v>
      </c>
      <c r="E27" t="s">
        <v>3637</v>
      </c>
      <c r="F27" t="s">
        <v>3615</v>
      </c>
      <c r="G27">
        <v>34706942.509999998</v>
      </c>
    </row>
    <row r="28" spans="1:7">
      <c r="A28" t="s">
        <v>123</v>
      </c>
      <c r="B28" s="6">
        <v>45896</v>
      </c>
      <c r="C28" s="6" t="str">
        <f>TEXT(Table3[[#This Row],[transaction_date]], "yyyy-mm")</f>
        <v>2025-08</v>
      </c>
      <c r="D28" t="s">
        <v>89</v>
      </c>
      <c r="E28" t="s">
        <v>3637</v>
      </c>
      <c r="F28" t="s">
        <v>3623</v>
      </c>
      <c r="G28">
        <v>700759.23</v>
      </c>
    </row>
    <row r="29" spans="1:7">
      <c r="A29" t="s">
        <v>124</v>
      </c>
      <c r="B29" s="6">
        <v>45969</v>
      </c>
      <c r="C29" s="6" t="str">
        <f>TEXT(Table3[[#This Row],[transaction_date]], "yyyy-mm")</f>
        <v>2025-11</v>
      </c>
      <c r="D29" t="s">
        <v>74</v>
      </c>
      <c r="E29" t="s">
        <v>3637</v>
      </c>
      <c r="F29" t="s">
        <v>3618</v>
      </c>
      <c r="G29">
        <v>544679.15</v>
      </c>
    </row>
    <row r="30" spans="1:7">
      <c r="A30" t="s">
        <v>125</v>
      </c>
      <c r="B30" s="6">
        <v>45952</v>
      </c>
      <c r="C30" s="6" t="str">
        <f>TEXT(Table3[[#This Row],[transaction_date]], "yyyy-mm")</f>
        <v>2025-10</v>
      </c>
      <c r="D30" t="s">
        <v>84</v>
      </c>
      <c r="E30" t="s">
        <v>3636</v>
      </c>
      <c r="F30" t="s">
        <v>3606</v>
      </c>
      <c r="G30">
        <v>10564013.810000001</v>
      </c>
    </row>
    <row r="31" spans="1:7">
      <c r="A31" t="s">
        <v>126</v>
      </c>
      <c r="B31" s="6">
        <v>45750</v>
      </c>
      <c r="C31" s="6" t="str">
        <f>TEXT(Table3[[#This Row],[transaction_date]], "yyyy-mm")</f>
        <v>2025-04</v>
      </c>
      <c r="D31" t="s">
        <v>77</v>
      </c>
      <c r="E31" t="s">
        <v>3636</v>
      </c>
      <c r="F31" t="s">
        <v>3606</v>
      </c>
      <c r="G31">
        <v>213603.11</v>
      </c>
    </row>
    <row r="32" spans="1:7">
      <c r="A32" t="s">
        <v>127</v>
      </c>
      <c r="B32" s="6">
        <v>45996</v>
      </c>
      <c r="C32" s="6" t="str">
        <f>TEXT(Table3[[#This Row],[transaction_date]], "yyyy-mm")</f>
        <v>2025-12</v>
      </c>
      <c r="D32" t="s">
        <v>95</v>
      </c>
      <c r="E32" t="s">
        <v>3637</v>
      </c>
      <c r="F32" t="s">
        <v>3623</v>
      </c>
      <c r="G32">
        <v>16256644.720000001</v>
      </c>
    </row>
    <row r="33" spans="1:7">
      <c r="A33" t="s">
        <v>128</v>
      </c>
      <c r="B33" s="6">
        <v>45733</v>
      </c>
      <c r="C33" s="6" t="str">
        <f>TEXT(Table3[[#This Row],[transaction_date]], "yyyy-mm")</f>
        <v>2025-03</v>
      </c>
      <c r="D33" t="s">
        <v>80</v>
      </c>
      <c r="E33" t="s">
        <v>3636</v>
      </c>
      <c r="F33" t="s">
        <v>3611</v>
      </c>
      <c r="G33">
        <v>438057.24</v>
      </c>
    </row>
    <row r="34" spans="1:7">
      <c r="A34" t="s">
        <v>129</v>
      </c>
      <c r="B34" s="6">
        <v>45962</v>
      </c>
      <c r="C34" s="6" t="str">
        <f>TEXT(Table3[[#This Row],[transaction_date]], "yyyy-mm")</f>
        <v>2025-11</v>
      </c>
      <c r="D34" t="s">
        <v>93</v>
      </c>
      <c r="E34" t="s">
        <v>3637</v>
      </c>
      <c r="F34" t="s">
        <v>3614</v>
      </c>
      <c r="G34">
        <v>10711559.1</v>
      </c>
    </row>
    <row r="35" spans="1:7">
      <c r="A35" t="s">
        <v>130</v>
      </c>
      <c r="B35" s="6">
        <v>45777</v>
      </c>
      <c r="C35" s="6" t="str">
        <f>TEXT(Table3[[#This Row],[transaction_date]], "yyyy-mm")</f>
        <v>2025-04</v>
      </c>
      <c r="D35" t="s">
        <v>95</v>
      </c>
      <c r="E35" t="s">
        <v>3636</v>
      </c>
      <c r="F35" t="s">
        <v>3609</v>
      </c>
      <c r="G35">
        <v>1225230.3899999999</v>
      </c>
    </row>
    <row r="36" spans="1:7">
      <c r="A36" t="s">
        <v>131</v>
      </c>
      <c r="B36" s="6">
        <v>45664</v>
      </c>
      <c r="C36" s="6" t="str">
        <f>TEXT(Table3[[#This Row],[transaction_date]], "yyyy-mm")</f>
        <v>2025-01</v>
      </c>
      <c r="D36" t="s">
        <v>77</v>
      </c>
      <c r="E36" t="s">
        <v>3637</v>
      </c>
      <c r="F36" t="s">
        <v>3617</v>
      </c>
      <c r="G36">
        <v>4074725.77</v>
      </c>
    </row>
    <row r="37" spans="1:7">
      <c r="A37" t="s">
        <v>132</v>
      </c>
      <c r="B37" s="6">
        <v>45801</v>
      </c>
      <c r="C37" s="6" t="str">
        <f>TEXT(Table3[[#This Row],[transaction_date]], "yyyy-mm")</f>
        <v>2025-05</v>
      </c>
      <c r="D37" t="s">
        <v>77</v>
      </c>
      <c r="E37" t="s">
        <v>3637</v>
      </c>
      <c r="F37" t="s">
        <v>3620</v>
      </c>
      <c r="G37">
        <v>6123599.3499999996</v>
      </c>
    </row>
    <row r="38" spans="1:7">
      <c r="A38" t="s">
        <v>133</v>
      </c>
      <c r="B38" s="6">
        <v>45744</v>
      </c>
      <c r="C38" s="6" t="str">
        <f>TEXT(Table3[[#This Row],[transaction_date]], "yyyy-mm")</f>
        <v>2025-03</v>
      </c>
      <c r="D38" t="s">
        <v>73</v>
      </c>
      <c r="E38" t="s">
        <v>3637</v>
      </c>
      <c r="F38" t="s">
        <v>3616</v>
      </c>
      <c r="G38">
        <v>9759384.9499999993</v>
      </c>
    </row>
    <row r="39" spans="1:7">
      <c r="A39" t="s">
        <v>134</v>
      </c>
      <c r="B39" s="6">
        <v>45784</v>
      </c>
      <c r="C39" s="6" t="str">
        <f>TEXT(Table3[[#This Row],[transaction_date]], "yyyy-mm")</f>
        <v>2025-05</v>
      </c>
      <c r="D39" t="s">
        <v>93</v>
      </c>
      <c r="E39" t="s">
        <v>3636</v>
      </c>
      <c r="F39" t="s">
        <v>3610</v>
      </c>
      <c r="G39">
        <v>1093590.77</v>
      </c>
    </row>
    <row r="40" spans="1:7">
      <c r="A40" t="s">
        <v>135</v>
      </c>
      <c r="B40" s="6">
        <v>45857</v>
      </c>
      <c r="C40" s="6" t="str">
        <f>TEXT(Table3[[#This Row],[transaction_date]], "yyyy-mm")</f>
        <v>2025-07</v>
      </c>
      <c r="D40" t="s">
        <v>73</v>
      </c>
      <c r="E40" t="s">
        <v>3637</v>
      </c>
      <c r="F40" t="s">
        <v>3621</v>
      </c>
      <c r="G40">
        <v>4795278.62</v>
      </c>
    </row>
    <row r="41" spans="1:7">
      <c r="A41" t="s">
        <v>136</v>
      </c>
      <c r="B41" s="6">
        <v>45990</v>
      </c>
      <c r="C41" s="6" t="str">
        <f>TEXT(Table3[[#This Row],[transaction_date]], "yyyy-mm")</f>
        <v>2025-11</v>
      </c>
      <c r="D41" t="s">
        <v>73</v>
      </c>
      <c r="E41" t="s">
        <v>3637</v>
      </c>
      <c r="F41" t="s">
        <v>3622</v>
      </c>
      <c r="G41">
        <v>181239.42</v>
      </c>
    </row>
    <row r="42" spans="1:7">
      <c r="A42" t="s">
        <v>137</v>
      </c>
      <c r="B42" s="6">
        <v>45769</v>
      </c>
      <c r="C42" s="6" t="str">
        <f>TEXT(Table3[[#This Row],[transaction_date]], "yyyy-mm")</f>
        <v>2025-04</v>
      </c>
      <c r="D42" t="s">
        <v>84</v>
      </c>
      <c r="E42" t="s">
        <v>3637</v>
      </c>
      <c r="F42" t="s">
        <v>3614</v>
      </c>
      <c r="G42">
        <v>5573323.96</v>
      </c>
    </row>
    <row r="43" spans="1:7">
      <c r="A43" t="s">
        <v>138</v>
      </c>
      <c r="B43" s="6">
        <v>45903</v>
      </c>
      <c r="C43" s="6" t="str">
        <f>TEXT(Table3[[#This Row],[transaction_date]], "yyyy-mm")</f>
        <v>2025-09</v>
      </c>
      <c r="D43" t="s">
        <v>74</v>
      </c>
      <c r="E43" t="s">
        <v>3636</v>
      </c>
      <c r="F43" t="s">
        <v>3607</v>
      </c>
      <c r="G43">
        <v>287326.86</v>
      </c>
    </row>
    <row r="44" spans="1:7">
      <c r="A44" t="s">
        <v>139</v>
      </c>
      <c r="B44" s="6">
        <v>45670</v>
      </c>
      <c r="C44" s="6" t="str">
        <f>TEXT(Table3[[#This Row],[transaction_date]], "yyyy-mm")</f>
        <v>2025-01</v>
      </c>
      <c r="D44" t="s">
        <v>73</v>
      </c>
      <c r="E44" t="s">
        <v>3637</v>
      </c>
      <c r="F44" t="s">
        <v>3614</v>
      </c>
      <c r="G44">
        <v>3300671.52</v>
      </c>
    </row>
    <row r="45" spans="1:7">
      <c r="A45" t="s">
        <v>140</v>
      </c>
      <c r="B45" s="6">
        <v>45754</v>
      </c>
      <c r="C45" s="6" t="str">
        <f>TEXT(Table3[[#This Row],[transaction_date]], "yyyy-mm")</f>
        <v>2025-04</v>
      </c>
      <c r="D45" t="s">
        <v>74</v>
      </c>
      <c r="E45" t="s">
        <v>3636</v>
      </c>
      <c r="F45" t="s">
        <v>3613</v>
      </c>
      <c r="G45">
        <v>489073.93</v>
      </c>
    </row>
    <row r="46" spans="1:7">
      <c r="A46" t="s">
        <v>141</v>
      </c>
      <c r="B46" s="6">
        <v>45663</v>
      </c>
      <c r="C46" s="6" t="str">
        <f>TEXT(Table3[[#This Row],[transaction_date]], "yyyy-mm")</f>
        <v>2025-01</v>
      </c>
      <c r="D46" t="s">
        <v>76</v>
      </c>
      <c r="E46" t="s">
        <v>3637</v>
      </c>
      <c r="F46" t="s">
        <v>3619</v>
      </c>
      <c r="G46">
        <v>8469591.3100000005</v>
      </c>
    </row>
    <row r="47" spans="1:7">
      <c r="A47" t="s">
        <v>142</v>
      </c>
      <c r="B47" s="6">
        <v>45772</v>
      </c>
      <c r="C47" s="6" t="str">
        <f>TEXT(Table3[[#This Row],[transaction_date]], "yyyy-mm")</f>
        <v>2025-04</v>
      </c>
      <c r="D47" t="s">
        <v>93</v>
      </c>
      <c r="E47" t="s">
        <v>3637</v>
      </c>
      <c r="F47" t="s">
        <v>3621</v>
      </c>
      <c r="G47">
        <v>10550012.529999999</v>
      </c>
    </row>
    <row r="48" spans="1:7">
      <c r="A48" t="s">
        <v>143</v>
      </c>
      <c r="B48" s="6">
        <v>45739</v>
      </c>
      <c r="C48" s="6" t="str">
        <f>TEXT(Table3[[#This Row],[transaction_date]], "yyyy-mm")</f>
        <v>2025-03</v>
      </c>
      <c r="D48" t="s">
        <v>95</v>
      </c>
      <c r="E48" t="s">
        <v>3637</v>
      </c>
      <c r="F48" t="s">
        <v>3622</v>
      </c>
      <c r="G48">
        <v>1788713.22</v>
      </c>
    </row>
    <row r="49" spans="1:7">
      <c r="A49" t="s">
        <v>144</v>
      </c>
      <c r="B49" s="6">
        <v>45771</v>
      </c>
      <c r="C49" s="6" t="str">
        <f>TEXT(Table3[[#This Row],[transaction_date]], "yyyy-mm")</f>
        <v>2025-04</v>
      </c>
      <c r="D49" t="s">
        <v>76</v>
      </c>
      <c r="E49" t="s">
        <v>3637</v>
      </c>
      <c r="F49" t="s">
        <v>3619</v>
      </c>
      <c r="G49">
        <v>4756000.03</v>
      </c>
    </row>
    <row r="50" spans="1:7">
      <c r="A50" t="s">
        <v>145</v>
      </c>
      <c r="B50" s="6">
        <v>45745</v>
      </c>
      <c r="C50" s="6" t="str">
        <f>TEXT(Table3[[#This Row],[transaction_date]], "yyyy-mm")</f>
        <v>2025-03</v>
      </c>
      <c r="D50" t="s">
        <v>75</v>
      </c>
      <c r="E50" t="s">
        <v>3636</v>
      </c>
      <c r="F50" t="s">
        <v>3609</v>
      </c>
      <c r="G50">
        <v>6459385.5300000003</v>
      </c>
    </row>
    <row r="51" spans="1:7">
      <c r="A51" t="s">
        <v>146</v>
      </c>
      <c r="B51" s="6">
        <v>45714</v>
      </c>
      <c r="C51" s="6" t="str">
        <f>TEXT(Table3[[#This Row],[transaction_date]], "yyyy-mm")</f>
        <v>2025-02</v>
      </c>
      <c r="D51" t="s">
        <v>95</v>
      </c>
      <c r="E51" t="s">
        <v>3637</v>
      </c>
      <c r="F51" t="s">
        <v>3621</v>
      </c>
      <c r="G51">
        <v>12263259.74</v>
      </c>
    </row>
    <row r="52" spans="1:7">
      <c r="A52" t="s">
        <v>147</v>
      </c>
      <c r="B52" s="6">
        <v>45785</v>
      </c>
      <c r="C52" s="6" t="str">
        <f>TEXT(Table3[[#This Row],[transaction_date]], "yyyy-mm")</f>
        <v>2025-05</v>
      </c>
      <c r="D52" t="s">
        <v>95</v>
      </c>
      <c r="E52" t="s">
        <v>3636</v>
      </c>
      <c r="F52" t="s">
        <v>3610</v>
      </c>
      <c r="G52">
        <v>668651.66</v>
      </c>
    </row>
    <row r="53" spans="1:7">
      <c r="A53" t="s">
        <v>148</v>
      </c>
      <c r="B53" s="6">
        <v>45979</v>
      </c>
      <c r="C53" s="6" t="str">
        <f>TEXT(Table3[[#This Row],[transaction_date]], "yyyy-mm")</f>
        <v>2025-11</v>
      </c>
      <c r="D53" t="s">
        <v>78</v>
      </c>
      <c r="E53" t="s">
        <v>3636</v>
      </c>
      <c r="F53" t="s">
        <v>3604</v>
      </c>
      <c r="G53">
        <v>151377.19</v>
      </c>
    </row>
    <row r="54" spans="1:7">
      <c r="A54" t="s">
        <v>149</v>
      </c>
      <c r="B54" s="6">
        <v>45916</v>
      </c>
      <c r="C54" s="6" t="str">
        <f>TEXT(Table3[[#This Row],[transaction_date]], "yyyy-mm")</f>
        <v>2025-09</v>
      </c>
      <c r="D54" t="s">
        <v>93</v>
      </c>
      <c r="E54" t="s">
        <v>3637</v>
      </c>
      <c r="F54" t="s">
        <v>3615</v>
      </c>
      <c r="G54">
        <v>2880989.4</v>
      </c>
    </row>
    <row r="55" spans="1:7">
      <c r="A55" t="s">
        <v>150</v>
      </c>
      <c r="B55" s="6">
        <v>45847</v>
      </c>
      <c r="C55" s="6" t="str">
        <f>TEXT(Table3[[#This Row],[transaction_date]], "yyyy-mm")</f>
        <v>2025-07</v>
      </c>
      <c r="D55" t="s">
        <v>93</v>
      </c>
      <c r="E55" t="s">
        <v>3637</v>
      </c>
      <c r="F55" t="s">
        <v>3621</v>
      </c>
      <c r="G55">
        <v>2019221.56</v>
      </c>
    </row>
    <row r="56" spans="1:7">
      <c r="A56" t="s">
        <v>151</v>
      </c>
      <c r="B56" s="6">
        <v>45868</v>
      </c>
      <c r="C56" s="6" t="str">
        <f>TEXT(Table3[[#This Row],[transaction_date]], "yyyy-mm")</f>
        <v>2025-07</v>
      </c>
      <c r="D56" t="s">
        <v>3597</v>
      </c>
      <c r="E56" t="s">
        <v>3637</v>
      </c>
      <c r="F56" t="s">
        <v>3620</v>
      </c>
      <c r="G56">
        <v>2925875.54</v>
      </c>
    </row>
    <row r="57" spans="1:7">
      <c r="A57" t="s">
        <v>152</v>
      </c>
      <c r="B57" s="6">
        <v>45870</v>
      </c>
      <c r="C57" s="6" t="str">
        <f>TEXT(Table3[[#This Row],[transaction_date]], "yyyy-mm")</f>
        <v>2025-08</v>
      </c>
      <c r="D57" t="s">
        <v>3597</v>
      </c>
      <c r="E57" t="s">
        <v>3637</v>
      </c>
      <c r="F57" t="s">
        <v>3614</v>
      </c>
      <c r="G57">
        <v>568226.91</v>
      </c>
    </row>
    <row r="58" spans="1:7">
      <c r="A58" t="s">
        <v>153</v>
      </c>
      <c r="B58" s="6">
        <v>45828</v>
      </c>
      <c r="C58" s="6" t="str">
        <f>TEXT(Table3[[#This Row],[transaction_date]], "yyyy-mm")</f>
        <v>2025-06</v>
      </c>
      <c r="D58" t="s">
        <v>73</v>
      </c>
      <c r="E58" t="s">
        <v>3637</v>
      </c>
      <c r="F58" t="s">
        <v>3617</v>
      </c>
      <c r="G58">
        <v>442087.55</v>
      </c>
    </row>
    <row r="59" spans="1:7">
      <c r="A59" t="s">
        <v>154</v>
      </c>
      <c r="B59" s="6">
        <v>45742</v>
      </c>
      <c r="C59" s="6" t="str">
        <f>TEXT(Table3[[#This Row],[transaction_date]], "yyyy-mm")</f>
        <v>2025-03</v>
      </c>
      <c r="D59" t="s">
        <v>76</v>
      </c>
      <c r="E59" t="s">
        <v>3636</v>
      </c>
      <c r="F59" t="s">
        <v>3609</v>
      </c>
      <c r="G59">
        <v>10436423.25</v>
      </c>
    </row>
    <row r="60" spans="1:7">
      <c r="A60" t="s">
        <v>155</v>
      </c>
      <c r="B60" s="6">
        <v>45799</v>
      </c>
      <c r="C60" s="6" t="str">
        <f>TEXT(Table3[[#This Row],[transaction_date]], "yyyy-mm")</f>
        <v>2025-05</v>
      </c>
      <c r="D60" t="s">
        <v>79</v>
      </c>
      <c r="E60" t="s">
        <v>3636</v>
      </c>
      <c r="F60" t="s">
        <v>3605</v>
      </c>
      <c r="G60">
        <v>1979626.44</v>
      </c>
    </row>
    <row r="61" spans="1:7">
      <c r="A61" t="s">
        <v>156</v>
      </c>
      <c r="B61" s="6">
        <v>45756</v>
      </c>
      <c r="C61" s="6" t="str">
        <f>TEXT(Table3[[#This Row],[transaction_date]], "yyyy-mm")</f>
        <v>2025-04</v>
      </c>
      <c r="D61" t="s">
        <v>89</v>
      </c>
      <c r="E61" t="s">
        <v>3637</v>
      </c>
      <c r="F61" t="s">
        <v>3620</v>
      </c>
      <c r="G61">
        <v>33770.800000000003</v>
      </c>
    </row>
    <row r="62" spans="1:7">
      <c r="A62" t="s">
        <v>157</v>
      </c>
      <c r="B62" s="6">
        <v>45682</v>
      </c>
      <c r="C62" s="6" t="str">
        <f>TEXT(Table3[[#This Row],[transaction_date]], "yyyy-mm")</f>
        <v>2025-01</v>
      </c>
      <c r="D62" t="s">
        <v>73</v>
      </c>
      <c r="E62" t="s">
        <v>3637</v>
      </c>
      <c r="F62" t="s">
        <v>3622</v>
      </c>
      <c r="G62">
        <v>2781096.81</v>
      </c>
    </row>
    <row r="63" spans="1:7">
      <c r="A63" t="s">
        <v>158</v>
      </c>
      <c r="B63" s="6">
        <v>46004</v>
      </c>
      <c r="C63" s="6" t="str">
        <f>TEXT(Table3[[#This Row],[transaction_date]], "yyyy-mm")</f>
        <v>2025-12</v>
      </c>
      <c r="D63" t="s">
        <v>79</v>
      </c>
      <c r="E63" t="s">
        <v>3636</v>
      </c>
      <c r="F63" t="s">
        <v>3613</v>
      </c>
      <c r="G63">
        <v>72510.81</v>
      </c>
    </row>
    <row r="64" spans="1:7">
      <c r="A64" t="s">
        <v>159</v>
      </c>
      <c r="B64" s="6">
        <v>45948</v>
      </c>
      <c r="C64" s="6" t="str">
        <f>TEXT(Table3[[#This Row],[transaction_date]], "yyyy-mm")</f>
        <v>2025-10</v>
      </c>
      <c r="D64" t="s">
        <v>78</v>
      </c>
      <c r="E64" t="s">
        <v>3636</v>
      </c>
      <c r="F64" t="s">
        <v>3610</v>
      </c>
      <c r="G64">
        <v>502263.05</v>
      </c>
    </row>
    <row r="65" spans="1:7">
      <c r="A65" t="s">
        <v>160</v>
      </c>
      <c r="B65" s="6">
        <v>45661</v>
      </c>
      <c r="C65" s="6" t="str">
        <f>TEXT(Table3[[#This Row],[transaction_date]], "yyyy-mm")</f>
        <v>2025-01</v>
      </c>
      <c r="D65" t="s">
        <v>3597</v>
      </c>
      <c r="E65" t="s">
        <v>3637</v>
      </c>
      <c r="F65" t="s">
        <v>3619</v>
      </c>
      <c r="G65">
        <v>1106109.5</v>
      </c>
    </row>
    <row r="66" spans="1:7">
      <c r="A66" t="s">
        <v>161</v>
      </c>
      <c r="B66" s="6">
        <v>45788</v>
      </c>
      <c r="C66" s="6" t="str">
        <f>TEXT(Table3[[#This Row],[transaction_date]], "yyyy-mm")</f>
        <v>2025-05</v>
      </c>
      <c r="D66" t="s">
        <v>82</v>
      </c>
      <c r="E66" t="s">
        <v>3636</v>
      </c>
      <c r="F66" t="s">
        <v>3613</v>
      </c>
      <c r="G66">
        <v>23836344.850000001</v>
      </c>
    </row>
    <row r="67" spans="1:7">
      <c r="A67" t="s">
        <v>162</v>
      </c>
      <c r="B67" s="6">
        <v>46017</v>
      </c>
      <c r="C67" s="6" t="str">
        <f>TEXT(Table3[[#This Row],[transaction_date]], "yyyy-mm")</f>
        <v>2025-12</v>
      </c>
      <c r="D67" t="s">
        <v>77</v>
      </c>
      <c r="E67" t="s">
        <v>3636</v>
      </c>
      <c r="F67" t="s">
        <v>3611</v>
      </c>
      <c r="G67">
        <v>6739681.0199999996</v>
      </c>
    </row>
    <row r="68" spans="1:7">
      <c r="A68" t="s">
        <v>163</v>
      </c>
      <c r="B68" s="6">
        <v>45784</v>
      </c>
      <c r="C68" s="6" t="str">
        <f>TEXT(Table3[[#This Row],[transaction_date]], "yyyy-mm")</f>
        <v>2025-05</v>
      </c>
      <c r="D68" t="s">
        <v>78</v>
      </c>
      <c r="E68" t="s">
        <v>3637</v>
      </c>
      <c r="F68" t="s">
        <v>3620</v>
      </c>
      <c r="G68">
        <v>928721.14</v>
      </c>
    </row>
    <row r="69" spans="1:7">
      <c r="A69" t="s">
        <v>164</v>
      </c>
      <c r="B69" s="6">
        <v>45793</v>
      </c>
      <c r="C69" s="6" t="str">
        <f>TEXT(Table3[[#This Row],[transaction_date]], "yyyy-mm")</f>
        <v>2025-05</v>
      </c>
      <c r="D69" t="s">
        <v>75</v>
      </c>
      <c r="E69" t="s">
        <v>3636</v>
      </c>
      <c r="F69" t="s">
        <v>3606</v>
      </c>
      <c r="G69">
        <v>1502167.07</v>
      </c>
    </row>
    <row r="70" spans="1:7">
      <c r="A70" t="s">
        <v>165</v>
      </c>
      <c r="B70" s="6">
        <v>45893</v>
      </c>
      <c r="C70" s="6" t="str">
        <f>TEXT(Table3[[#This Row],[transaction_date]], "yyyy-mm")</f>
        <v>2025-08</v>
      </c>
      <c r="D70" t="s">
        <v>77</v>
      </c>
      <c r="E70" t="s">
        <v>3636</v>
      </c>
      <c r="F70" t="s">
        <v>3610</v>
      </c>
      <c r="G70">
        <v>2200437.0699999998</v>
      </c>
    </row>
    <row r="71" spans="1:7">
      <c r="A71" t="s">
        <v>166</v>
      </c>
      <c r="B71" s="6">
        <v>45734</v>
      </c>
      <c r="C71" s="6" t="str">
        <f>TEXT(Table3[[#This Row],[transaction_date]], "yyyy-mm")</f>
        <v>2025-03</v>
      </c>
      <c r="D71" t="s">
        <v>3597</v>
      </c>
      <c r="E71" t="s">
        <v>3637</v>
      </c>
      <c r="F71" t="s">
        <v>3614</v>
      </c>
      <c r="G71">
        <v>7616300.2400000002</v>
      </c>
    </row>
    <row r="72" spans="1:7">
      <c r="A72" t="s">
        <v>167</v>
      </c>
      <c r="B72" s="6">
        <v>45775</v>
      </c>
      <c r="C72" s="6" t="str">
        <f>TEXT(Table3[[#This Row],[transaction_date]], "yyyy-mm")</f>
        <v>2025-04</v>
      </c>
      <c r="D72" t="s">
        <v>75</v>
      </c>
      <c r="E72" t="s">
        <v>3637</v>
      </c>
      <c r="F72" t="s">
        <v>3617</v>
      </c>
      <c r="G72">
        <v>5939012.2599999998</v>
      </c>
    </row>
    <row r="73" spans="1:7">
      <c r="A73" t="s">
        <v>168</v>
      </c>
      <c r="B73" s="6">
        <v>45791</v>
      </c>
      <c r="C73" s="6" t="str">
        <f>TEXT(Table3[[#This Row],[transaction_date]], "yyyy-mm")</f>
        <v>2025-05</v>
      </c>
      <c r="D73" t="s">
        <v>79</v>
      </c>
      <c r="E73" t="s">
        <v>3636</v>
      </c>
      <c r="F73" t="s">
        <v>3613</v>
      </c>
      <c r="G73">
        <v>1109653.04</v>
      </c>
    </row>
    <row r="74" spans="1:7">
      <c r="A74" t="s">
        <v>169</v>
      </c>
      <c r="B74" s="6">
        <v>45980</v>
      </c>
      <c r="C74" s="6" t="str">
        <f>TEXT(Table3[[#This Row],[transaction_date]], "yyyy-mm")</f>
        <v>2025-11</v>
      </c>
      <c r="D74" t="s">
        <v>73</v>
      </c>
      <c r="E74" t="s">
        <v>3637</v>
      </c>
      <c r="F74" t="s">
        <v>3621</v>
      </c>
      <c r="G74">
        <v>306273.91999999998</v>
      </c>
    </row>
    <row r="75" spans="1:7">
      <c r="A75" t="s">
        <v>170</v>
      </c>
      <c r="B75" s="6">
        <v>45751</v>
      </c>
      <c r="C75" s="6" t="str">
        <f>TEXT(Table3[[#This Row],[transaction_date]], "yyyy-mm")</f>
        <v>2025-04</v>
      </c>
      <c r="D75" t="s">
        <v>78</v>
      </c>
      <c r="E75" t="s">
        <v>3636</v>
      </c>
      <c r="F75" t="s">
        <v>3608</v>
      </c>
      <c r="G75">
        <v>4137202.46</v>
      </c>
    </row>
    <row r="76" spans="1:7">
      <c r="A76" t="s">
        <v>171</v>
      </c>
      <c r="B76" s="6">
        <v>46003</v>
      </c>
      <c r="C76" s="6" t="str">
        <f>TEXT(Table3[[#This Row],[transaction_date]], "yyyy-mm")</f>
        <v>2025-12</v>
      </c>
      <c r="D76" t="s">
        <v>93</v>
      </c>
      <c r="E76" t="s">
        <v>3636</v>
      </c>
      <c r="F76" t="s">
        <v>3608</v>
      </c>
      <c r="G76">
        <v>2611948.27</v>
      </c>
    </row>
    <row r="77" spans="1:7">
      <c r="A77" t="s">
        <v>172</v>
      </c>
      <c r="B77" s="6">
        <v>45880</v>
      </c>
      <c r="C77" s="6" t="str">
        <f>TEXT(Table3[[#This Row],[transaction_date]], "yyyy-mm")</f>
        <v>2025-08</v>
      </c>
      <c r="D77" t="s">
        <v>95</v>
      </c>
      <c r="E77" t="s">
        <v>3636</v>
      </c>
      <c r="F77" t="s">
        <v>3613</v>
      </c>
      <c r="G77">
        <v>7835357.4299999997</v>
      </c>
    </row>
    <row r="78" spans="1:7">
      <c r="A78" t="s">
        <v>173</v>
      </c>
      <c r="B78" s="6">
        <v>45893</v>
      </c>
      <c r="C78" s="6" t="str">
        <f>TEXT(Table3[[#This Row],[transaction_date]], "yyyy-mm")</f>
        <v>2025-08</v>
      </c>
      <c r="D78" t="s">
        <v>82</v>
      </c>
      <c r="E78" t="s">
        <v>3637</v>
      </c>
      <c r="F78" t="s">
        <v>3618</v>
      </c>
      <c r="G78">
        <v>19993408.879999999</v>
      </c>
    </row>
    <row r="79" spans="1:7">
      <c r="A79" t="s">
        <v>174</v>
      </c>
      <c r="B79" s="6">
        <v>45871</v>
      </c>
      <c r="C79" s="6" t="str">
        <f>TEXT(Table3[[#This Row],[transaction_date]], "yyyy-mm")</f>
        <v>2025-08</v>
      </c>
      <c r="D79" t="s">
        <v>73</v>
      </c>
      <c r="E79" t="s">
        <v>3637</v>
      </c>
      <c r="F79" t="s">
        <v>3615</v>
      </c>
      <c r="G79">
        <v>83910.24</v>
      </c>
    </row>
    <row r="80" spans="1:7">
      <c r="A80" t="s">
        <v>175</v>
      </c>
      <c r="B80" s="6">
        <v>45689</v>
      </c>
      <c r="C80" s="6" t="str">
        <f>TEXT(Table3[[#This Row],[transaction_date]], "yyyy-mm")</f>
        <v>2025-02</v>
      </c>
      <c r="D80" t="s">
        <v>82</v>
      </c>
      <c r="E80" t="s">
        <v>3636</v>
      </c>
      <c r="F80" t="s">
        <v>3609</v>
      </c>
      <c r="G80">
        <v>25644308.469999999</v>
      </c>
    </row>
    <row r="81" spans="1:7">
      <c r="A81" t="s">
        <v>176</v>
      </c>
      <c r="B81" s="6">
        <v>45968</v>
      </c>
      <c r="C81" s="6" t="str">
        <f>TEXT(Table3[[#This Row],[transaction_date]], "yyyy-mm")</f>
        <v>2025-11</v>
      </c>
      <c r="D81" t="s">
        <v>74</v>
      </c>
      <c r="E81" t="s">
        <v>3636</v>
      </c>
      <c r="F81" t="s">
        <v>3607</v>
      </c>
      <c r="G81">
        <v>142121.23000000001</v>
      </c>
    </row>
    <row r="82" spans="1:7">
      <c r="A82" t="s">
        <v>177</v>
      </c>
      <c r="B82" s="6">
        <v>45959</v>
      </c>
      <c r="C82" s="6" t="str">
        <f>TEXT(Table3[[#This Row],[transaction_date]], "yyyy-mm")</f>
        <v>2025-10</v>
      </c>
      <c r="D82" t="s">
        <v>79</v>
      </c>
      <c r="E82" t="s">
        <v>3636</v>
      </c>
      <c r="F82" t="s">
        <v>3613</v>
      </c>
      <c r="G82">
        <v>812507.95</v>
      </c>
    </row>
    <row r="83" spans="1:7">
      <c r="A83" t="s">
        <v>178</v>
      </c>
      <c r="B83" s="6">
        <v>45727</v>
      </c>
      <c r="C83" s="6" t="str">
        <f>TEXT(Table3[[#This Row],[transaction_date]], "yyyy-mm")</f>
        <v>2025-03</v>
      </c>
      <c r="D83" t="s">
        <v>84</v>
      </c>
      <c r="E83" t="s">
        <v>3636</v>
      </c>
      <c r="F83" t="s">
        <v>3608</v>
      </c>
      <c r="G83">
        <v>5176816.3</v>
      </c>
    </row>
    <row r="84" spans="1:7">
      <c r="A84" t="s">
        <v>179</v>
      </c>
      <c r="B84" s="6">
        <v>45898</v>
      </c>
      <c r="C84" s="6" t="str">
        <f>TEXT(Table3[[#This Row],[transaction_date]], "yyyy-mm")</f>
        <v>2025-08</v>
      </c>
      <c r="D84" t="s">
        <v>76</v>
      </c>
      <c r="E84" t="s">
        <v>3636</v>
      </c>
      <c r="F84" t="s">
        <v>3612</v>
      </c>
      <c r="G84">
        <v>7005989.9900000002</v>
      </c>
    </row>
    <row r="85" spans="1:7">
      <c r="A85" t="s">
        <v>180</v>
      </c>
      <c r="B85" s="6">
        <v>46016</v>
      </c>
      <c r="C85" s="6" t="str">
        <f>TEXT(Table3[[#This Row],[transaction_date]], "yyyy-mm")</f>
        <v>2025-12</v>
      </c>
      <c r="D85" t="s">
        <v>73</v>
      </c>
      <c r="E85" t="s">
        <v>3636</v>
      </c>
      <c r="F85" t="s">
        <v>3604</v>
      </c>
      <c r="G85">
        <v>583526.30000000005</v>
      </c>
    </row>
    <row r="86" spans="1:7">
      <c r="A86" t="s">
        <v>181</v>
      </c>
      <c r="B86" s="6">
        <v>45997</v>
      </c>
      <c r="C86" s="6" t="str">
        <f>TEXT(Table3[[#This Row],[transaction_date]], "yyyy-mm")</f>
        <v>2025-12</v>
      </c>
      <c r="D86" t="s">
        <v>90</v>
      </c>
      <c r="E86" t="s">
        <v>3637</v>
      </c>
      <c r="F86" t="s">
        <v>3623</v>
      </c>
      <c r="G86">
        <v>35641718.079999998</v>
      </c>
    </row>
    <row r="87" spans="1:7">
      <c r="A87" t="s">
        <v>182</v>
      </c>
      <c r="B87" s="6">
        <v>45743</v>
      </c>
      <c r="C87" s="6" t="str">
        <f>TEXT(Table3[[#This Row],[transaction_date]], "yyyy-mm")</f>
        <v>2025-03</v>
      </c>
      <c r="D87" t="s">
        <v>95</v>
      </c>
      <c r="E87" t="s">
        <v>3636</v>
      </c>
      <c r="F87" t="s">
        <v>3612</v>
      </c>
      <c r="G87">
        <v>679516.35</v>
      </c>
    </row>
    <row r="88" spans="1:7">
      <c r="A88" t="s">
        <v>183</v>
      </c>
      <c r="B88" s="6">
        <v>45855</v>
      </c>
      <c r="C88" s="6" t="str">
        <f>TEXT(Table3[[#This Row],[transaction_date]], "yyyy-mm")</f>
        <v>2025-07</v>
      </c>
      <c r="D88" t="s">
        <v>76</v>
      </c>
      <c r="E88" t="s">
        <v>3636</v>
      </c>
      <c r="F88" t="s">
        <v>3605</v>
      </c>
      <c r="G88">
        <v>2669543.77</v>
      </c>
    </row>
    <row r="89" spans="1:7">
      <c r="A89" t="s">
        <v>184</v>
      </c>
      <c r="B89" s="6">
        <v>45661</v>
      </c>
      <c r="C89" s="6" t="str">
        <f>TEXT(Table3[[#This Row],[transaction_date]], "yyyy-mm")</f>
        <v>2025-01</v>
      </c>
      <c r="D89" t="s">
        <v>80</v>
      </c>
      <c r="E89" t="s">
        <v>3636</v>
      </c>
      <c r="F89" t="s">
        <v>3611</v>
      </c>
      <c r="G89">
        <v>187291.36</v>
      </c>
    </row>
    <row r="90" spans="1:7">
      <c r="A90" t="s">
        <v>185</v>
      </c>
      <c r="B90" s="6">
        <v>45993</v>
      </c>
      <c r="C90" s="6" t="str">
        <f>TEXT(Table3[[#This Row],[transaction_date]], "yyyy-mm")</f>
        <v>2025-12</v>
      </c>
      <c r="D90" t="s">
        <v>85</v>
      </c>
      <c r="E90" t="s">
        <v>3636</v>
      </c>
      <c r="F90" t="s">
        <v>3612</v>
      </c>
      <c r="G90">
        <v>617056.79</v>
      </c>
    </row>
    <row r="91" spans="1:7">
      <c r="A91" t="s">
        <v>186</v>
      </c>
      <c r="B91" s="6">
        <v>45680</v>
      </c>
      <c r="C91" s="6" t="str">
        <f>TEXT(Table3[[#This Row],[transaction_date]], "yyyy-mm")</f>
        <v>2025-01</v>
      </c>
      <c r="D91" t="s">
        <v>82</v>
      </c>
      <c r="E91" t="s">
        <v>3637</v>
      </c>
      <c r="F91" t="s">
        <v>3622</v>
      </c>
      <c r="G91">
        <v>5268203.08</v>
      </c>
    </row>
    <row r="92" spans="1:7">
      <c r="A92" t="s">
        <v>187</v>
      </c>
      <c r="B92" s="6">
        <v>45907</v>
      </c>
      <c r="C92" s="6" t="str">
        <f>TEXT(Table3[[#This Row],[transaction_date]], "yyyy-mm")</f>
        <v>2025-09</v>
      </c>
      <c r="D92" t="s">
        <v>93</v>
      </c>
      <c r="E92" t="s">
        <v>3636</v>
      </c>
      <c r="F92" t="s">
        <v>3610</v>
      </c>
      <c r="G92">
        <v>5958316.9299999997</v>
      </c>
    </row>
    <row r="93" spans="1:7">
      <c r="A93" t="s">
        <v>188</v>
      </c>
      <c r="B93" s="6">
        <v>45962</v>
      </c>
      <c r="C93" s="6" t="str">
        <f>TEXT(Table3[[#This Row],[transaction_date]], "yyyy-mm")</f>
        <v>2025-11</v>
      </c>
      <c r="D93" t="s">
        <v>73</v>
      </c>
      <c r="E93" t="s">
        <v>3636</v>
      </c>
      <c r="F93" t="s">
        <v>3607</v>
      </c>
      <c r="G93">
        <v>1157086.3600000001</v>
      </c>
    </row>
    <row r="94" spans="1:7">
      <c r="A94" t="s">
        <v>189</v>
      </c>
      <c r="B94" s="6">
        <v>45896</v>
      </c>
      <c r="C94" s="6" t="str">
        <f>TEXT(Table3[[#This Row],[transaction_date]], "yyyy-mm")</f>
        <v>2025-08</v>
      </c>
      <c r="D94" t="s">
        <v>77</v>
      </c>
      <c r="E94" t="s">
        <v>3637</v>
      </c>
      <c r="F94" t="s">
        <v>3622</v>
      </c>
      <c r="G94">
        <v>5018705.8499999996</v>
      </c>
    </row>
    <row r="95" spans="1:7">
      <c r="A95" t="s">
        <v>190</v>
      </c>
      <c r="B95" s="6">
        <v>45983</v>
      </c>
      <c r="C95" s="6" t="str">
        <f>TEXT(Table3[[#This Row],[transaction_date]], "yyyy-mm")</f>
        <v>2025-11</v>
      </c>
      <c r="D95" t="s">
        <v>82</v>
      </c>
      <c r="E95" t="s">
        <v>3637</v>
      </c>
      <c r="F95" t="s">
        <v>3622</v>
      </c>
      <c r="G95">
        <v>5307153.78</v>
      </c>
    </row>
    <row r="96" spans="1:7">
      <c r="A96" t="s">
        <v>191</v>
      </c>
      <c r="B96" s="6">
        <v>45955</v>
      </c>
      <c r="C96" s="6" t="str">
        <f>TEXT(Table3[[#This Row],[transaction_date]], "yyyy-mm")</f>
        <v>2025-10</v>
      </c>
      <c r="D96" t="s">
        <v>90</v>
      </c>
      <c r="E96" t="s">
        <v>3637</v>
      </c>
      <c r="F96" t="s">
        <v>3623</v>
      </c>
      <c r="G96">
        <v>34705240.18</v>
      </c>
    </row>
    <row r="97" spans="1:7">
      <c r="A97" t="s">
        <v>192</v>
      </c>
      <c r="B97" s="6">
        <v>45849</v>
      </c>
      <c r="C97" s="6" t="str">
        <f>TEXT(Table3[[#This Row],[transaction_date]], "yyyy-mm")</f>
        <v>2025-07</v>
      </c>
      <c r="D97" t="s">
        <v>73</v>
      </c>
      <c r="E97" t="s">
        <v>3636</v>
      </c>
      <c r="F97" t="s">
        <v>3610</v>
      </c>
      <c r="G97">
        <v>493271.28</v>
      </c>
    </row>
    <row r="98" spans="1:7">
      <c r="A98" t="s">
        <v>193</v>
      </c>
      <c r="B98" s="6">
        <v>45945</v>
      </c>
      <c r="C98" s="6" t="str">
        <f>TEXT(Table3[[#This Row],[transaction_date]], "yyyy-mm")</f>
        <v>2025-10</v>
      </c>
      <c r="D98" t="s">
        <v>82</v>
      </c>
      <c r="E98" t="s">
        <v>3637</v>
      </c>
      <c r="F98" t="s">
        <v>3620</v>
      </c>
      <c r="G98">
        <v>8273338.3899999997</v>
      </c>
    </row>
    <row r="99" spans="1:7">
      <c r="A99" t="s">
        <v>194</v>
      </c>
      <c r="B99" s="6">
        <v>45746</v>
      </c>
      <c r="C99" s="6" t="str">
        <f>TEXT(Table3[[#This Row],[transaction_date]], "yyyy-mm")</f>
        <v>2025-03</v>
      </c>
      <c r="D99" t="s">
        <v>93</v>
      </c>
      <c r="E99" t="s">
        <v>3636</v>
      </c>
      <c r="F99" t="s">
        <v>3608</v>
      </c>
      <c r="G99">
        <v>701727.78</v>
      </c>
    </row>
    <row r="100" spans="1:7">
      <c r="A100" t="s">
        <v>195</v>
      </c>
      <c r="B100" s="6">
        <v>45725</v>
      </c>
      <c r="C100" s="6" t="str">
        <f>TEXT(Table3[[#This Row],[transaction_date]], "yyyy-mm")</f>
        <v>2025-03</v>
      </c>
      <c r="D100" t="s">
        <v>95</v>
      </c>
      <c r="E100" t="s">
        <v>3636</v>
      </c>
      <c r="F100" t="s">
        <v>3612</v>
      </c>
      <c r="G100">
        <v>134313.96</v>
      </c>
    </row>
    <row r="101" spans="1:7">
      <c r="A101" t="s">
        <v>196</v>
      </c>
      <c r="B101" s="6">
        <v>45958</v>
      </c>
      <c r="C101" s="6" t="str">
        <f>TEXT(Table3[[#This Row],[transaction_date]], "yyyy-mm")</f>
        <v>2025-10</v>
      </c>
      <c r="D101" t="s">
        <v>73</v>
      </c>
      <c r="E101" t="s">
        <v>3636</v>
      </c>
      <c r="F101" t="s">
        <v>3609</v>
      </c>
      <c r="G101">
        <v>41223.97</v>
      </c>
    </row>
    <row r="102" spans="1:7">
      <c r="A102" t="s">
        <v>197</v>
      </c>
      <c r="B102" s="6">
        <v>45772</v>
      </c>
      <c r="C102" s="6" t="str">
        <f>TEXT(Table3[[#This Row],[transaction_date]], "yyyy-mm")</f>
        <v>2025-04</v>
      </c>
      <c r="D102" t="s">
        <v>82</v>
      </c>
      <c r="E102" t="s">
        <v>3637</v>
      </c>
      <c r="F102" t="s">
        <v>3620</v>
      </c>
      <c r="G102">
        <v>8534179.9199999999</v>
      </c>
    </row>
    <row r="103" spans="1:7">
      <c r="A103" t="s">
        <v>198</v>
      </c>
      <c r="B103" s="6">
        <v>45768</v>
      </c>
      <c r="C103" s="6" t="str">
        <f>TEXT(Table3[[#This Row],[transaction_date]], "yyyy-mm")</f>
        <v>2025-04</v>
      </c>
      <c r="D103" t="s">
        <v>85</v>
      </c>
      <c r="E103" t="s">
        <v>3637</v>
      </c>
      <c r="F103" t="s">
        <v>3616</v>
      </c>
      <c r="G103">
        <v>3150804.39</v>
      </c>
    </row>
    <row r="104" spans="1:7">
      <c r="A104" t="s">
        <v>199</v>
      </c>
      <c r="B104" s="6">
        <v>45820</v>
      </c>
      <c r="C104" s="6" t="str">
        <f>TEXT(Table3[[#This Row],[transaction_date]], "yyyy-mm")</f>
        <v>2025-06</v>
      </c>
      <c r="D104" t="s">
        <v>3597</v>
      </c>
      <c r="E104" t="s">
        <v>3636</v>
      </c>
      <c r="F104" t="s">
        <v>3612</v>
      </c>
      <c r="G104">
        <v>1657689.37</v>
      </c>
    </row>
    <row r="105" spans="1:7">
      <c r="A105" t="s">
        <v>200</v>
      </c>
      <c r="B105" s="6">
        <v>45993</v>
      </c>
      <c r="C105" s="6" t="str">
        <f>TEXT(Table3[[#This Row],[transaction_date]], "yyyy-mm")</f>
        <v>2025-12</v>
      </c>
      <c r="D105" t="s">
        <v>74</v>
      </c>
      <c r="E105" t="s">
        <v>3636</v>
      </c>
      <c r="F105" t="s">
        <v>3612</v>
      </c>
      <c r="G105">
        <v>498670.31</v>
      </c>
    </row>
    <row r="106" spans="1:7">
      <c r="A106" t="s">
        <v>201</v>
      </c>
      <c r="B106" s="6">
        <v>45875</v>
      </c>
      <c r="C106" s="6" t="str">
        <f>TEXT(Table3[[#This Row],[transaction_date]], "yyyy-mm")</f>
        <v>2025-08</v>
      </c>
      <c r="D106" t="s">
        <v>73</v>
      </c>
      <c r="E106" t="s">
        <v>3637</v>
      </c>
      <c r="F106" t="s">
        <v>3616</v>
      </c>
      <c r="G106">
        <v>1980891.89</v>
      </c>
    </row>
    <row r="107" spans="1:7">
      <c r="A107" t="s">
        <v>202</v>
      </c>
      <c r="B107" s="6">
        <v>45745</v>
      </c>
      <c r="C107" s="6" t="str">
        <f>TEXT(Table3[[#This Row],[transaction_date]], "yyyy-mm")</f>
        <v>2025-03</v>
      </c>
      <c r="D107" t="s">
        <v>76</v>
      </c>
      <c r="E107" t="s">
        <v>3637</v>
      </c>
      <c r="F107" t="s">
        <v>3619</v>
      </c>
      <c r="G107">
        <v>1674074.56</v>
      </c>
    </row>
    <row r="108" spans="1:7">
      <c r="A108" t="s">
        <v>203</v>
      </c>
      <c r="B108" s="6">
        <v>45872</v>
      </c>
      <c r="C108" s="6" t="str">
        <f>TEXT(Table3[[#This Row],[transaction_date]], "yyyy-mm")</f>
        <v>2025-08</v>
      </c>
      <c r="D108" t="s">
        <v>78</v>
      </c>
      <c r="E108" t="s">
        <v>3636</v>
      </c>
      <c r="F108" t="s">
        <v>3613</v>
      </c>
      <c r="G108">
        <v>8189178.8600000003</v>
      </c>
    </row>
    <row r="109" spans="1:7">
      <c r="A109" t="s">
        <v>204</v>
      </c>
      <c r="B109" s="6">
        <v>45840</v>
      </c>
      <c r="C109" s="6" t="str">
        <f>TEXT(Table3[[#This Row],[transaction_date]], "yyyy-mm")</f>
        <v>2025-07</v>
      </c>
      <c r="D109" t="s">
        <v>76</v>
      </c>
      <c r="E109" t="s">
        <v>3636</v>
      </c>
      <c r="F109" t="s">
        <v>3605</v>
      </c>
      <c r="G109">
        <v>850530.14</v>
      </c>
    </row>
    <row r="110" spans="1:7">
      <c r="A110" t="s">
        <v>205</v>
      </c>
      <c r="B110" s="6">
        <v>45786</v>
      </c>
      <c r="C110" s="6" t="str">
        <f>TEXT(Table3[[#This Row],[transaction_date]], "yyyy-mm")</f>
        <v>2025-05</v>
      </c>
      <c r="D110" t="s">
        <v>77</v>
      </c>
      <c r="E110" t="s">
        <v>3637</v>
      </c>
      <c r="F110" t="s">
        <v>3622</v>
      </c>
      <c r="G110">
        <v>899758.92</v>
      </c>
    </row>
    <row r="111" spans="1:7">
      <c r="A111" t="s">
        <v>206</v>
      </c>
      <c r="B111" s="6">
        <v>45835</v>
      </c>
      <c r="C111" s="6" t="str">
        <f>TEXT(Table3[[#This Row],[transaction_date]], "yyyy-mm")</f>
        <v>2025-06</v>
      </c>
      <c r="D111" t="s">
        <v>74</v>
      </c>
      <c r="E111" t="s">
        <v>3636</v>
      </c>
      <c r="F111" t="s">
        <v>3605</v>
      </c>
      <c r="G111">
        <v>270514.93</v>
      </c>
    </row>
    <row r="112" spans="1:7">
      <c r="A112" t="s">
        <v>207</v>
      </c>
      <c r="B112" s="6">
        <v>45717</v>
      </c>
      <c r="C112" s="6" t="str">
        <f>TEXT(Table3[[#This Row],[transaction_date]], "yyyy-mm")</f>
        <v>2025-03</v>
      </c>
      <c r="D112" t="s">
        <v>95</v>
      </c>
      <c r="E112" t="s">
        <v>3636</v>
      </c>
      <c r="F112" t="s">
        <v>3609</v>
      </c>
      <c r="G112">
        <v>5035618.1900000004</v>
      </c>
    </row>
    <row r="113" spans="1:7">
      <c r="A113" t="s">
        <v>208</v>
      </c>
      <c r="B113" s="6">
        <v>45847</v>
      </c>
      <c r="C113" s="6" t="str">
        <f>TEXT(Table3[[#This Row],[transaction_date]], "yyyy-mm")</f>
        <v>2025-07</v>
      </c>
      <c r="D113" t="s">
        <v>76</v>
      </c>
      <c r="E113" t="s">
        <v>3636</v>
      </c>
      <c r="F113" t="s">
        <v>3612</v>
      </c>
      <c r="G113">
        <v>12481922.59</v>
      </c>
    </row>
    <row r="114" spans="1:7">
      <c r="A114" t="s">
        <v>209</v>
      </c>
      <c r="B114" s="6">
        <v>45833</v>
      </c>
      <c r="C114" s="6" t="str">
        <f>TEXT(Table3[[#This Row],[transaction_date]], "yyyy-mm")</f>
        <v>2025-06</v>
      </c>
      <c r="D114" t="s">
        <v>74</v>
      </c>
      <c r="E114" t="s">
        <v>3636</v>
      </c>
      <c r="F114" t="s">
        <v>3605</v>
      </c>
      <c r="G114">
        <v>220285.41</v>
      </c>
    </row>
    <row r="115" spans="1:7">
      <c r="A115" t="s">
        <v>210</v>
      </c>
      <c r="B115" s="6">
        <v>45990</v>
      </c>
      <c r="C115" s="6" t="str">
        <f>TEXT(Table3[[#This Row],[transaction_date]], "yyyy-mm")</f>
        <v>2025-11</v>
      </c>
      <c r="D115" t="s">
        <v>84</v>
      </c>
      <c r="E115" t="s">
        <v>3637</v>
      </c>
      <c r="F115" t="s">
        <v>3616</v>
      </c>
      <c r="G115">
        <v>16066408.630000001</v>
      </c>
    </row>
    <row r="116" spans="1:7">
      <c r="A116" t="s">
        <v>211</v>
      </c>
      <c r="B116" s="6">
        <v>45959</v>
      </c>
      <c r="C116" s="6" t="str">
        <f>TEXT(Table3[[#This Row],[transaction_date]], "yyyy-mm")</f>
        <v>2025-10</v>
      </c>
      <c r="D116" t="s">
        <v>85</v>
      </c>
      <c r="E116" t="s">
        <v>3636</v>
      </c>
      <c r="F116" t="s">
        <v>3611</v>
      </c>
      <c r="G116">
        <v>1272952.82</v>
      </c>
    </row>
    <row r="117" spans="1:7">
      <c r="A117" t="s">
        <v>212</v>
      </c>
      <c r="B117" s="6">
        <v>46016</v>
      </c>
      <c r="C117" s="6" t="str">
        <f>TEXT(Table3[[#This Row],[transaction_date]], "yyyy-mm")</f>
        <v>2025-12</v>
      </c>
      <c r="D117" t="s">
        <v>76</v>
      </c>
      <c r="E117" t="s">
        <v>3637</v>
      </c>
      <c r="F117" t="s">
        <v>3620</v>
      </c>
      <c r="G117">
        <v>4923771.0999999996</v>
      </c>
    </row>
    <row r="118" spans="1:7">
      <c r="A118" t="s">
        <v>213</v>
      </c>
      <c r="B118" s="6">
        <v>45762</v>
      </c>
      <c r="C118" s="6" t="str">
        <f>TEXT(Table3[[#This Row],[transaction_date]], "yyyy-mm")</f>
        <v>2025-04</v>
      </c>
      <c r="D118" t="s">
        <v>75</v>
      </c>
      <c r="E118" t="s">
        <v>3637</v>
      </c>
      <c r="F118" t="s">
        <v>3622</v>
      </c>
      <c r="G118">
        <v>10893826.470000001</v>
      </c>
    </row>
    <row r="119" spans="1:7">
      <c r="A119" t="s">
        <v>214</v>
      </c>
      <c r="B119" s="6">
        <v>45661</v>
      </c>
      <c r="C119" s="6" t="str">
        <f>TEXT(Table3[[#This Row],[transaction_date]], "yyyy-mm")</f>
        <v>2025-01</v>
      </c>
      <c r="D119" t="s">
        <v>95</v>
      </c>
      <c r="E119" t="s">
        <v>3636</v>
      </c>
      <c r="F119" t="s">
        <v>3606</v>
      </c>
      <c r="G119">
        <v>8771469.9499999993</v>
      </c>
    </row>
    <row r="120" spans="1:7">
      <c r="A120" t="s">
        <v>215</v>
      </c>
      <c r="B120" s="6">
        <v>45905</v>
      </c>
      <c r="C120" s="6" t="str">
        <f>TEXT(Table3[[#This Row],[transaction_date]], "yyyy-mm")</f>
        <v>2025-09</v>
      </c>
      <c r="D120" t="s">
        <v>95</v>
      </c>
      <c r="E120" t="s">
        <v>3637</v>
      </c>
      <c r="F120" t="s">
        <v>3620</v>
      </c>
      <c r="G120">
        <v>6075472.6699999999</v>
      </c>
    </row>
    <row r="121" spans="1:7">
      <c r="A121" t="s">
        <v>216</v>
      </c>
      <c r="B121" s="6">
        <v>45861</v>
      </c>
      <c r="C121" s="6" t="str">
        <f>TEXT(Table3[[#This Row],[transaction_date]], "yyyy-mm")</f>
        <v>2025-07</v>
      </c>
      <c r="D121" t="s">
        <v>76</v>
      </c>
      <c r="E121" t="s">
        <v>3636</v>
      </c>
      <c r="F121" t="s">
        <v>3613</v>
      </c>
      <c r="G121">
        <v>1293117.29</v>
      </c>
    </row>
    <row r="122" spans="1:7">
      <c r="A122" t="s">
        <v>217</v>
      </c>
      <c r="B122" s="6">
        <v>45850</v>
      </c>
      <c r="C122" s="6" t="str">
        <f>TEXT(Table3[[#This Row],[transaction_date]], "yyyy-mm")</f>
        <v>2025-07</v>
      </c>
      <c r="D122" t="s">
        <v>85</v>
      </c>
      <c r="E122" t="s">
        <v>3636</v>
      </c>
      <c r="F122" t="s">
        <v>3606</v>
      </c>
      <c r="G122">
        <v>1528676.17</v>
      </c>
    </row>
    <row r="123" spans="1:7">
      <c r="A123" t="s">
        <v>218</v>
      </c>
      <c r="B123" s="6">
        <v>45853</v>
      </c>
      <c r="C123" s="6" t="str">
        <f>TEXT(Table3[[#This Row],[transaction_date]], "yyyy-mm")</f>
        <v>2025-07</v>
      </c>
      <c r="D123" t="s">
        <v>74</v>
      </c>
      <c r="E123" t="s">
        <v>3637</v>
      </c>
      <c r="F123" t="s">
        <v>3621</v>
      </c>
      <c r="G123">
        <v>238329.86</v>
      </c>
    </row>
    <row r="124" spans="1:7">
      <c r="A124" t="s">
        <v>219</v>
      </c>
      <c r="B124" s="6">
        <v>45869</v>
      </c>
      <c r="C124" s="6" t="str">
        <f>TEXT(Table3[[#This Row],[transaction_date]], "yyyy-mm")</f>
        <v>2025-07</v>
      </c>
      <c r="D124" t="s">
        <v>75</v>
      </c>
      <c r="E124" t="s">
        <v>3637</v>
      </c>
      <c r="F124" t="s">
        <v>3621</v>
      </c>
      <c r="G124">
        <v>11165138.85</v>
      </c>
    </row>
    <row r="125" spans="1:7">
      <c r="A125" t="s">
        <v>220</v>
      </c>
      <c r="B125" s="6">
        <v>45824</v>
      </c>
      <c r="C125" s="6" t="str">
        <f>TEXT(Table3[[#This Row],[transaction_date]], "yyyy-mm")</f>
        <v>2025-06</v>
      </c>
      <c r="D125" t="s">
        <v>80</v>
      </c>
      <c r="E125" t="s">
        <v>3637</v>
      </c>
      <c r="F125" t="s">
        <v>3620</v>
      </c>
      <c r="G125">
        <v>2126790.39</v>
      </c>
    </row>
    <row r="126" spans="1:7">
      <c r="A126" t="s">
        <v>221</v>
      </c>
      <c r="B126" s="6">
        <v>46016</v>
      </c>
      <c r="C126" s="6" t="str">
        <f>TEXT(Table3[[#This Row],[transaction_date]], "yyyy-mm")</f>
        <v>2025-12</v>
      </c>
      <c r="D126" t="s">
        <v>73</v>
      </c>
      <c r="E126" t="s">
        <v>3637</v>
      </c>
      <c r="F126" t="s">
        <v>3621</v>
      </c>
      <c r="G126">
        <v>341305.19</v>
      </c>
    </row>
    <row r="127" spans="1:7">
      <c r="A127" t="s">
        <v>222</v>
      </c>
      <c r="B127" s="6">
        <v>45967</v>
      </c>
      <c r="C127" s="6" t="str">
        <f>TEXT(Table3[[#This Row],[transaction_date]], "yyyy-mm")</f>
        <v>2025-11</v>
      </c>
      <c r="D127" t="s">
        <v>79</v>
      </c>
      <c r="E127" t="s">
        <v>3637</v>
      </c>
      <c r="F127" t="s">
        <v>3622</v>
      </c>
      <c r="G127">
        <v>6523045.4299999997</v>
      </c>
    </row>
    <row r="128" spans="1:7">
      <c r="A128" t="s">
        <v>223</v>
      </c>
      <c r="B128" s="6">
        <v>45785</v>
      </c>
      <c r="C128" s="6" t="str">
        <f>TEXT(Table3[[#This Row],[transaction_date]], "yyyy-mm")</f>
        <v>2025-05</v>
      </c>
      <c r="D128" t="s">
        <v>80</v>
      </c>
      <c r="E128" t="s">
        <v>3637</v>
      </c>
      <c r="F128" t="s">
        <v>3614</v>
      </c>
      <c r="G128">
        <v>4155485.11</v>
      </c>
    </row>
    <row r="129" spans="1:7">
      <c r="A129" t="s">
        <v>224</v>
      </c>
      <c r="B129" s="6">
        <v>45798</v>
      </c>
      <c r="C129" s="6" t="str">
        <f>TEXT(Table3[[#This Row],[transaction_date]], "yyyy-mm")</f>
        <v>2025-05</v>
      </c>
      <c r="D129" t="s">
        <v>80</v>
      </c>
      <c r="E129" t="s">
        <v>3636</v>
      </c>
      <c r="F129" t="s">
        <v>3608</v>
      </c>
      <c r="G129">
        <v>1938972.93</v>
      </c>
    </row>
    <row r="130" spans="1:7">
      <c r="A130" t="s">
        <v>225</v>
      </c>
      <c r="B130" s="6">
        <v>45820</v>
      </c>
      <c r="C130" s="6" t="str">
        <f>TEXT(Table3[[#This Row],[transaction_date]], "yyyy-mm")</f>
        <v>2025-06</v>
      </c>
      <c r="D130" t="s">
        <v>85</v>
      </c>
      <c r="E130" t="s">
        <v>3637</v>
      </c>
      <c r="F130" t="s">
        <v>3614</v>
      </c>
      <c r="G130">
        <v>2593935.9900000002</v>
      </c>
    </row>
    <row r="131" spans="1:7">
      <c r="A131" t="s">
        <v>226</v>
      </c>
      <c r="B131" s="6">
        <v>45710</v>
      </c>
      <c r="C131" s="6" t="str">
        <f>TEXT(Table3[[#This Row],[transaction_date]], "yyyy-mm")</f>
        <v>2025-02</v>
      </c>
      <c r="D131" t="s">
        <v>73</v>
      </c>
      <c r="E131" t="s">
        <v>3636</v>
      </c>
      <c r="F131" t="s">
        <v>3613</v>
      </c>
      <c r="G131">
        <v>3300879.96</v>
      </c>
    </row>
    <row r="132" spans="1:7">
      <c r="A132" t="s">
        <v>227</v>
      </c>
      <c r="B132" s="6">
        <v>45958</v>
      </c>
      <c r="C132" s="6" t="str">
        <f>TEXT(Table3[[#This Row],[transaction_date]], "yyyy-mm")</f>
        <v>2025-10</v>
      </c>
      <c r="D132" t="s">
        <v>74</v>
      </c>
      <c r="E132" t="s">
        <v>3636</v>
      </c>
      <c r="F132" t="s">
        <v>3606</v>
      </c>
      <c r="G132">
        <v>1097469</v>
      </c>
    </row>
    <row r="133" spans="1:7">
      <c r="A133" t="s">
        <v>228</v>
      </c>
      <c r="B133" s="6">
        <v>45684</v>
      </c>
      <c r="C133" s="6" t="str">
        <f>TEXT(Table3[[#This Row],[transaction_date]], "yyyy-mm")</f>
        <v>2025-01</v>
      </c>
      <c r="D133" t="s">
        <v>95</v>
      </c>
      <c r="E133" t="s">
        <v>3636</v>
      </c>
      <c r="F133" t="s">
        <v>3606</v>
      </c>
      <c r="G133">
        <v>1140106.51</v>
      </c>
    </row>
    <row r="134" spans="1:7">
      <c r="A134" t="s">
        <v>229</v>
      </c>
      <c r="B134" s="6">
        <v>45762</v>
      </c>
      <c r="C134" s="6" t="str">
        <f>TEXT(Table3[[#This Row],[transaction_date]], "yyyy-mm")</f>
        <v>2025-04</v>
      </c>
      <c r="D134" t="s">
        <v>79</v>
      </c>
      <c r="E134" t="s">
        <v>3636</v>
      </c>
      <c r="F134" t="s">
        <v>3611</v>
      </c>
      <c r="G134">
        <v>3486995.46</v>
      </c>
    </row>
    <row r="135" spans="1:7">
      <c r="A135" t="s">
        <v>230</v>
      </c>
      <c r="B135" s="6">
        <v>45942</v>
      </c>
      <c r="C135" s="6" t="str">
        <f>TEXT(Table3[[#This Row],[transaction_date]], "yyyy-mm")</f>
        <v>2025-10</v>
      </c>
      <c r="D135" t="s">
        <v>93</v>
      </c>
      <c r="E135" t="s">
        <v>3636</v>
      </c>
      <c r="F135" t="s">
        <v>3610</v>
      </c>
      <c r="G135">
        <v>6833160.4699999997</v>
      </c>
    </row>
    <row r="136" spans="1:7">
      <c r="A136" t="s">
        <v>231</v>
      </c>
      <c r="B136" s="6">
        <v>45695</v>
      </c>
      <c r="C136" s="6" t="str">
        <f>TEXT(Table3[[#This Row],[transaction_date]], "yyyy-mm")</f>
        <v>2025-02</v>
      </c>
      <c r="D136" t="s">
        <v>3597</v>
      </c>
      <c r="E136" t="s">
        <v>3637</v>
      </c>
      <c r="F136" t="s">
        <v>3623</v>
      </c>
      <c r="G136">
        <v>688587.8</v>
      </c>
    </row>
    <row r="137" spans="1:7">
      <c r="A137" t="s">
        <v>232</v>
      </c>
      <c r="B137" s="6">
        <v>45711</v>
      </c>
      <c r="C137" s="6" t="str">
        <f>TEXT(Table3[[#This Row],[transaction_date]], "yyyy-mm")</f>
        <v>2025-02</v>
      </c>
      <c r="D137" t="s">
        <v>85</v>
      </c>
      <c r="E137" t="s">
        <v>3636</v>
      </c>
      <c r="F137" t="s">
        <v>3605</v>
      </c>
      <c r="G137">
        <v>871945.8</v>
      </c>
    </row>
    <row r="138" spans="1:7">
      <c r="A138" t="s">
        <v>233</v>
      </c>
      <c r="B138" s="6">
        <v>45770</v>
      </c>
      <c r="C138" s="6" t="str">
        <f>TEXT(Table3[[#This Row],[transaction_date]], "yyyy-mm")</f>
        <v>2025-04</v>
      </c>
      <c r="D138" t="s">
        <v>95</v>
      </c>
      <c r="E138" t="s">
        <v>3636</v>
      </c>
      <c r="F138" t="s">
        <v>3606</v>
      </c>
      <c r="G138">
        <v>10665621.16</v>
      </c>
    </row>
    <row r="139" spans="1:7">
      <c r="A139" t="s">
        <v>234</v>
      </c>
      <c r="B139" s="6">
        <v>45901</v>
      </c>
      <c r="C139" s="6" t="str">
        <f>TEXT(Table3[[#This Row],[transaction_date]], "yyyy-mm")</f>
        <v>2025-09</v>
      </c>
      <c r="D139" t="s">
        <v>78</v>
      </c>
      <c r="E139" t="s">
        <v>3637</v>
      </c>
      <c r="F139" t="s">
        <v>3615</v>
      </c>
      <c r="G139">
        <v>4623401.45</v>
      </c>
    </row>
    <row r="140" spans="1:7">
      <c r="A140" t="s">
        <v>235</v>
      </c>
      <c r="B140" s="6">
        <v>45748</v>
      </c>
      <c r="C140" s="6" t="str">
        <f>TEXT(Table3[[#This Row],[transaction_date]], "yyyy-mm")</f>
        <v>2025-04</v>
      </c>
      <c r="D140" t="s">
        <v>95</v>
      </c>
      <c r="E140" t="s">
        <v>3637</v>
      </c>
      <c r="F140" t="s">
        <v>3616</v>
      </c>
      <c r="G140">
        <v>5243916.3600000003</v>
      </c>
    </row>
    <row r="141" spans="1:7">
      <c r="A141" t="s">
        <v>236</v>
      </c>
      <c r="B141" s="6">
        <v>45914</v>
      </c>
      <c r="C141" s="6" t="str">
        <f>TEXT(Table3[[#This Row],[transaction_date]], "yyyy-mm")</f>
        <v>2025-09</v>
      </c>
      <c r="D141" t="s">
        <v>73</v>
      </c>
      <c r="E141" t="s">
        <v>3636</v>
      </c>
      <c r="F141" t="s">
        <v>3604</v>
      </c>
      <c r="G141">
        <v>2883480.19</v>
      </c>
    </row>
    <row r="142" spans="1:7">
      <c r="A142" t="s">
        <v>237</v>
      </c>
      <c r="B142" s="6">
        <v>45808</v>
      </c>
      <c r="C142" s="6" t="str">
        <f>TEXT(Table3[[#This Row],[transaction_date]], "yyyy-mm")</f>
        <v>2025-05</v>
      </c>
      <c r="D142" t="s">
        <v>75</v>
      </c>
      <c r="E142" t="s">
        <v>3637</v>
      </c>
      <c r="F142" t="s">
        <v>3618</v>
      </c>
      <c r="G142">
        <v>237162.75</v>
      </c>
    </row>
    <row r="143" spans="1:7">
      <c r="A143" t="s">
        <v>238</v>
      </c>
      <c r="B143" s="6">
        <v>45692</v>
      </c>
      <c r="C143" s="6" t="str">
        <f>TEXT(Table3[[#This Row],[transaction_date]], "yyyy-mm")</f>
        <v>2025-02</v>
      </c>
      <c r="D143" t="s">
        <v>85</v>
      </c>
      <c r="E143" t="s">
        <v>3636</v>
      </c>
      <c r="F143" t="s">
        <v>3604</v>
      </c>
      <c r="G143">
        <v>3887476.84</v>
      </c>
    </row>
    <row r="144" spans="1:7">
      <c r="A144" t="s">
        <v>239</v>
      </c>
      <c r="B144" s="6">
        <v>45717</v>
      </c>
      <c r="C144" s="6" t="str">
        <f>TEXT(Table3[[#This Row],[transaction_date]], "yyyy-mm")</f>
        <v>2025-03</v>
      </c>
      <c r="D144" t="s">
        <v>93</v>
      </c>
      <c r="E144" t="s">
        <v>3636</v>
      </c>
      <c r="F144" t="s">
        <v>3604</v>
      </c>
      <c r="G144">
        <v>3396032.52</v>
      </c>
    </row>
    <row r="145" spans="1:7">
      <c r="A145" t="s">
        <v>240</v>
      </c>
      <c r="B145" s="6">
        <v>45919</v>
      </c>
      <c r="C145" s="6" t="str">
        <f>TEXT(Table3[[#This Row],[transaction_date]], "yyyy-mm")</f>
        <v>2025-09</v>
      </c>
      <c r="D145" t="s">
        <v>84</v>
      </c>
      <c r="E145" t="s">
        <v>3637</v>
      </c>
      <c r="F145" t="s">
        <v>3614</v>
      </c>
      <c r="G145">
        <v>12589081.470000001</v>
      </c>
    </row>
    <row r="146" spans="1:7">
      <c r="A146" t="s">
        <v>241</v>
      </c>
      <c r="B146" s="6">
        <v>45897</v>
      </c>
      <c r="C146" s="6" t="str">
        <f>TEXT(Table3[[#This Row],[transaction_date]], "yyyy-mm")</f>
        <v>2025-08</v>
      </c>
      <c r="D146" t="s">
        <v>76</v>
      </c>
      <c r="E146" t="s">
        <v>3637</v>
      </c>
      <c r="F146" t="s">
        <v>3615</v>
      </c>
      <c r="G146">
        <v>13852411.73</v>
      </c>
    </row>
    <row r="147" spans="1:7">
      <c r="A147" t="s">
        <v>242</v>
      </c>
      <c r="B147" s="6">
        <v>45919</v>
      </c>
      <c r="C147" s="6" t="str">
        <f>TEXT(Table3[[#This Row],[transaction_date]], "yyyy-mm")</f>
        <v>2025-09</v>
      </c>
      <c r="D147" t="s">
        <v>73</v>
      </c>
      <c r="E147" t="s">
        <v>3636</v>
      </c>
      <c r="F147" t="s">
        <v>3610</v>
      </c>
      <c r="G147">
        <v>155667.57</v>
      </c>
    </row>
    <row r="148" spans="1:7">
      <c r="A148" t="s">
        <v>243</v>
      </c>
      <c r="B148" s="6">
        <v>45981</v>
      </c>
      <c r="C148" s="6" t="str">
        <f>TEXT(Table3[[#This Row],[transaction_date]], "yyyy-mm")</f>
        <v>2025-11</v>
      </c>
      <c r="D148" t="s">
        <v>73</v>
      </c>
      <c r="E148" t="s">
        <v>3637</v>
      </c>
      <c r="F148" t="s">
        <v>3623</v>
      </c>
      <c r="G148">
        <v>745959.83</v>
      </c>
    </row>
    <row r="149" spans="1:7">
      <c r="A149" t="s">
        <v>244</v>
      </c>
      <c r="B149" s="6">
        <v>45907</v>
      </c>
      <c r="C149" s="6" t="str">
        <f>TEXT(Table3[[#This Row],[transaction_date]], "yyyy-mm")</f>
        <v>2025-09</v>
      </c>
      <c r="D149" t="s">
        <v>77</v>
      </c>
      <c r="E149" t="s">
        <v>3636</v>
      </c>
      <c r="F149" t="s">
        <v>3606</v>
      </c>
      <c r="G149">
        <v>246627.34</v>
      </c>
    </row>
    <row r="150" spans="1:7">
      <c r="A150" t="s">
        <v>245</v>
      </c>
      <c r="B150" s="6">
        <v>46006</v>
      </c>
      <c r="C150" s="6" t="str">
        <f>TEXT(Table3[[#This Row],[transaction_date]], "yyyy-mm")</f>
        <v>2025-12</v>
      </c>
      <c r="D150" t="s">
        <v>79</v>
      </c>
      <c r="E150" t="s">
        <v>3636</v>
      </c>
      <c r="F150" t="s">
        <v>3611</v>
      </c>
      <c r="G150">
        <v>3711788.58</v>
      </c>
    </row>
    <row r="151" spans="1:7">
      <c r="A151" t="s">
        <v>246</v>
      </c>
      <c r="B151" s="6">
        <v>45726</v>
      </c>
      <c r="C151" s="6" t="str">
        <f>TEXT(Table3[[#This Row],[transaction_date]], "yyyy-mm")</f>
        <v>2025-03</v>
      </c>
      <c r="D151" t="s">
        <v>93</v>
      </c>
      <c r="E151" t="s">
        <v>3637</v>
      </c>
      <c r="F151" t="s">
        <v>3614</v>
      </c>
      <c r="G151">
        <v>9414523.3000000007</v>
      </c>
    </row>
    <row r="152" spans="1:7">
      <c r="A152" t="s">
        <v>247</v>
      </c>
      <c r="B152" s="6">
        <v>45707</v>
      </c>
      <c r="C152" s="6" t="str">
        <f>TEXT(Table3[[#This Row],[transaction_date]], "yyyy-mm")</f>
        <v>2025-02</v>
      </c>
      <c r="D152" t="s">
        <v>82</v>
      </c>
      <c r="E152" t="s">
        <v>3637</v>
      </c>
      <c r="F152" t="s">
        <v>3615</v>
      </c>
      <c r="G152">
        <v>17099903.879999999</v>
      </c>
    </row>
    <row r="153" spans="1:7">
      <c r="A153" t="s">
        <v>248</v>
      </c>
      <c r="B153" s="6">
        <v>45941</v>
      </c>
      <c r="C153" s="6" t="str">
        <f>TEXT(Table3[[#This Row],[transaction_date]], "yyyy-mm")</f>
        <v>2025-10</v>
      </c>
      <c r="D153" t="s">
        <v>95</v>
      </c>
      <c r="E153" t="s">
        <v>3636</v>
      </c>
      <c r="F153" t="s">
        <v>3604</v>
      </c>
      <c r="G153">
        <v>246249.33</v>
      </c>
    </row>
    <row r="154" spans="1:7">
      <c r="A154" t="s">
        <v>249</v>
      </c>
      <c r="B154" s="6">
        <v>45718</v>
      </c>
      <c r="C154" s="6" t="str">
        <f>TEXT(Table3[[#This Row],[transaction_date]], "yyyy-mm")</f>
        <v>2025-03</v>
      </c>
      <c r="D154" t="s">
        <v>79</v>
      </c>
      <c r="E154" t="s">
        <v>3636</v>
      </c>
      <c r="F154" t="s">
        <v>3612</v>
      </c>
      <c r="G154">
        <v>4224058.67</v>
      </c>
    </row>
    <row r="155" spans="1:7">
      <c r="A155" t="s">
        <v>250</v>
      </c>
      <c r="B155" s="6">
        <v>45943</v>
      </c>
      <c r="C155" s="6" t="str">
        <f>TEXT(Table3[[#This Row],[transaction_date]], "yyyy-mm")</f>
        <v>2025-10</v>
      </c>
      <c r="D155" t="s">
        <v>73</v>
      </c>
      <c r="E155" t="s">
        <v>3637</v>
      </c>
      <c r="F155" t="s">
        <v>3622</v>
      </c>
      <c r="G155">
        <v>149847.81</v>
      </c>
    </row>
    <row r="156" spans="1:7">
      <c r="A156" t="s">
        <v>251</v>
      </c>
      <c r="B156" s="6">
        <v>45874</v>
      </c>
      <c r="C156" s="6" t="str">
        <f>TEXT(Table3[[#This Row],[transaction_date]], "yyyy-mm")</f>
        <v>2025-08</v>
      </c>
      <c r="D156" t="s">
        <v>77</v>
      </c>
      <c r="E156" t="s">
        <v>3636</v>
      </c>
      <c r="F156" t="s">
        <v>3610</v>
      </c>
      <c r="G156">
        <v>2408783.4700000002</v>
      </c>
    </row>
    <row r="157" spans="1:7">
      <c r="A157" t="s">
        <v>252</v>
      </c>
      <c r="B157" s="6">
        <v>46012</v>
      </c>
      <c r="C157" s="6" t="str">
        <f>TEXT(Table3[[#This Row],[transaction_date]], "yyyy-mm")</f>
        <v>2025-12</v>
      </c>
      <c r="D157" t="s">
        <v>82</v>
      </c>
      <c r="E157" t="s">
        <v>3637</v>
      </c>
      <c r="F157" t="s">
        <v>3623</v>
      </c>
      <c r="G157">
        <v>8557376.6300000008</v>
      </c>
    </row>
    <row r="158" spans="1:7">
      <c r="A158" t="s">
        <v>253</v>
      </c>
      <c r="B158" s="6">
        <v>45885</v>
      </c>
      <c r="C158" s="6" t="str">
        <f>TEXT(Table3[[#This Row],[transaction_date]], "yyyy-mm")</f>
        <v>2025-08</v>
      </c>
      <c r="D158" t="s">
        <v>80</v>
      </c>
      <c r="E158" t="s">
        <v>3637</v>
      </c>
      <c r="F158" t="s">
        <v>3618</v>
      </c>
      <c r="G158">
        <v>1897581.92</v>
      </c>
    </row>
    <row r="159" spans="1:7">
      <c r="A159" t="s">
        <v>254</v>
      </c>
      <c r="B159" s="6">
        <v>45969</v>
      </c>
      <c r="C159" s="6" t="str">
        <f>TEXT(Table3[[#This Row],[transaction_date]], "yyyy-mm")</f>
        <v>2025-11</v>
      </c>
      <c r="D159" t="s">
        <v>79</v>
      </c>
      <c r="E159" t="s">
        <v>3636</v>
      </c>
      <c r="F159" t="s">
        <v>3605</v>
      </c>
      <c r="G159">
        <v>2530017.64</v>
      </c>
    </row>
    <row r="160" spans="1:7">
      <c r="A160" t="s">
        <v>255</v>
      </c>
      <c r="B160" s="6">
        <v>45684</v>
      </c>
      <c r="C160" s="6" t="str">
        <f>TEXT(Table3[[#This Row],[transaction_date]], "yyyy-mm")</f>
        <v>2025-01</v>
      </c>
      <c r="D160" t="s">
        <v>76</v>
      </c>
      <c r="E160" t="s">
        <v>3637</v>
      </c>
      <c r="F160" t="s">
        <v>3620</v>
      </c>
      <c r="G160">
        <v>743764</v>
      </c>
    </row>
    <row r="161" spans="1:7">
      <c r="A161" t="s">
        <v>256</v>
      </c>
      <c r="B161" s="6">
        <v>45719</v>
      </c>
      <c r="C161" s="6" t="str">
        <f>TEXT(Table3[[#This Row],[transaction_date]], "yyyy-mm")</f>
        <v>2025-03</v>
      </c>
      <c r="D161" t="s">
        <v>76</v>
      </c>
      <c r="E161" t="s">
        <v>3637</v>
      </c>
      <c r="F161" t="s">
        <v>3620</v>
      </c>
      <c r="G161">
        <v>665386.44999999995</v>
      </c>
    </row>
    <row r="162" spans="1:7">
      <c r="A162" t="s">
        <v>257</v>
      </c>
      <c r="B162" s="6">
        <v>45751</v>
      </c>
      <c r="C162" s="6" t="str">
        <f>TEXT(Table3[[#This Row],[transaction_date]], "yyyy-mm")</f>
        <v>2025-04</v>
      </c>
      <c r="D162" t="s">
        <v>95</v>
      </c>
      <c r="E162" t="s">
        <v>3637</v>
      </c>
      <c r="F162" t="s">
        <v>3623</v>
      </c>
      <c r="G162">
        <v>4410971.6100000003</v>
      </c>
    </row>
    <row r="163" spans="1:7">
      <c r="A163" t="s">
        <v>258</v>
      </c>
      <c r="B163" s="6">
        <v>45858</v>
      </c>
      <c r="C163" s="6" t="str">
        <f>TEXT(Table3[[#This Row],[transaction_date]], "yyyy-mm")</f>
        <v>2025-07</v>
      </c>
      <c r="D163" t="s">
        <v>90</v>
      </c>
      <c r="E163" t="s">
        <v>3637</v>
      </c>
      <c r="F163" t="s">
        <v>3615</v>
      </c>
      <c r="G163">
        <v>4867125.25</v>
      </c>
    </row>
    <row r="164" spans="1:7">
      <c r="A164" t="s">
        <v>259</v>
      </c>
      <c r="B164" s="6">
        <v>45832</v>
      </c>
      <c r="C164" s="6" t="str">
        <f>TEXT(Table3[[#This Row],[transaction_date]], "yyyy-mm")</f>
        <v>2025-06</v>
      </c>
      <c r="D164" t="s">
        <v>85</v>
      </c>
      <c r="E164" t="s">
        <v>3636</v>
      </c>
      <c r="F164" t="s">
        <v>3613</v>
      </c>
      <c r="G164">
        <v>1900593.39</v>
      </c>
    </row>
    <row r="165" spans="1:7">
      <c r="A165" t="s">
        <v>260</v>
      </c>
      <c r="B165" s="6">
        <v>45887</v>
      </c>
      <c r="C165" s="6" t="str">
        <f>TEXT(Table3[[#This Row],[transaction_date]], "yyyy-mm")</f>
        <v>2025-08</v>
      </c>
      <c r="D165" t="s">
        <v>77</v>
      </c>
      <c r="E165" t="s">
        <v>3636</v>
      </c>
      <c r="F165" t="s">
        <v>3609</v>
      </c>
      <c r="G165">
        <v>31435.58</v>
      </c>
    </row>
    <row r="166" spans="1:7">
      <c r="A166" t="s">
        <v>261</v>
      </c>
      <c r="B166" s="6">
        <v>45667</v>
      </c>
      <c r="C166" s="6" t="str">
        <f>TEXT(Table3[[#This Row],[transaction_date]], "yyyy-mm")</f>
        <v>2025-01</v>
      </c>
      <c r="D166" t="s">
        <v>3597</v>
      </c>
      <c r="E166" t="s">
        <v>3637</v>
      </c>
      <c r="F166" t="s">
        <v>3618</v>
      </c>
      <c r="G166">
        <v>3246703.64</v>
      </c>
    </row>
    <row r="167" spans="1:7">
      <c r="A167" t="s">
        <v>262</v>
      </c>
      <c r="B167" s="6">
        <v>45726</v>
      </c>
      <c r="C167" s="6" t="str">
        <f>TEXT(Table3[[#This Row],[transaction_date]], "yyyy-mm")</f>
        <v>2025-03</v>
      </c>
      <c r="D167" t="s">
        <v>78</v>
      </c>
      <c r="E167" t="s">
        <v>3636</v>
      </c>
      <c r="F167" t="s">
        <v>3604</v>
      </c>
      <c r="G167">
        <v>3106039.94</v>
      </c>
    </row>
    <row r="168" spans="1:7">
      <c r="A168" t="s">
        <v>263</v>
      </c>
      <c r="B168" s="6">
        <v>45750</v>
      </c>
      <c r="C168" s="6" t="str">
        <f>TEXT(Table3[[#This Row],[transaction_date]], "yyyy-mm")</f>
        <v>2025-04</v>
      </c>
      <c r="D168" t="s">
        <v>90</v>
      </c>
      <c r="E168" t="s">
        <v>3636</v>
      </c>
      <c r="F168" t="s">
        <v>3604</v>
      </c>
      <c r="G168">
        <v>287206.51</v>
      </c>
    </row>
    <row r="169" spans="1:7">
      <c r="A169" t="s">
        <v>264</v>
      </c>
      <c r="B169" s="6">
        <v>45756</v>
      </c>
      <c r="C169" s="6" t="str">
        <f>TEXT(Table3[[#This Row],[transaction_date]], "yyyy-mm")</f>
        <v>2025-04</v>
      </c>
      <c r="D169" t="s">
        <v>73</v>
      </c>
      <c r="E169" t="s">
        <v>3636</v>
      </c>
      <c r="F169" t="s">
        <v>3609</v>
      </c>
      <c r="G169">
        <v>32707.87</v>
      </c>
    </row>
    <row r="170" spans="1:7">
      <c r="A170" t="s">
        <v>265</v>
      </c>
      <c r="B170" s="6">
        <v>45801</v>
      </c>
      <c r="C170" s="6" t="str">
        <f>TEXT(Table3[[#This Row],[transaction_date]], "yyyy-mm")</f>
        <v>2025-05</v>
      </c>
      <c r="D170" t="s">
        <v>73</v>
      </c>
      <c r="E170" t="s">
        <v>3636</v>
      </c>
      <c r="F170" t="s">
        <v>3604</v>
      </c>
      <c r="G170">
        <v>1254881.5900000001</v>
      </c>
    </row>
    <row r="171" spans="1:7">
      <c r="A171" t="s">
        <v>266</v>
      </c>
      <c r="B171" s="6">
        <v>45723</v>
      </c>
      <c r="C171" s="6" t="str">
        <f>TEXT(Table3[[#This Row],[transaction_date]], "yyyy-mm")</f>
        <v>2025-03</v>
      </c>
      <c r="D171" t="s">
        <v>79</v>
      </c>
      <c r="E171" t="s">
        <v>3637</v>
      </c>
      <c r="F171" t="s">
        <v>3619</v>
      </c>
      <c r="G171">
        <v>338946.33</v>
      </c>
    </row>
    <row r="172" spans="1:7">
      <c r="A172" t="s">
        <v>267</v>
      </c>
      <c r="B172" s="6">
        <v>45793</v>
      </c>
      <c r="C172" s="6" t="str">
        <f>TEXT(Table3[[#This Row],[transaction_date]], "yyyy-mm")</f>
        <v>2025-05</v>
      </c>
      <c r="D172" t="s">
        <v>73</v>
      </c>
      <c r="E172" t="s">
        <v>3637</v>
      </c>
      <c r="F172" t="s">
        <v>3622</v>
      </c>
      <c r="G172">
        <v>262913.90999999997</v>
      </c>
    </row>
    <row r="173" spans="1:7">
      <c r="A173" t="s">
        <v>268</v>
      </c>
      <c r="B173" s="6">
        <v>45835</v>
      </c>
      <c r="C173" s="6" t="str">
        <f>TEXT(Table3[[#This Row],[transaction_date]], "yyyy-mm")</f>
        <v>2025-06</v>
      </c>
      <c r="D173" t="s">
        <v>73</v>
      </c>
      <c r="E173" t="s">
        <v>3636</v>
      </c>
      <c r="F173" t="s">
        <v>3609</v>
      </c>
      <c r="G173">
        <v>250780.39</v>
      </c>
    </row>
    <row r="174" spans="1:7">
      <c r="A174" t="s">
        <v>269</v>
      </c>
      <c r="B174" s="6">
        <v>45823</v>
      </c>
      <c r="C174" s="6" t="str">
        <f>TEXT(Table3[[#This Row],[transaction_date]], "yyyy-mm")</f>
        <v>2025-06</v>
      </c>
      <c r="D174" t="s">
        <v>82</v>
      </c>
      <c r="E174" t="s">
        <v>3637</v>
      </c>
      <c r="F174" t="s">
        <v>3616</v>
      </c>
      <c r="G174">
        <v>22968016.149999999</v>
      </c>
    </row>
    <row r="175" spans="1:7">
      <c r="A175" t="s">
        <v>270</v>
      </c>
      <c r="B175" s="6">
        <v>45938</v>
      </c>
      <c r="C175" s="6" t="str">
        <f>TEXT(Table3[[#This Row],[transaction_date]], "yyyy-mm")</f>
        <v>2025-10</v>
      </c>
      <c r="D175" t="s">
        <v>77</v>
      </c>
      <c r="E175" t="s">
        <v>3636</v>
      </c>
      <c r="F175" t="s">
        <v>3608</v>
      </c>
      <c r="G175">
        <v>969051.78</v>
      </c>
    </row>
    <row r="176" spans="1:7">
      <c r="A176" t="s">
        <v>271</v>
      </c>
      <c r="B176" s="6">
        <v>45670</v>
      </c>
      <c r="C176" s="6" t="str">
        <f>TEXT(Table3[[#This Row],[transaction_date]], "yyyy-mm")</f>
        <v>2025-01</v>
      </c>
      <c r="D176" t="s">
        <v>90</v>
      </c>
      <c r="E176" t="s">
        <v>3636</v>
      </c>
      <c r="F176" t="s">
        <v>3612</v>
      </c>
      <c r="G176">
        <v>2010493.12</v>
      </c>
    </row>
    <row r="177" spans="1:7">
      <c r="A177" t="s">
        <v>272</v>
      </c>
      <c r="B177" s="6">
        <v>45941</v>
      </c>
      <c r="C177" s="6" t="str">
        <f>TEXT(Table3[[#This Row],[transaction_date]], "yyyy-mm")</f>
        <v>2025-10</v>
      </c>
      <c r="D177" t="s">
        <v>95</v>
      </c>
      <c r="E177" t="s">
        <v>3637</v>
      </c>
      <c r="F177" t="s">
        <v>3621</v>
      </c>
      <c r="G177">
        <v>13939102.300000001</v>
      </c>
    </row>
    <row r="178" spans="1:7">
      <c r="A178" t="s">
        <v>273</v>
      </c>
      <c r="B178" s="6">
        <v>45828</v>
      </c>
      <c r="C178" s="6" t="str">
        <f>TEXT(Table3[[#This Row],[transaction_date]], "yyyy-mm")</f>
        <v>2025-06</v>
      </c>
      <c r="D178" t="s">
        <v>84</v>
      </c>
      <c r="E178" t="s">
        <v>3637</v>
      </c>
      <c r="F178" t="s">
        <v>3616</v>
      </c>
      <c r="G178">
        <v>19390194.739999998</v>
      </c>
    </row>
    <row r="179" spans="1:7">
      <c r="A179" t="s">
        <v>274</v>
      </c>
      <c r="B179" s="6">
        <v>45921</v>
      </c>
      <c r="C179" s="6" t="str">
        <f>TEXT(Table3[[#This Row],[transaction_date]], "yyyy-mm")</f>
        <v>2025-09</v>
      </c>
      <c r="D179" t="s">
        <v>90</v>
      </c>
      <c r="E179" t="s">
        <v>3637</v>
      </c>
      <c r="F179" t="s">
        <v>3615</v>
      </c>
      <c r="G179">
        <v>542546.77</v>
      </c>
    </row>
    <row r="180" spans="1:7">
      <c r="A180" t="s">
        <v>275</v>
      </c>
      <c r="B180" s="6">
        <v>45914</v>
      </c>
      <c r="C180" s="6" t="str">
        <f>TEXT(Table3[[#This Row],[transaction_date]], "yyyy-mm")</f>
        <v>2025-09</v>
      </c>
      <c r="D180" t="s">
        <v>73</v>
      </c>
      <c r="E180" t="s">
        <v>3636</v>
      </c>
      <c r="F180" t="s">
        <v>3609</v>
      </c>
      <c r="G180">
        <v>2226076.23</v>
      </c>
    </row>
    <row r="181" spans="1:7">
      <c r="A181" t="s">
        <v>276</v>
      </c>
      <c r="B181" s="6">
        <v>46018</v>
      </c>
      <c r="C181" s="6" t="str">
        <f>TEXT(Table3[[#This Row],[transaction_date]], "yyyy-mm")</f>
        <v>2025-12</v>
      </c>
      <c r="D181" t="s">
        <v>73</v>
      </c>
      <c r="E181" t="s">
        <v>3636</v>
      </c>
      <c r="F181" t="s">
        <v>3610</v>
      </c>
      <c r="G181">
        <v>380022.62</v>
      </c>
    </row>
    <row r="182" spans="1:7">
      <c r="A182" t="s">
        <v>277</v>
      </c>
      <c r="B182" s="6">
        <v>45909</v>
      </c>
      <c r="C182" s="6" t="str">
        <f>TEXT(Table3[[#This Row],[transaction_date]], "yyyy-mm")</f>
        <v>2025-09</v>
      </c>
      <c r="D182" t="s">
        <v>75</v>
      </c>
      <c r="E182" t="s">
        <v>3637</v>
      </c>
      <c r="F182" t="s">
        <v>3615</v>
      </c>
      <c r="G182">
        <v>10623836.48</v>
      </c>
    </row>
    <row r="183" spans="1:7">
      <c r="A183" t="s">
        <v>278</v>
      </c>
      <c r="B183" s="6">
        <v>45696</v>
      </c>
      <c r="C183" s="6" t="str">
        <f>TEXT(Table3[[#This Row],[transaction_date]], "yyyy-mm")</f>
        <v>2025-02</v>
      </c>
      <c r="D183" t="s">
        <v>89</v>
      </c>
      <c r="E183" t="s">
        <v>3636</v>
      </c>
      <c r="F183" t="s">
        <v>3607</v>
      </c>
      <c r="G183">
        <v>614713.07999999996</v>
      </c>
    </row>
    <row r="184" spans="1:7">
      <c r="A184" t="s">
        <v>279</v>
      </c>
      <c r="B184" s="6">
        <v>45677</v>
      </c>
      <c r="C184" s="6" t="str">
        <f>TEXT(Table3[[#This Row],[transaction_date]], "yyyy-mm")</f>
        <v>2025-01</v>
      </c>
      <c r="D184" t="s">
        <v>3597</v>
      </c>
      <c r="E184" t="s">
        <v>3637</v>
      </c>
      <c r="F184" t="s">
        <v>3614</v>
      </c>
      <c r="G184">
        <v>180546.31</v>
      </c>
    </row>
    <row r="185" spans="1:7">
      <c r="A185" t="s">
        <v>280</v>
      </c>
      <c r="B185" s="6">
        <v>45868</v>
      </c>
      <c r="C185" s="6" t="str">
        <f>TEXT(Table3[[#This Row],[transaction_date]], "yyyy-mm")</f>
        <v>2025-07</v>
      </c>
      <c r="D185" t="s">
        <v>79</v>
      </c>
      <c r="E185" t="s">
        <v>3637</v>
      </c>
      <c r="F185" t="s">
        <v>3614</v>
      </c>
      <c r="G185">
        <v>2539211.83</v>
      </c>
    </row>
    <row r="186" spans="1:7">
      <c r="A186" t="s">
        <v>281</v>
      </c>
      <c r="B186" s="6">
        <v>45724</v>
      </c>
      <c r="C186" s="6" t="str">
        <f>TEXT(Table3[[#This Row],[transaction_date]], "yyyy-mm")</f>
        <v>2025-03</v>
      </c>
      <c r="D186" t="s">
        <v>73</v>
      </c>
      <c r="E186" t="s">
        <v>3637</v>
      </c>
      <c r="F186" t="s">
        <v>3620</v>
      </c>
      <c r="G186">
        <v>1450759.5</v>
      </c>
    </row>
    <row r="187" spans="1:7">
      <c r="A187" t="s">
        <v>282</v>
      </c>
      <c r="B187" s="6">
        <v>45722</v>
      </c>
      <c r="C187" s="6" t="str">
        <f>TEXT(Table3[[#This Row],[transaction_date]], "yyyy-mm")</f>
        <v>2025-03</v>
      </c>
      <c r="D187" t="s">
        <v>76</v>
      </c>
      <c r="E187" t="s">
        <v>3636</v>
      </c>
      <c r="F187" t="s">
        <v>3609</v>
      </c>
      <c r="G187">
        <v>19812903.149999999</v>
      </c>
    </row>
    <row r="188" spans="1:7">
      <c r="A188" t="s">
        <v>283</v>
      </c>
      <c r="B188" s="6">
        <v>45705</v>
      </c>
      <c r="C188" s="6" t="str">
        <f>TEXT(Table3[[#This Row],[transaction_date]], "yyyy-mm")</f>
        <v>2025-02</v>
      </c>
      <c r="D188" t="s">
        <v>82</v>
      </c>
      <c r="E188" t="s">
        <v>3637</v>
      </c>
      <c r="F188" t="s">
        <v>3623</v>
      </c>
      <c r="G188">
        <v>18108227.460000001</v>
      </c>
    </row>
    <row r="189" spans="1:7">
      <c r="A189" t="s">
        <v>284</v>
      </c>
      <c r="B189" s="6">
        <v>45889</v>
      </c>
      <c r="C189" s="6" t="str">
        <f>TEXT(Table3[[#This Row],[transaction_date]], "yyyy-mm")</f>
        <v>2025-08</v>
      </c>
      <c r="D189" t="s">
        <v>78</v>
      </c>
      <c r="E189" t="s">
        <v>3637</v>
      </c>
      <c r="F189" t="s">
        <v>3615</v>
      </c>
      <c r="G189">
        <v>1321764.6299999999</v>
      </c>
    </row>
    <row r="190" spans="1:7">
      <c r="A190" t="s">
        <v>285</v>
      </c>
      <c r="B190" s="6">
        <v>45721</v>
      </c>
      <c r="C190" s="6" t="str">
        <f>TEXT(Table3[[#This Row],[transaction_date]], "yyyy-mm")</f>
        <v>2025-03</v>
      </c>
      <c r="D190" t="s">
        <v>78</v>
      </c>
      <c r="E190" t="s">
        <v>3637</v>
      </c>
      <c r="F190" t="s">
        <v>3614</v>
      </c>
      <c r="G190">
        <v>9385037.0700000003</v>
      </c>
    </row>
    <row r="191" spans="1:7">
      <c r="A191" t="s">
        <v>286</v>
      </c>
      <c r="B191" s="6">
        <v>45715</v>
      </c>
      <c r="C191" s="6" t="str">
        <f>TEXT(Table3[[#This Row],[transaction_date]], "yyyy-mm")</f>
        <v>2025-02</v>
      </c>
      <c r="D191" t="s">
        <v>73</v>
      </c>
      <c r="E191" t="s">
        <v>3637</v>
      </c>
      <c r="F191" t="s">
        <v>3618</v>
      </c>
      <c r="G191">
        <v>5918339.6600000001</v>
      </c>
    </row>
    <row r="192" spans="1:7">
      <c r="A192" t="s">
        <v>287</v>
      </c>
      <c r="B192" s="6">
        <v>46000</v>
      </c>
      <c r="C192" s="6" t="str">
        <f>TEXT(Table3[[#This Row],[transaction_date]], "yyyy-mm")</f>
        <v>2025-12</v>
      </c>
      <c r="D192" t="s">
        <v>80</v>
      </c>
      <c r="E192" t="s">
        <v>3637</v>
      </c>
      <c r="F192" t="s">
        <v>3618</v>
      </c>
      <c r="G192">
        <v>1000929.04</v>
      </c>
    </row>
    <row r="193" spans="1:7">
      <c r="A193" t="s">
        <v>288</v>
      </c>
      <c r="B193" s="6">
        <v>45998</v>
      </c>
      <c r="C193" s="6" t="str">
        <f>TEXT(Table3[[#This Row],[transaction_date]], "yyyy-mm")</f>
        <v>2025-12</v>
      </c>
      <c r="D193" t="s">
        <v>89</v>
      </c>
      <c r="E193" t="s">
        <v>3636</v>
      </c>
      <c r="F193" t="s">
        <v>3604</v>
      </c>
      <c r="G193">
        <v>1777763.03</v>
      </c>
    </row>
    <row r="194" spans="1:7">
      <c r="A194" t="s">
        <v>289</v>
      </c>
      <c r="B194" s="6">
        <v>45871</v>
      </c>
      <c r="C194" s="6" t="str">
        <f>TEXT(Table3[[#This Row],[transaction_date]], "yyyy-mm")</f>
        <v>2025-08</v>
      </c>
      <c r="D194" t="s">
        <v>85</v>
      </c>
      <c r="E194" t="s">
        <v>3636</v>
      </c>
      <c r="F194" t="s">
        <v>3607</v>
      </c>
      <c r="G194">
        <v>3717868.71</v>
      </c>
    </row>
    <row r="195" spans="1:7">
      <c r="A195" t="s">
        <v>290</v>
      </c>
      <c r="B195" s="6">
        <v>45871</v>
      </c>
      <c r="C195" s="6" t="str">
        <f>TEXT(Table3[[#This Row],[transaction_date]], "yyyy-mm")</f>
        <v>2025-08</v>
      </c>
      <c r="D195" t="s">
        <v>82</v>
      </c>
      <c r="E195" t="s">
        <v>3637</v>
      </c>
      <c r="F195" t="s">
        <v>3622</v>
      </c>
      <c r="G195">
        <v>3070946.97</v>
      </c>
    </row>
    <row r="196" spans="1:7">
      <c r="A196" t="s">
        <v>291</v>
      </c>
      <c r="B196" s="6">
        <v>45818</v>
      </c>
      <c r="C196" s="6" t="str">
        <f>TEXT(Table3[[#This Row],[transaction_date]], "yyyy-mm")</f>
        <v>2025-06</v>
      </c>
      <c r="D196" t="s">
        <v>74</v>
      </c>
      <c r="E196" t="s">
        <v>3637</v>
      </c>
      <c r="F196" t="s">
        <v>3616</v>
      </c>
      <c r="G196">
        <v>111214.55</v>
      </c>
    </row>
    <row r="197" spans="1:7">
      <c r="A197" t="s">
        <v>292</v>
      </c>
      <c r="B197" s="6">
        <v>45874</v>
      </c>
      <c r="C197" s="6" t="str">
        <f>TEXT(Table3[[#This Row],[transaction_date]], "yyyy-mm")</f>
        <v>2025-08</v>
      </c>
      <c r="D197" t="s">
        <v>89</v>
      </c>
      <c r="E197" t="s">
        <v>3636</v>
      </c>
      <c r="F197" t="s">
        <v>3610</v>
      </c>
      <c r="G197" s="1">
        <v>155023.89000000001</v>
      </c>
    </row>
    <row r="198" spans="1:7">
      <c r="A198" t="s">
        <v>293</v>
      </c>
      <c r="B198" s="6">
        <v>45882</v>
      </c>
      <c r="C198" s="6" t="str">
        <f>TEXT(Table3[[#This Row],[transaction_date]], "yyyy-mm")</f>
        <v>2025-08</v>
      </c>
      <c r="D198" t="s">
        <v>89</v>
      </c>
      <c r="E198" t="s">
        <v>3637</v>
      </c>
      <c r="F198" t="s">
        <v>3623</v>
      </c>
      <c r="G198" s="1">
        <v>326996.45</v>
      </c>
    </row>
    <row r="199" spans="1:7">
      <c r="A199" t="s">
        <v>294</v>
      </c>
      <c r="B199" s="6">
        <v>45785</v>
      </c>
      <c r="C199" s="6" t="str">
        <f>TEXT(Table3[[#This Row],[transaction_date]], "yyyy-mm")</f>
        <v>2025-05</v>
      </c>
      <c r="D199" t="s">
        <v>74</v>
      </c>
      <c r="E199" t="s">
        <v>3636</v>
      </c>
      <c r="F199" t="s">
        <v>3605</v>
      </c>
      <c r="G199" s="1">
        <v>339314.69</v>
      </c>
    </row>
    <row r="200" spans="1:7">
      <c r="A200" t="s">
        <v>295</v>
      </c>
      <c r="B200" s="6">
        <v>45720</v>
      </c>
      <c r="C200" s="6" t="str">
        <f>TEXT(Table3[[#This Row],[transaction_date]], "yyyy-mm")</f>
        <v>2025-03</v>
      </c>
      <c r="D200" t="s">
        <v>73</v>
      </c>
      <c r="E200" t="s">
        <v>3636</v>
      </c>
      <c r="F200" t="s">
        <v>3611</v>
      </c>
      <c r="G200" s="1">
        <v>8392961.6600000001</v>
      </c>
    </row>
    <row r="201" spans="1:7">
      <c r="A201" t="s">
        <v>296</v>
      </c>
      <c r="B201" s="6">
        <v>45942</v>
      </c>
      <c r="C201" s="6" t="str">
        <f>TEXT(Table3[[#This Row],[transaction_date]], "yyyy-mm")</f>
        <v>2025-10</v>
      </c>
      <c r="D201" t="s">
        <v>95</v>
      </c>
      <c r="E201" t="s">
        <v>3637</v>
      </c>
      <c r="F201" t="s">
        <v>3623</v>
      </c>
      <c r="G201" s="1">
        <v>11218278.09</v>
      </c>
    </row>
    <row r="202" spans="1:7">
      <c r="A202" t="s">
        <v>297</v>
      </c>
      <c r="B202" s="6">
        <v>45892</v>
      </c>
      <c r="C202" s="6" t="str">
        <f>TEXT(Table3[[#This Row],[transaction_date]], "yyyy-mm")</f>
        <v>2025-08</v>
      </c>
      <c r="D202" t="s">
        <v>74</v>
      </c>
      <c r="E202" t="s">
        <v>3636</v>
      </c>
      <c r="F202" t="s">
        <v>3605</v>
      </c>
      <c r="G202" s="1">
        <v>352377.89</v>
      </c>
    </row>
    <row r="203" spans="1:7">
      <c r="A203" t="s">
        <v>298</v>
      </c>
      <c r="B203" s="6">
        <v>45944</v>
      </c>
      <c r="C203" s="6" t="str">
        <f>TEXT(Table3[[#This Row],[transaction_date]], "yyyy-mm")</f>
        <v>2025-10</v>
      </c>
      <c r="D203" t="s">
        <v>73</v>
      </c>
      <c r="E203" t="s">
        <v>3636</v>
      </c>
      <c r="F203" t="s">
        <v>3605</v>
      </c>
      <c r="G203" s="1">
        <v>788510.95</v>
      </c>
    </row>
    <row r="204" spans="1:7">
      <c r="A204" t="s">
        <v>299</v>
      </c>
      <c r="B204" s="6">
        <v>45696</v>
      </c>
      <c r="C204" s="6" t="str">
        <f>TEXT(Table3[[#This Row],[transaction_date]], "yyyy-mm")</f>
        <v>2025-02</v>
      </c>
      <c r="D204" t="s">
        <v>77</v>
      </c>
      <c r="E204" t="s">
        <v>3636</v>
      </c>
      <c r="F204" t="s">
        <v>3609</v>
      </c>
      <c r="G204" s="1">
        <v>7147.01</v>
      </c>
    </row>
    <row r="205" spans="1:7">
      <c r="A205" t="s">
        <v>300</v>
      </c>
      <c r="B205" s="6">
        <v>45836</v>
      </c>
      <c r="C205" s="6" t="str">
        <f>TEXT(Table3[[#This Row],[transaction_date]], "yyyy-mm")</f>
        <v>2025-06</v>
      </c>
      <c r="D205" t="s">
        <v>89</v>
      </c>
      <c r="E205" t="s">
        <v>3636</v>
      </c>
      <c r="F205" t="s">
        <v>3613</v>
      </c>
      <c r="G205" s="1">
        <v>600987.81999999995</v>
      </c>
    </row>
    <row r="206" spans="1:7">
      <c r="A206" t="s">
        <v>301</v>
      </c>
      <c r="B206" s="6">
        <v>46015</v>
      </c>
      <c r="C206" s="6" t="str">
        <f>TEXT(Table3[[#This Row],[transaction_date]], "yyyy-mm")</f>
        <v>2025-12</v>
      </c>
      <c r="D206" t="s">
        <v>82</v>
      </c>
      <c r="E206" t="s">
        <v>3636</v>
      </c>
      <c r="F206" t="s">
        <v>3611</v>
      </c>
      <c r="G206" s="1">
        <v>10811307.960000001</v>
      </c>
    </row>
    <row r="207" spans="1:7">
      <c r="A207" t="s">
        <v>302</v>
      </c>
      <c r="B207" s="6">
        <v>46011</v>
      </c>
      <c r="C207" s="6" t="str">
        <f>TEXT(Table3[[#This Row],[transaction_date]], "yyyy-mm")</f>
        <v>2025-12</v>
      </c>
      <c r="D207" t="s">
        <v>73</v>
      </c>
      <c r="E207" t="s">
        <v>3637</v>
      </c>
      <c r="F207" t="s">
        <v>3620</v>
      </c>
      <c r="G207" s="1">
        <v>148276.67000000001</v>
      </c>
    </row>
    <row r="208" spans="1:7">
      <c r="A208" t="s">
        <v>303</v>
      </c>
      <c r="B208" s="6">
        <v>45938</v>
      </c>
      <c r="C208" s="6" t="str">
        <f>TEXT(Table3[[#This Row],[transaction_date]], "yyyy-mm")</f>
        <v>2025-10</v>
      </c>
      <c r="D208" t="s">
        <v>79</v>
      </c>
      <c r="E208" t="s">
        <v>3637</v>
      </c>
      <c r="F208" t="s">
        <v>3619</v>
      </c>
      <c r="G208" s="1">
        <v>1298248.72</v>
      </c>
    </row>
    <row r="209" spans="1:7">
      <c r="A209" t="s">
        <v>304</v>
      </c>
      <c r="B209" s="6">
        <v>45748</v>
      </c>
      <c r="C209" s="6" t="str">
        <f>TEXT(Table3[[#This Row],[transaction_date]], "yyyy-mm")</f>
        <v>2025-04</v>
      </c>
      <c r="D209" t="s">
        <v>75</v>
      </c>
      <c r="E209" t="s">
        <v>3637</v>
      </c>
      <c r="F209" t="s">
        <v>3615</v>
      </c>
      <c r="G209" s="1">
        <v>22194478.629999999</v>
      </c>
    </row>
    <row r="210" spans="1:7">
      <c r="A210" t="s">
        <v>305</v>
      </c>
      <c r="B210" s="6">
        <v>45750</v>
      </c>
      <c r="C210" s="6" t="str">
        <f>TEXT(Table3[[#This Row],[transaction_date]], "yyyy-mm")</f>
        <v>2025-04</v>
      </c>
      <c r="D210" t="s">
        <v>73</v>
      </c>
      <c r="E210" t="s">
        <v>3637</v>
      </c>
      <c r="F210" t="s">
        <v>3620</v>
      </c>
      <c r="G210" s="1">
        <v>613388.93999999994</v>
      </c>
    </row>
    <row r="211" spans="1:7">
      <c r="A211" t="s">
        <v>306</v>
      </c>
      <c r="B211" s="6">
        <v>45883</v>
      </c>
      <c r="C211" s="6" t="str">
        <f>TEXT(Table3[[#This Row],[transaction_date]], "yyyy-mm")</f>
        <v>2025-08</v>
      </c>
      <c r="D211" t="s">
        <v>89</v>
      </c>
      <c r="E211" t="s">
        <v>3637</v>
      </c>
      <c r="F211" t="s">
        <v>3616</v>
      </c>
      <c r="G211" s="1">
        <v>4095918.5</v>
      </c>
    </row>
    <row r="212" spans="1:7">
      <c r="A212" t="s">
        <v>307</v>
      </c>
      <c r="B212" s="6">
        <v>45915</v>
      </c>
      <c r="C212" s="6" t="str">
        <f>TEXT(Table3[[#This Row],[transaction_date]], "yyyy-mm")</f>
        <v>2025-09</v>
      </c>
      <c r="D212" t="s">
        <v>73</v>
      </c>
      <c r="E212" t="s">
        <v>3636</v>
      </c>
      <c r="F212" t="s">
        <v>3604</v>
      </c>
      <c r="G212" s="1">
        <v>764673.93</v>
      </c>
    </row>
    <row r="213" spans="1:7">
      <c r="A213" t="s">
        <v>308</v>
      </c>
      <c r="B213" s="6">
        <v>45870</v>
      </c>
      <c r="C213" s="6" t="str">
        <f>TEXT(Table3[[#This Row],[transaction_date]], "yyyy-mm")</f>
        <v>2025-08</v>
      </c>
      <c r="D213" t="s">
        <v>75</v>
      </c>
      <c r="E213" t="s">
        <v>3636</v>
      </c>
      <c r="F213" t="s">
        <v>3613</v>
      </c>
      <c r="G213" s="1">
        <v>23735143.440000001</v>
      </c>
    </row>
    <row r="214" spans="1:7">
      <c r="A214" t="s">
        <v>309</v>
      </c>
      <c r="B214" s="6">
        <v>45909</v>
      </c>
      <c r="C214" s="6" t="str">
        <f>TEXT(Table3[[#This Row],[transaction_date]], "yyyy-mm")</f>
        <v>2025-09</v>
      </c>
      <c r="D214" t="s">
        <v>93</v>
      </c>
      <c r="E214" t="s">
        <v>3637</v>
      </c>
      <c r="F214" t="s">
        <v>3616</v>
      </c>
      <c r="G214" s="1">
        <v>4952674.09</v>
      </c>
    </row>
    <row r="215" spans="1:7">
      <c r="A215" t="s">
        <v>310</v>
      </c>
      <c r="B215" s="6">
        <v>46018</v>
      </c>
      <c r="C215" s="6" t="str">
        <f>TEXT(Table3[[#This Row],[transaction_date]], "yyyy-mm")</f>
        <v>2025-12</v>
      </c>
      <c r="D215" t="s">
        <v>82</v>
      </c>
      <c r="E215" t="s">
        <v>3636</v>
      </c>
      <c r="F215" t="s">
        <v>3605</v>
      </c>
      <c r="G215" s="1">
        <v>948131.38</v>
      </c>
    </row>
    <row r="216" spans="1:7">
      <c r="A216" t="s">
        <v>311</v>
      </c>
      <c r="B216" s="6">
        <v>45859</v>
      </c>
      <c r="C216" s="6" t="str">
        <f>TEXT(Table3[[#This Row],[transaction_date]], "yyyy-mm")</f>
        <v>2025-07</v>
      </c>
      <c r="D216" t="s">
        <v>89</v>
      </c>
      <c r="E216" t="s">
        <v>3636</v>
      </c>
      <c r="F216" t="s">
        <v>3607</v>
      </c>
      <c r="G216" s="1">
        <v>125490.46</v>
      </c>
    </row>
    <row r="217" spans="1:7">
      <c r="A217" t="s">
        <v>312</v>
      </c>
      <c r="B217" s="6">
        <v>45806</v>
      </c>
      <c r="C217" s="6" t="str">
        <f>TEXT(Table3[[#This Row],[transaction_date]], "yyyy-mm")</f>
        <v>2025-05</v>
      </c>
      <c r="D217" t="s">
        <v>75</v>
      </c>
      <c r="E217" t="s">
        <v>3637</v>
      </c>
      <c r="F217" t="s">
        <v>3621</v>
      </c>
      <c r="G217" s="1">
        <v>13831210.439999999</v>
      </c>
    </row>
    <row r="218" spans="1:7">
      <c r="A218" t="s">
        <v>313</v>
      </c>
      <c r="B218" s="6">
        <v>45937</v>
      </c>
      <c r="C218" s="6" t="str">
        <f>TEXT(Table3[[#This Row],[transaction_date]], "yyyy-mm")</f>
        <v>2025-10</v>
      </c>
      <c r="D218" t="s">
        <v>84</v>
      </c>
      <c r="E218" t="s">
        <v>3636</v>
      </c>
      <c r="F218" t="s">
        <v>3608</v>
      </c>
      <c r="G218" s="1">
        <v>12185579.91</v>
      </c>
    </row>
    <row r="219" spans="1:7">
      <c r="A219" t="s">
        <v>314</v>
      </c>
      <c r="B219" s="6">
        <v>45698</v>
      </c>
      <c r="C219" s="6" t="str">
        <f>TEXT(Table3[[#This Row],[transaction_date]], "yyyy-mm")</f>
        <v>2025-02</v>
      </c>
      <c r="D219" t="s">
        <v>73</v>
      </c>
      <c r="E219" t="s">
        <v>3637</v>
      </c>
      <c r="F219" t="s">
        <v>3622</v>
      </c>
      <c r="G219" s="1">
        <v>3664961.91</v>
      </c>
    </row>
    <row r="220" spans="1:7">
      <c r="A220" t="s">
        <v>315</v>
      </c>
      <c r="B220" s="6">
        <v>45864</v>
      </c>
      <c r="C220" s="6" t="str">
        <f>TEXT(Table3[[#This Row],[transaction_date]], "yyyy-mm")</f>
        <v>2025-07</v>
      </c>
      <c r="D220" t="s">
        <v>79</v>
      </c>
      <c r="E220" t="s">
        <v>3636</v>
      </c>
      <c r="F220" t="s">
        <v>3605</v>
      </c>
      <c r="G220" s="1">
        <v>2947831.15</v>
      </c>
    </row>
    <row r="221" spans="1:7">
      <c r="A221" t="s">
        <v>316</v>
      </c>
      <c r="B221" s="6">
        <v>45838</v>
      </c>
      <c r="C221" s="6" t="str">
        <f>TEXT(Table3[[#This Row],[transaction_date]], "yyyy-mm")</f>
        <v>2025-06</v>
      </c>
      <c r="D221" t="s">
        <v>75</v>
      </c>
      <c r="E221" t="s">
        <v>3637</v>
      </c>
      <c r="F221" t="s">
        <v>3621</v>
      </c>
      <c r="G221" s="1">
        <v>12120697.48</v>
      </c>
    </row>
    <row r="222" spans="1:7">
      <c r="A222" t="s">
        <v>317</v>
      </c>
      <c r="B222" s="6">
        <v>45748</v>
      </c>
      <c r="C222" s="6" t="str">
        <f>TEXT(Table3[[#This Row],[transaction_date]], "yyyy-mm")</f>
        <v>2025-04</v>
      </c>
      <c r="D222" t="s">
        <v>73</v>
      </c>
      <c r="E222" t="s">
        <v>3637</v>
      </c>
      <c r="F222" t="s">
        <v>3621</v>
      </c>
      <c r="G222" s="1">
        <v>2269172.2999999998</v>
      </c>
    </row>
    <row r="223" spans="1:7">
      <c r="A223" t="s">
        <v>318</v>
      </c>
      <c r="B223" s="6">
        <v>45770</v>
      </c>
      <c r="C223" s="6" t="str">
        <f>TEXT(Table3[[#This Row],[transaction_date]], "yyyy-mm")</f>
        <v>2025-04</v>
      </c>
      <c r="D223" t="s">
        <v>80</v>
      </c>
      <c r="E223" t="s">
        <v>3636</v>
      </c>
      <c r="F223" t="s">
        <v>3610</v>
      </c>
      <c r="G223" s="1">
        <v>1081983.95</v>
      </c>
    </row>
    <row r="224" spans="1:7">
      <c r="A224" t="s">
        <v>319</v>
      </c>
      <c r="B224" s="6">
        <v>45980</v>
      </c>
      <c r="C224" s="6" t="str">
        <f>TEXT(Table3[[#This Row],[transaction_date]], "yyyy-mm")</f>
        <v>2025-11</v>
      </c>
      <c r="D224" t="s">
        <v>73</v>
      </c>
      <c r="E224" t="s">
        <v>3636</v>
      </c>
      <c r="F224" t="s">
        <v>3613</v>
      </c>
      <c r="G224" s="1">
        <v>1948596.65</v>
      </c>
    </row>
    <row r="225" spans="1:7">
      <c r="A225" t="s">
        <v>320</v>
      </c>
      <c r="B225" s="6">
        <v>45963</v>
      </c>
      <c r="C225" s="6" t="str">
        <f>TEXT(Table3[[#This Row],[transaction_date]], "yyyy-mm")</f>
        <v>2025-11</v>
      </c>
      <c r="D225" t="s">
        <v>90</v>
      </c>
      <c r="E225" t="s">
        <v>3636</v>
      </c>
      <c r="F225" t="s">
        <v>3612</v>
      </c>
      <c r="G225" s="1">
        <v>2025959.72</v>
      </c>
    </row>
    <row r="226" spans="1:7">
      <c r="A226" t="s">
        <v>321</v>
      </c>
      <c r="B226" s="6">
        <v>46007</v>
      </c>
      <c r="C226" s="6" t="str">
        <f>TEXT(Table3[[#This Row],[transaction_date]], "yyyy-mm")</f>
        <v>2025-12</v>
      </c>
      <c r="D226" t="s">
        <v>85</v>
      </c>
      <c r="E226" t="s">
        <v>3636</v>
      </c>
      <c r="F226" t="s">
        <v>3604</v>
      </c>
      <c r="G226" s="1">
        <v>3030278.73</v>
      </c>
    </row>
    <row r="227" spans="1:7">
      <c r="A227" t="s">
        <v>322</v>
      </c>
      <c r="B227" s="6">
        <v>45672</v>
      </c>
      <c r="C227" s="6" t="str">
        <f>TEXT(Table3[[#This Row],[transaction_date]], "yyyy-mm")</f>
        <v>2025-01</v>
      </c>
      <c r="D227" t="s">
        <v>73</v>
      </c>
      <c r="E227" t="s">
        <v>3637</v>
      </c>
      <c r="F227" t="s">
        <v>3621</v>
      </c>
      <c r="G227" s="1">
        <v>2249765.64</v>
      </c>
    </row>
    <row r="228" spans="1:7">
      <c r="A228" t="s">
        <v>323</v>
      </c>
      <c r="B228" s="6">
        <v>45745</v>
      </c>
      <c r="C228" s="6" t="str">
        <f>TEXT(Table3[[#This Row],[transaction_date]], "yyyy-mm")</f>
        <v>2025-03</v>
      </c>
      <c r="D228" t="s">
        <v>73</v>
      </c>
      <c r="E228" t="s">
        <v>3637</v>
      </c>
      <c r="F228" t="s">
        <v>3615</v>
      </c>
      <c r="G228" s="1">
        <v>70981.31</v>
      </c>
    </row>
    <row r="229" spans="1:7">
      <c r="A229" t="s">
        <v>324</v>
      </c>
      <c r="B229" s="6">
        <v>45662</v>
      </c>
      <c r="C229" s="6" t="str">
        <f>TEXT(Table3[[#This Row],[transaction_date]], "yyyy-mm")</f>
        <v>2025-01</v>
      </c>
      <c r="D229" t="s">
        <v>75</v>
      </c>
      <c r="E229" t="s">
        <v>3637</v>
      </c>
      <c r="F229" t="s">
        <v>3621</v>
      </c>
      <c r="G229" s="1">
        <v>2024025.06</v>
      </c>
    </row>
    <row r="230" spans="1:7">
      <c r="A230" t="s">
        <v>325</v>
      </c>
      <c r="B230" s="6">
        <v>45850</v>
      </c>
      <c r="C230" s="6" t="str">
        <f>TEXT(Table3[[#This Row],[transaction_date]], "yyyy-mm")</f>
        <v>2025-07</v>
      </c>
      <c r="D230" t="s">
        <v>74</v>
      </c>
      <c r="E230" t="s">
        <v>3637</v>
      </c>
      <c r="F230" t="s">
        <v>3621</v>
      </c>
      <c r="G230" s="1">
        <v>243233.74</v>
      </c>
    </row>
    <row r="231" spans="1:7">
      <c r="A231" t="s">
        <v>326</v>
      </c>
      <c r="B231" s="6">
        <v>45725</v>
      </c>
      <c r="C231" s="6" t="str">
        <f>TEXT(Table3[[#This Row],[transaction_date]], "yyyy-mm")</f>
        <v>2025-03</v>
      </c>
      <c r="D231" t="s">
        <v>85</v>
      </c>
      <c r="E231" t="s">
        <v>3637</v>
      </c>
      <c r="F231" t="s">
        <v>3623</v>
      </c>
      <c r="G231" s="1">
        <v>1039264.68</v>
      </c>
    </row>
    <row r="232" spans="1:7">
      <c r="A232" t="s">
        <v>327</v>
      </c>
      <c r="B232" s="6">
        <v>45717</v>
      </c>
      <c r="C232" s="6" t="str">
        <f>TEXT(Table3[[#This Row],[transaction_date]], "yyyy-mm")</f>
        <v>2025-03</v>
      </c>
      <c r="D232" t="s">
        <v>95</v>
      </c>
      <c r="E232" t="s">
        <v>3636</v>
      </c>
      <c r="F232" t="s">
        <v>3610</v>
      </c>
      <c r="G232" s="1">
        <v>537393.76</v>
      </c>
    </row>
    <row r="233" spans="1:7">
      <c r="A233" t="s">
        <v>328</v>
      </c>
      <c r="B233" s="6">
        <v>45768</v>
      </c>
      <c r="C233" s="6" t="str">
        <f>TEXT(Table3[[#This Row],[transaction_date]], "yyyy-mm")</f>
        <v>2025-04</v>
      </c>
      <c r="D233" t="s">
        <v>78</v>
      </c>
      <c r="E233" t="s">
        <v>3636</v>
      </c>
      <c r="F233" t="s">
        <v>3613</v>
      </c>
      <c r="G233" s="1">
        <v>6096513.6299999999</v>
      </c>
    </row>
    <row r="234" spans="1:7">
      <c r="A234" t="s">
        <v>329</v>
      </c>
      <c r="B234" s="6">
        <v>45960</v>
      </c>
      <c r="C234" s="6" t="str">
        <f>TEXT(Table3[[#This Row],[transaction_date]], "yyyy-mm")</f>
        <v>2025-10</v>
      </c>
      <c r="D234" t="s">
        <v>89</v>
      </c>
      <c r="E234" t="s">
        <v>3637</v>
      </c>
      <c r="F234" t="s">
        <v>3620</v>
      </c>
      <c r="G234" s="1">
        <v>29093.25</v>
      </c>
    </row>
    <row r="235" spans="1:7">
      <c r="A235" t="s">
        <v>330</v>
      </c>
      <c r="B235" s="6">
        <v>45685</v>
      </c>
      <c r="C235" s="6" t="str">
        <f>TEXT(Table3[[#This Row],[transaction_date]], "yyyy-mm")</f>
        <v>2025-01</v>
      </c>
      <c r="D235" t="s">
        <v>85</v>
      </c>
      <c r="E235" t="s">
        <v>3636</v>
      </c>
      <c r="F235" t="s">
        <v>3613</v>
      </c>
      <c r="G235" s="1">
        <v>1600276.65</v>
      </c>
    </row>
    <row r="236" spans="1:7">
      <c r="A236" t="s">
        <v>331</v>
      </c>
      <c r="B236" s="6">
        <v>45986</v>
      </c>
      <c r="C236" s="6" t="str">
        <f>TEXT(Table3[[#This Row],[transaction_date]], "yyyy-mm")</f>
        <v>2025-11</v>
      </c>
      <c r="D236" t="s">
        <v>80</v>
      </c>
      <c r="E236" t="s">
        <v>3636</v>
      </c>
      <c r="F236" t="s">
        <v>3605</v>
      </c>
      <c r="G236" s="1">
        <v>716592.74</v>
      </c>
    </row>
    <row r="237" spans="1:7">
      <c r="A237" t="s">
        <v>332</v>
      </c>
      <c r="B237" s="6">
        <v>45745</v>
      </c>
      <c r="C237" s="6" t="str">
        <f>TEXT(Table3[[#This Row],[transaction_date]], "yyyy-mm")</f>
        <v>2025-03</v>
      </c>
      <c r="D237" t="s">
        <v>89</v>
      </c>
      <c r="E237" t="s">
        <v>3636</v>
      </c>
      <c r="F237" t="s">
        <v>3609</v>
      </c>
      <c r="G237" s="1">
        <v>1725884.3</v>
      </c>
    </row>
    <row r="238" spans="1:7">
      <c r="A238" t="s">
        <v>333</v>
      </c>
      <c r="B238" s="6">
        <v>45822</v>
      </c>
      <c r="C238" s="6" t="str">
        <f>TEXT(Table3[[#This Row],[transaction_date]], "yyyy-mm")</f>
        <v>2025-06</v>
      </c>
      <c r="D238" t="s">
        <v>74</v>
      </c>
      <c r="E238" t="s">
        <v>3636</v>
      </c>
      <c r="F238" t="s">
        <v>3605</v>
      </c>
      <c r="G238" s="1">
        <v>352946.73</v>
      </c>
    </row>
    <row r="239" spans="1:7">
      <c r="A239" t="s">
        <v>334</v>
      </c>
      <c r="B239" s="6">
        <v>45947</v>
      </c>
      <c r="C239" s="6" t="str">
        <f>TEXT(Table3[[#This Row],[transaction_date]], "yyyy-mm")</f>
        <v>2025-10</v>
      </c>
      <c r="D239" t="s">
        <v>75</v>
      </c>
      <c r="E239" t="s">
        <v>3637</v>
      </c>
      <c r="F239" t="s">
        <v>3614</v>
      </c>
      <c r="G239" s="1">
        <v>20680448.550000001</v>
      </c>
    </row>
    <row r="240" spans="1:7">
      <c r="A240" t="s">
        <v>335</v>
      </c>
      <c r="B240" s="6">
        <v>45741</v>
      </c>
      <c r="C240" s="6" t="str">
        <f>TEXT(Table3[[#This Row],[transaction_date]], "yyyy-mm")</f>
        <v>2025-03</v>
      </c>
      <c r="D240" t="s">
        <v>77</v>
      </c>
      <c r="E240" t="s">
        <v>3636</v>
      </c>
      <c r="F240" t="s">
        <v>3606</v>
      </c>
      <c r="G240" s="1">
        <v>283908.99</v>
      </c>
    </row>
    <row r="241" spans="1:7">
      <c r="A241" t="s">
        <v>336</v>
      </c>
      <c r="B241" s="6">
        <v>45691</v>
      </c>
      <c r="C241" s="6" t="str">
        <f>TEXT(Table3[[#This Row],[transaction_date]], "yyyy-mm")</f>
        <v>2025-02</v>
      </c>
      <c r="D241" t="s">
        <v>78</v>
      </c>
      <c r="E241" t="s">
        <v>3637</v>
      </c>
      <c r="F241" t="s">
        <v>3614</v>
      </c>
      <c r="G241" s="1">
        <v>388513.29</v>
      </c>
    </row>
    <row r="242" spans="1:7">
      <c r="A242" t="s">
        <v>337</v>
      </c>
      <c r="B242" s="6">
        <v>45752</v>
      </c>
      <c r="C242" s="6" t="str">
        <f>TEXT(Table3[[#This Row],[transaction_date]], "yyyy-mm")</f>
        <v>2025-04</v>
      </c>
      <c r="D242" t="s">
        <v>90</v>
      </c>
      <c r="E242" t="s">
        <v>3636</v>
      </c>
      <c r="F242" t="s">
        <v>3612</v>
      </c>
      <c r="G242" s="1">
        <v>3251600.76</v>
      </c>
    </row>
    <row r="243" spans="1:7">
      <c r="A243" t="s">
        <v>338</v>
      </c>
      <c r="B243" s="6">
        <v>45723</v>
      </c>
      <c r="C243" s="6" t="str">
        <f>TEXT(Table3[[#This Row],[transaction_date]], "yyyy-mm")</f>
        <v>2025-03</v>
      </c>
      <c r="D243" t="s">
        <v>74</v>
      </c>
      <c r="E243" t="s">
        <v>3636</v>
      </c>
      <c r="F243" t="s">
        <v>3605</v>
      </c>
      <c r="G243" s="1">
        <v>277782.40000000002</v>
      </c>
    </row>
    <row r="244" spans="1:7">
      <c r="A244" t="s">
        <v>339</v>
      </c>
      <c r="B244" s="6">
        <v>45989</v>
      </c>
      <c r="C244" s="6" t="str">
        <f>TEXT(Table3[[#This Row],[transaction_date]], "yyyy-mm")</f>
        <v>2025-11</v>
      </c>
      <c r="D244" t="s">
        <v>82</v>
      </c>
      <c r="E244" t="s">
        <v>3636</v>
      </c>
      <c r="F244" t="s">
        <v>3606</v>
      </c>
      <c r="G244" s="1">
        <v>3263498.97</v>
      </c>
    </row>
    <row r="245" spans="1:7">
      <c r="A245" t="s">
        <v>340</v>
      </c>
      <c r="B245" s="6">
        <v>45989</v>
      </c>
      <c r="C245" s="6" t="str">
        <f>TEXT(Table3[[#This Row],[transaction_date]], "yyyy-mm")</f>
        <v>2025-11</v>
      </c>
      <c r="D245" t="s">
        <v>89</v>
      </c>
      <c r="E245" t="s">
        <v>3637</v>
      </c>
      <c r="F245" t="s">
        <v>3623</v>
      </c>
      <c r="G245" s="1">
        <v>777193.12</v>
      </c>
    </row>
    <row r="246" spans="1:7">
      <c r="A246" t="s">
        <v>341</v>
      </c>
      <c r="B246" s="6">
        <v>45669</v>
      </c>
      <c r="C246" s="6" t="str">
        <f>TEXT(Table3[[#This Row],[transaction_date]], "yyyy-mm")</f>
        <v>2025-01</v>
      </c>
      <c r="D246" t="s">
        <v>93</v>
      </c>
      <c r="E246" t="s">
        <v>3636</v>
      </c>
      <c r="F246" t="s">
        <v>3604</v>
      </c>
      <c r="G246" s="1">
        <v>3391468.53</v>
      </c>
    </row>
    <row r="247" spans="1:7">
      <c r="A247" t="s">
        <v>342</v>
      </c>
      <c r="B247" s="6">
        <v>46014</v>
      </c>
      <c r="C247" s="6" t="str">
        <f>TEXT(Table3[[#This Row],[transaction_date]], "yyyy-mm")</f>
        <v>2025-12</v>
      </c>
      <c r="D247" t="s">
        <v>74</v>
      </c>
      <c r="E247" t="s">
        <v>3636</v>
      </c>
      <c r="F247" t="s">
        <v>3605</v>
      </c>
      <c r="G247" s="1">
        <v>157768.65</v>
      </c>
    </row>
    <row r="248" spans="1:7">
      <c r="A248" t="s">
        <v>343</v>
      </c>
      <c r="B248" s="6">
        <v>45867</v>
      </c>
      <c r="C248" s="6" t="str">
        <f>TEXT(Table3[[#This Row],[transaction_date]], "yyyy-mm")</f>
        <v>2025-07</v>
      </c>
      <c r="D248" t="s">
        <v>74</v>
      </c>
      <c r="E248" t="s">
        <v>3637</v>
      </c>
      <c r="F248" t="s">
        <v>3616</v>
      </c>
      <c r="G248" s="1">
        <v>149251.07</v>
      </c>
    </row>
    <row r="249" spans="1:7">
      <c r="A249" t="s">
        <v>344</v>
      </c>
      <c r="B249" s="6">
        <v>45865</v>
      </c>
      <c r="C249" s="6" t="str">
        <f>TEXT(Table3[[#This Row],[transaction_date]], "yyyy-mm")</f>
        <v>2025-07</v>
      </c>
      <c r="D249" t="s">
        <v>84</v>
      </c>
      <c r="E249" t="s">
        <v>3637</v>
      </c>
      <c r="F249" t="s">
        <v>3622</v>
      </c>
      <c r="G249" s="1">
        <v>10793194.57</v>
      </c>
    </row>
    <row r="250" spans="1:7">
      <c r="A250" t="s">
        <v>345</v>
      </c>
      <c r="B250" s="6">
        <v>45926</v>
      </c>
      <c r="C250" s="6" t="str">
        <f>TEXT(Table3[[#This Row],[transaction_date]], "yyyy-mm")</f>
        <v>2025-09</v>
      </c>
      <c r="D250" t="s">
        <v>76</v>
      </c>
      <c r="E250" t="s">
        <v>3637</v>
      </c>
      <c r="F250" t="s">
        <v>3617</v>
      </c>
      <c r="G250" s="1">
        <v>2500249.9500000002</v>
      </c>
    </row>
    <row r="251" spans="1:7">
      <c r="A251" t="s">
        <v>346</v>
      </c>
      <c r="B251" s="6">
        <v>45878</v>
      </c>
      <c r="C251" s="6" t="str">
        <f>TEXT(Table3[[#This Row],[transaction_date]], "yyyy-mm")</f>
        <v>2025-08</v>
      </c>
      <c r="D251" t="s">
        <v>93</v>
      </c>
      <c r="E251" t="s">
        <v>3636</v>
      </c>
      <c r="F251" t="s">
        <v>3611</v>
      </c>
      <c r="G251" s="1">
        <v>2170233.16</v>
      </c>
    </row>
    <row r="252" spans="1:7">
      <c r="A252" t="s">
        <v>347</v>
      </c>
      <c r="B252" s="6">
        <v>45846</v>
      </c>
      <c r="C252" s="6" t="str">
        <f>TEXT(Table3[[#This Row],[transaction_date]], "yyyy-mm")</f>
        <v>2025-07</v>
      </c>
      <c r="D252" t="s">
        <v>95</v>
      </c>
      <c r="E252" t="s">
        <v>3636</v>
      </c>
      <c r="F252" t="s">
        <v>3613</v>
      </c>
      <c r="G252" s="1">
        <v>1377706.21</v>
      </c>
    </row>
    <row r="253" spans="1:7">
      <c r="A253" t="s">
        <v>348</v>
      </c>
      <c r="B253" s="6">
        <v>45955</v>
      </c>
      <c r="C253" s="6" t="str">
        <f>TEXT(Table3[[#This Row],[transaction_date]], "yyyy-mm")</f>
        <v>2025-10</v>
      </c>
      <c r="D253" t="s">
        <v>77</v>
      </c>
      <c r="E253" t="s">
        <v>3636</v>
      </c>
      <c r="F253" t="s">
        <v>3605</v>
      </c>
      <c r="G253" s="1">
        <v>3024781.61</v>
      </c>
    </row>
    <row r="254" spans="1:7">
      <c r="A254" t="s">
        <v>349</v>
      </c>
      <c r="B254" s="6">
        <v>46021</v>
      </c>
      <c r="C254" s="6" t="str">
        <f>TEXT(Table3[[#This Row],[transaction_date]], "yyyy-mm")</f>
        <v>2025-12</v>
      </c>
      <c r="D254" t="s">
        <v>93</v>
      </c>
      <c r="E254" t="s">
        <v>3636</v>
      </c>
      <c r="F254" t="s">
        <v>3608</v>
      </c>
      <c r="G254" s="1">
        <v>10579750.25</v>
      </c>
    </row>
    <row r="255" spans="1:7">
      <c r="A255" t="s">
        <v>350</v>
      </c>
      <c r="B255" s="6">
        <v>45675</v>
      </c>
      <c r="C255" s="6" t="str">
        <f>TEXT(Table3[[#This Row],[transaction_date]], "yyyy-mm")</f>
        <v>2025-01</v>
      </c>
      <c r="D255" t="s">
        <v>77</v>
      </c>
      <c r="E255" t="s">
        <v>3636</v>
      </c>
      <c r="F255" t="s">
        <v>3608</v>
      </c>
      <c r="G255" s="1">
        <v>10183869.279999999</v>
      </c>
    </row>
    <row r="256" spans="1:7">
      <c r="A256" t="s">
        <v>351</v>
      </c>
      <c r="B256" s="6">
        <v>45955</v>
      </c>
      <c r="C256" s="6" t="str">
        <f>TEXT(Table3[[#This Row],[transaction_date]], "yyyy-mm")</f>
        <v>2025-10</v>
      </c>
      <c r="D256" t="s">
        <v>3597</v>
      </c>
      <c r="E256" t="s">
        <v>3637</v>
      </c>
      <c r="F256" t="s">
        <v>3619</v>
      </c>
      <c r="G256" s="1">
        <v>3550444.23</v>
      </c>
    </row>
    <row r="257" spans="1:7">
      <c r="A257" t="s">
        <v>352</v>
      </c>
      <c r="B257" s="6">
        <v>45942</v>
      </c>
      <c r="C257" s="6" t="str">
        <f>TEXT(Table3[[#This Row],[transaction_date]], "yyyy-mm")</f>
        <v>2025-10</v>
      </c>
      <c r="D257" t="s">
        <v>73</v>
      </c>
      <c r="E257" t="s">
        <v>3637</v>
      </c>
      <c r="F257" t="s">
        <v>3619</v>
      </c>
      <c r="G257" s="1">
        <v>244291.88</v>
      </c>
    </row>
    <row r="258" spans="1:7">
      <c r="A258" t="s">
        <v>353</v>
      </c>
      <c r="B258" s="6">
        <v>45677</v>
      </c>
      <c r="C258" s="6" t="str">
        <f>TEXT(Table3[[#This Row],[transaction_date]], "yyyy-mm")</f>
        <v>2025-01</v>
      </c>
      <c r="D258" t="s">
        <v>73</v>
      </c>
      <c r="E258" t="s">
        <v>3637</v>
      </c>
      <c r="F258" t="s">
        <v>3618</v>
      </c>
      <c r="G258" s="1">
        <v>401793.08</v>
      </c>
    </row>
    <row r="259" spans="1:7">
      <c r="A259" t="s">
        <v>354</v>
      </c>
      <c r="B259" s="6">
        <v>45661</v>
      </c>
      <c r="C259" s="6" t="str">
        <f>TEXT(Table3[[#This Row],[transaction_date]], "yyyy-mm")</f>
        <v>2025-01</v>
      </c>
      <c r="D259" t="s">
        <v>89</v>
      </c>
      <c r="E259" t="s">
        <v>3637</v>
      </c>
      <c r="F259" t="s">
        <v>3618</v>
      </c>
      <c r="G259" s="1">
        <v>2827474.98</v>
      </c>
    </row>
    <row r="260" spans="1:7">
      <c r="A260" t="s">
        <v>355</v>
      </c>
      <c r="B260" s="6">
        <v>45913</v>
      </c>
      <c r="C260" s="6" t="str">
        <f>TEXT(Table3[[#This Row],[transaction_date]], "yyyy-mm")</f>
        <v>2025-09</v>
      </c>
      <c r="D260" t="s">
        <v>73</v>
      </c>
      <c r="E260" t="s">
        <v>3636</v>
      </c>
      <c r="F260" t="s">
        <v>3612</v>
      </c>
      <c r="G260" s="1">
        <v>2548140.4500000002</v>
      </c>
    </row>
    <row r="261" spans="1:7">
      <c r="A261" t="s">
        <v>356</v>
      </c>
      <c r="B261" s="6">
        <v>46002</v>
      </c>
      <c r="C261" s="6" t="str">
        <f>TEXT(Table3[[#This Row],[transaction_date]], "yyyy-mm")</f>
        <v>2025-12</v>
      </c>
      <c r="D261" t="s">
        <v>73</v>
      </c>
      <c r="E261" t="s">
        <v>3636</v>
      </c>
      <c r="F261" t="s">
        <v>3609</v>
      </c>
      <c r="G261" s="1">
        <v>86761.66</v>
      </c>
    </row>
    <row r="262" spans="1:7">
      <c r="A262" t="s">
        <v>357</v>
      </c>
      <c r="B262" s="6">
        <v>45803</v>
      </c>
      <c r="C262" s="6" t="str">
        <f>TEXT(Table3[[#This Row],[transaction_date]], "yyyy-mm")</f>
        <v>2025-05</v>
      </c>
      <c r="D262" t="s">
        <v>74</v>
      </c>
      <c r="E262" t="s">
        <v>3637</v>
      </c>
      <c r="F262" t="s">
        <v>3619</v>
      </c>
      <c r="G262" s="1">
        <v>101204.47</v>
      </c>
    </row>
    <row r="263" spans="1:7">
      <c r="A263" t="s">
        <v>358</v>
      </c>
      <c r="B263" s="6">
        <v>46014</v>
      </c>
      <c r="C263" s="6" t="str">
        <f>TEXT(Table3[[#This Row],[transaction_date]], "yyyy-mm")</f>
        <v>2025-12</v>
      </c>
      <c r="D263" t="s">
        <v>73</v>
      </c>
      <c r="E263" t="s">
        <v>3636</v>
      </c>
      <c r="F263" t="s">
        <v>3612</v>
      </c>
      <c r="G263" s="1">
        <v>386766.48</v>
      </c>
    </row>
    <row r="264" spans="1:7">
      <c r="A264" t="s">
        <v>359</v>
      </c>
      <c r="B264" s="6">
        <v>45973</v>
      </c>
      <c r="C264" s="6" t="str">
        <f>TEXT(Table3[[#This Row],[transaction_date]], "yyyy-mm")</f>
        <v>2025-11</v>
      </c>
      <c r="D264" t="s">
        <v>84</v>
      </c>
      <c r="E264" t="s">
        <v>3637</v>
      </c>
      <c r="F264" t="s">
        <v>3620</v>
      </c>
      <c r="G264" s="1">
        <v>16002619.51</v>
      </c>
    </row>
    <row r="265" spans="1:7">
      <c r="A265" t="s">
        <v>360</v>
      </c>
      <c r="B265" s="6">
        <v>45933</v>
      </c>
      <c r="C265" s="6" t="str">
        <f>TEXT(Table3[[#This Row],[transaction_date]], "yyyy-mm")</f>
        <v>2025-10</v>
      </c>
      <c r="D265" t="s">
        <v>95</v>
      </c>
      <c r="E265" t="s">
        <v>3637</v>
      </c>
      <c r="F265" t="s">
        <v>3616</v>
      </c>
      <c r="G265" s="1">
        <v>4705890.4400000004</v>
      </c>
    </row>
    <row r="266" spans="1:7">
      <c r="A266" t="s">
        <v>361</v>
      </c>
      <c r="B266" s="6">
        <v>45877</v>
      </c>
      <c r="C266" s="6" t="str">
        <f>TEXT(Table3[[#This Row],[transaction_date]], "yyyy-mm")</f>
        <v>2025-08</v>
      </c>
      <c r="D266" t="s">
        <v>76</v>
      </c>
      <c r="E266" t="s">
        <v>3636</v>
      </c>
      <c r="F266" t="s">
        <v>3608</v>
      </c>
      <c r="G266" s="1">
        <v>2345852.85</v>
      </c>
    </row>
    <row r="267" spans="1:7">
      <c r="A267" t="s">
        <v>362</v>
      </c>
      <c r="B267" s="6">
        <v>45972</v>
      </c>
      <c r="C267" s="6" t="str">
        <f>TEXT(Table3[[#This Row],[transaction_date]], "yyyy-mm")</f>
        <v>2025-11</v>
      </c>
      <c r="D267" t="s">
        <v>73</v>
      </c>
      <c r="E267" t="s">
        <v>3636</v>
      </c>
      <c r="F267" t="s">
        <v>3610</v>
      </c>
      <c r="G267" s="1">
        <v>5120229.5999999996</v>
      </c>
    </row>
    <row r="268" spans="1:7">
      <c r="A268" t="s">
        <v>363</v>
      </c>
      <c r="B268" s="6">
        <v>45765</v>
      </c>
      <c r="C268" s="6" t="str">
        <f>TEXT(Table3[[#This Row],[transaction_date]], "yyyy-mm")</f>
        <v>2025-04</v>
      </c>
      <c r="D268" t="s">
        <v>77</v>
      </c>
      <c r="E268" t="s">
        <v>3637</v>
      </c>
      <c r="F268" t="s">
        <v>3620</v>
      </c>
      <c r="G268" s="1">
        <v>2242688.2999999998</v>
      </c>
    </row>
    <row r="269" spans="1:7">
      <c r="A269" t="s">
        <v>364</v>
      </c>
      <c r="B269" s="6">
        <v>45701</v>
      </c>
      <c r="C269" s="6" t="str">
        <f>TEXT(Table3[[#This Row],[transaction_date]], "yyyy-mm")</f>
        <v>2025-02</v>
      </c>
      <c r="D269" t="s">
        <v>90</v>
      </c>
      <c r="E269" t="s">
        <v>3637</v>
      </c>
      <c r="F269" t="s">
        <v>3615</v>
      </c>
      <c r="G269" s="1">
        <v>663515.36</v>
      </c>
    </row>
    <row r="270" spans="1:7">
      <c r="A270" t="s">
        <v>365</v>
      </c>
      <c r="B270" s="6">
        <v>45990</v>
      </c>
      <c r="C270" s="6" t="str">
        <f>TEXT(Table3[[#This Row],[transaction_date]], "yyyy-mm")</f>
        <v>2025-11</v>
      </c>
      <c r="D270" t="s">
        <v>75</v>
      </c>
      <c r="E270" t="s">
        <v>3637</v>
      </c>
      <c r="F270" t="s">
        <v>3615</v>
      </c>
      <c r="G270" s="1">
        <v>17852498.809999999</v>
      </c>
    </row>
    <row r="271" spans="1:7">
      <c r="A271" t="s">
        <v>366</v>
      </c>
      <c r="B271" s="6">
        <v>45920</v>
      </c>
      <c r="C271" s="6" t="str">
        <f>TEXT(Table3[[#This Row],[transaction_date]], "yyyy-mm")</f>
        <v>2025-09</v>
      </c>
      <c r="D271" t="s">
        <v>93</v>
      </c>
      <c r="E271" t="s">
        <v>3636</v>
      </c>
      <c r="F271" t="s">
        <v>3610</v>
      </c>
      <c r="G271" s="1">
        <v>1552540</v>
      </c>
    </row>
    <row r="272" spans="1:7">
      <c r="A272" t="s">
        <v>367</v>
      </c>
      <c r="B272" s="6">
        <v>45930</v>
      </c>
      <c r="C272" s="6" t="str">
        <f>TEXT(Table3[[#This Row],[transaction_date]], "yyyy-mm")</f>
        <v>2025-09</v>
      </c>
      <c r="D272" t="s">
        <v>84</v>
      </c>
      <c r="E272" t="s">
        <v>3637</v>
      </c>
      <c r="F272" t="s">
        <v>3616</v>
      </c>
      <c r="G272" s="1">
        <v>3324691.28</v>
      </c>
    </row>
    <row r="273" spans="1:7">
      <c r="A273" t="s">
        <v>368</v>
      </c>
      <c r="B273" s="6">
        <v>45672</v>
      </c>
      <c r="C273" s="6" t="str">
        <f>TEXT(Table3[[#This Row],[transaction_date]], "yyyy-mm")</f>
        <v>2025-01</v>
      </c>
      <c r="D273" t="s">
        <v>79</v>
      </c>
      <c r="E273" t="s">
        <v>3637</v>
      </c>
      <c r="F273" t="s">
        <v>3617</v>
      </c>
      <c r="G273" s="1">
        <v>2787935.4</v>
      </c>
    </row>
    <row r="274" spans="1:7">
      <c r="A274" t="s">
        <v>369</v>
      </c>
      <c r="B274" s="6">
        <v>45813</v>
      </c>
      <c r="C274" s="6" t="str">
        <f>TEXT(Table3[[#This Row],[transaction_date]], "yyyy-mm")</f>
        <v>2025-06</v>
      </c>
      <c r="D274" t="s">
        <v>84</v>
      </c>
      <c r="E274" t="s">
        <v>3636</v>
      </c>
      <c r="F274" t="s">
        <v>3608</v>
      </c>
      <c r="G274" s="1">
        <v>428971.17</v>
      </c>
    </row>
    <row r="275" spans="1:7">
      <c r="A275" t="s">
        <v>370</v>
      </c>
      <c r="B275" s="6">
        <v>46008</v>
      </c>
      <c r="C275" s="6" t="str">
        <f>TEXT(Table3[[#This Row],[transaction_date]], "yyyy-mm")</f>
        <v>2025-12</v>
      </c>
      <c r="D275" t="s">
        <v>75</v>
      </c>
      <c r="E275" t="s">
        <v>3636</v>
      </c>
      <c r="F275" t="s">
        <v>3606</v>
      </c>
      <c r="G275" s="1">
        <v>1705139.51</v>
      </c>
    </row>
    <row r="276" spans="1:7">
      <c r="A276" t="s">
        <v>371</v>
      </c>
      <c r="B276" s="6">
        <v>45666</v>
      </c>
      <c r="C276" s="6" t="str">
        <f>TEXT(Table3[[#This Row],[transaction_date]], "yyyy-mm")</f>
        <v>2025-01</v>
      </c>
      <c r="D276" t="s">
        <v>75</v>
      </c>
      <c r="E276" t="s">
        <v>3637</v>
      </c>
      <c r="F276" t="s">
        <v>3617</v>
      </c>
      <c r="G276" s="1">
        <v>10737336.359999999</v>
      </c>
    </row>
    <row r="277" spans="1:7">
      <c r="A277" t="s">
        <v>372</v>
      </c>
      <c r="B277" s="6">
        <v>45876</v>
      </c>
      <c r="C277" s="6" t="str">
        <f>TEXT(Table3[[#This Row],[transaction_date]], "yyyy-mm")</f>
        <v>2025-08</v>
      </c>
      <c r="D277" t="s">
        <v>78</v>
      </c>
      <c r="E277" t="s">
        <v>3636</v>
      </c>
      <c r="F277" t="s">
        <v>3604</v>
      </c>
      <c r="G277" s="1">
        <v>893530.16</v>
      </c>
    </row>
    <row r="278" spans="1:7">
      <c r="A278" t="s">
        <v>373</v>
      </c>
      <c r="B278" s="6">
        <v>45934</v>
      </c>
      <c r="C278" s="6" t="str">
        <f>TEXT(Table3[[#This Row],[transaction_date]], "yyyy-mm")</f>
        <v>2025-10</v>
      </c>
      <c r="D278" t="s">
        <v>93</v>
      </c>
      <c r="E278" t="s">
        <v>3636</v>
      </c>
      <c r="F278" t="s">
        <v>3610</v>
      </c>
      <c r="G278" s="1">
        <v>757894.49</v>
      </c>
    </row>
    <row r="279" spans="1:7">
      <c r="A279" t="s">
        <v>374</v>
      </c>
      <c r="B279" s="6">
        <v>45989</v>
      </c>
      <c r="C279" s="6" t="str">
        <f>TEXT(Table3[[#This Row],[transaction_date]], "yyyy-mm")</f>
        <v>2025-11</v>
      </c>
      <c r="D279" t="s">
        <v>79</v>
      </c>
      <c r="E279" t="s">
        <v>3637</v>
      </c>
      <c r="F279" t="s">
        <v>3623</v>
      </c>
      <c r="G279" s="1">
        <v>3390815.09</v>
      </c>
    </row>
    <row r="280" spans="1:7">
      <c r="A280" t="s">
        <v>375</v>
      </c>
      <c r="B280" s="6">
        <v>45946</v>
      </c>
      <c r="C280" s="6" t="str">
        <f>TEXT(Table3[[#This Row],[transaction_date]], "yyyy-mm")</f>
        <v>2025-10</v>
      </c>
      <c r="D280" t="s">
        <v>95</v>
      </c>
      <c r="E280" t="s">
        <v>3636</v>
      </c>
      <c r="F280" t="s">
        <v>3604</v>
      </c>
      <c r="G280" s="1">
        <v>41315.71</v>
      </c>
    </row>
    <row r="281" spans="1:7">
      <c r="A281" t="s">
        <v>376</v>
      </c>
      <c r="B281" s="6">
        <v>45664</v>
      </c>
      <c r="C281" s="6" t="str">
        <f>TEXT(Table3[[#This Row],[transaction_date]], "yyyy-mm")</f>
        <v>2025-01</v>
      </c>
      <c r="D281" t="s">
        <v>78</v>
      </c>
      <c r="E281" t="s">
        <v>3637</v>
      </c>
      <c r="F281" t="s">
        <v>3620</v>
      </c>
      <c r="G281" s="1">
        <v>730496.37</v>
      </c>
    </row>
    <row r="282" spans="1:7">
      <c r="A282" t="s">
        <v>377</v>
      </c>
      <c r="B282" s="6">
        <v>45754</v>
      </c>
      <c r="C282" s="6" t="str">
        <f>TEXT(Table3[[#This Row],[transaction_date]], "yyyy-mm")</f>
        <v>2025-04</v>
      </c>
      <c r="D282" t="s">
        <v>82</v>
      </c>
      <c r="E282" t="s">
        <v>3637</v>
      </c>
      <c r="F282" t="s">
        <v>3623</v>
      </c>
      <c r="G282" s="1">
        <v>2729371.21</v>
      </c>
    </row>
    <row r="283" spans="1:7">
      <c r="A283" t="s">
        <v>378</v>
      </c>
      <c r="B283" s="6">
        <v>45889</v>
      </c>
      <c r="C283" s="6" t="str">
        <f>TEXT(Table3[[#This Row],[transaction_date]], "yyyy-mm")</f>
        <v>2025-08</v>
      </c>
      <c r="D283" t="s">
        <v>84</v>
      </c>
      <c r="E283" t="s">
        <v>3637</v>
      </c>
      <c r="F283" t="s">
        <v>3620</v>
      </c>
      <c r="G283" s="1">
        <v>5138982.7</v>
      </c>
    </row>
    <row r="284" spans="1:7">
      <c r="A284" t="s">
        <v>379</v>
      </c>
      <c r="B284" s="6">
        <v>45716</v>
      </c>
      <c r="C284" s="6" t="str">
        <f>TEXT(Table3[[#This Row],[transaction_date]], "yyyy-mm")</f>
        <v>2025-02</v>
      </c>
      <c r="D284" t="s">
        <v>95</v>
      </c>
      <c r="E284" t="s">
        <v>3636</v>
      </c>
      <c r="F284" t="s">
        <v>3608</v>
      </c>
      <c r="G284" s="1">
        <v>8533537.3699999992</v>
      </c>
    </row>
    <row r="285" spans="1:7">
      <c r="A285" t="s">
        <v>380</v>
      </c>
      <c r="B285" s="6">
        <v>45949</v>
      </c>
      <c r="C285" s="6" t="str">
        <f>TEXT(Table3[[#This Row],[transaction_date]], "yyyy-mm")</f>
        <v>2025-10</v>
      </c>
      <c r="D285" t="s">
        <v>74</v>
      </c>
      <c r="E285" t="s">
        <v>3637</v>
      </c>
      <c r="F285" t="s">
        <v>3619</v>
      </c>
      <c r="G285" s="1">
        <v>139186.47</v>
      </c>
    </row>
    <row r="286" spans="1:7">
      <c r="A286" t="s">
        <v>381</v>
      </c>
      <c r="B286" s="6">
        <v>45889</v>
      </c>
      <c r="C286" s="6" t="str">
        <f>TEXT(Table3[[#This Row],[transaction_date]], "yyyy-mm")</f>
        <v>2025-08</v>
      </c>
      <c r="D286" t="s">
        <v>93</v>
      </c>
      <c r="E286" t="s">
        <v>3636</v>
      </c>
      <c r="F286" t="s">
        <v>3607</v>
      </c>
      <c r="G286" s="1">
        <v>6047155.8600000003</v>
      </c>
    </row>
    <row r="287" spans="1:7">
      <c r="A287" t="s">
        <v>382</v>
      </c>
      <c r="B287" s="6">
        <v>45896</v>
      </c>
      <c r="C287" s="6" t="str">
        <f>TEXT(Table3[[#This Row],[transaction_date]], "yyyy-mm")</f>
        <v>2025-08</v>
      </c>
      <c r="D287" t="s">
        <v>93</v>
      </c>
      <c r="E287" t="s">
        <v>3636</v>
      </c>
      <c r="F287" t="s">
        <v>3608</v>
      </c>
      <c r="G287" s="1">
        <v>2890620.02</v>
      </c>
    </row>
    <row r="288" spans="1:7">
      <c r="A288" t="s">
        <v>383</v>
      </c>
      <c r="B288" s="6">
        <v>45782</v>
      </c>
      <c r="C288" s="6" t="str">
        <f>TEXT(Table3[[#This Row],[transaction_date]], "yyyy-mm")</f>
        <v>2025-05</v>
      </c>
      <c r="D288" t="s">
        <v>3597</v>
      </c>
      <c r="E288" t="s">
        <v>3637</v>
      </c>
      <c r="F288" t="s">
        <v>3614</v>
      </c>
      <c r="G288" s="1">
        <v>6733319.3799999999</v>
      </c>
    </row>
    <row r="289" spans="1:7">
      <c r="A289" t="s">
        <v>384</v>
      </c>
      <c r="B289" s="6">
        <v>46019</v>
      </c>
      <c r="C289" s="6" t="str">
        <f>TEXT(Table3[[#This Row],[transaction_date]], "yyyy-mm")</f>
        <v>2025-12</v>
      </c>
      <c r="D289" t="s">
        <v>73</v>
      </c>
      <c r="E289" t="s">
        <v>3637</v>
      </c>
      <c r="F289" t="s">
        <v>3617</v>
      </c>
      <c r="G289" s="1">
        <v>256521.11</v>
      </c>
    </row>
    <row r="290" spans="1:7">
      <c r="A290" t="s">
        <v>385</v>
      </c>
      <c r="B290" s="6">
        <v>45776</v>
      </c>
      <c r="C290" s="6" t="str">
        <f>TEXT(Table3[[#This Row],[transaction_date]], "yyyy-mm")</f>
        <v>2025-04</v>
      </c>
      <c r="D290" t="s">
        <v>73</v>
      </c>
      <c r="E290" t="s">
        <v>3636</v>
      </c>
      <c r="F290" t="s">
        <v>3610</v>
      </c>
      <c r="G290" s="1">
        <v>326323.7</v>
      </c>
    </row>
    <row r="291" spans="1:7">
      <c r="A291" t="s">
        <v>386</v>
      </c>
      <c r="B291" s="6">
        <v>46006</v>
      </c>
      <c r="C291" s="6" t="str">
        <f>TEXT(Table3[[#This Row],[transaction_date]], "yyyy-mm")</f>
        <v>2025-12</v>
      </c>
      <c r="D291" t="s">
        <v>73</v>
      </c>
      <c r="E291" t="s">
        <v>3636</v>
      </c>
      <c r="F291" t="s">
        <v>3609</v>
      </c>
      <c r="G291" s="1">
        <v>562997.99</v>
      </c>
    </row>
    <row r="292" spans="1:7">
      <c r="A292" t="s">
        <v>387</v>
      </c>
      <c r="B292" s="6">
        <v>45941</v>
      </c>
      <c r="C292" s="6" t="str">
        <f>TEXT(Table3[[#This Row],[transaction_date]], "yyyy-mm")</f>
        <v>2025-10</v>
      </c>
      <c r="D292" t="s">
        <v>76</v>
      </c>
      <c r="E292" t="s">
        <v>3637</v>
      </c>
      <c r="F292" t="s">
        <v>3621</v>
      </c>
      <c r="G292" s="1">
        <v>3084896.05</v>
      </c>
    </row>
    <row r="293" spans="1:7">
      <c r="A293" t="s">
        <v>388</v>
      </c>
      <c r="B293" s="6">
        <v>45828</v>
      </c>
      <c r="C293" s="6" t="str">
        <f>TEXT(Table3[[#This Row],[transaction_date]], "yyyy-mm")</f>
        <v>2025-06</v>
      </c>
      <c r="D293" t="s">
        <v>76</v>
      </c>
      <c r="E293" t="s">
        <v>3637</v>
      </c>
      <c r="F293" t="s">
        <v>3615</v>
      </c>
      <c r="G293" s="1">
        <v>15570873.939999999</v>
      </c>
    </row>
    <row r="294" spans="1:7">
      <c r="A294" t="s">
        <v>389</v>
      </c>
      <c r="B294" s="6">
        <v>46014</v>
      </c>
      <c r="C294" s="6" t="str">
        <f>TEXT(Table3[[#This Row],[transaction_date]], "yyyy-mm")</f>
        <v>2025-12</v>
      </c>
      <c r="D294" t="s">
        <v>80</v>
      </c>
      <c r="E294" t="s">
        <v>3637</v>
      </c>
      <c r="F294" t="s">
        <v>3614</v>
      </c>
      <c r="G294" s="1">
        <v>370029.79</v>
      </c>
    </row>
    <row r="295" spans="1:7">
      <c r="A295" t="s">
        <v>390</v>
      </c>
      <c r="B295" s="6">
        <v>45998</v>
      </c>
      <c r="C295" s="6" t="str">
        <f>TEXT(Table3[[#This Row],[transaction_date]], "yyyy-mm")</f>
        <v>2025-12</v>
      </c>
      <c r="D295" t="s">
        <v>74</v>
      </c>
      <c r="E295" t="s">
        <v>3636</v>
      </c>
      <c r="F295" t="s">
        <v>3607</v>
      </c>
      <c r="G295" s="1">
        <v>207217.87</v>
      </c>
    </row>
    <row r="296" spans="1:7">
      <c r="A296" t="s">
        <v>391</v>
      </c>
      <c r="B296" s="6">
        <v>45896</v>
      </c>
      <c r="C296" s="6" t="str">
        <f>TEXT(Table3[[#This Row],[transaction_date]], "yyyy-mm")</f>
        <v>2025-08</v>
      </c>
      <c r="D296" t="s">
        <v>79</v>
      </c>
      <c r="E296" t="s">
        <v>3636</v>
      </c>
      <c r="F296" t="s">
        <v>3607</v>
      </c>
      <c r="G296" s="1">
        <v>4556880.47</v>
      </c>
    </row>
    <row r="297" spans="1:7">
      <c r="A297" t="s">
        <v>392</v>
      </c>
      <c r="B297" s="6">
        <v>45998</v>
      </c>
      <c r="C297" s="6" t="str">
        <f>TEXT(Table3[[#This Row],[transaction_date]], "yyyy-mm")</f>
        <v>2025-12</v>
      </c>
      <c r="D297" t="s">
        <v>80</v>
      </c>
      <c r="E297" t="s">
        <v>3637</v>
      </c>
      <c r="F297" t="s">
        <v>3618</v>
      </c>
      <c r="G297" s="1">
        <v>1498380.71</v>
      </c>
    </row>
    <row r="298" spans="1:7">
      <c r="A298" t="s">
        <v>393</v>
      </c>
      <c r="B298" s="6">
        <v>45894</v>
      </c>
      <c r="C298" s="6" t="str">
        <f>TEXT(Table3[[#This Row],[transaction_date]], "yyyy-mm")</f>
        <v>2025-08</v>
      </c>
      <c r="D298" t="s">
        <v>73</v>
      </c>
      <c r="E298" t="s">
        <v>3637</v>
      </c>
      <c r="F298" t="s">
        <v>3619</v>
      </c>
      <c r="G298" s="1">
        <v>2208352.2000000002</v>
      </c>
    </row>
    <row r="299" spans="1:7">
      <c r="A299" t="s">
        <v>394</v>
      </c>
      <c r="B299" s="6">
        <v>45824</v>
      </c>
      <c r="C299" s="6" t="str">
        <f>TEXT(Table3[[#This Row],[transaction_date]], "yyyy-mm")</f>
        <v>2025-06</v>
      </c>
      <c r="D299" t="s">
        <v>73</v>
      </c>
      <c r="E299" t="s">
        <v>3636</v>
      </c>
      <c r="F299" t="s">
        <v>3605</v>
      </c>
      <c r="G299" s="1">
        <v>1631030.76</v>
      </c>
    </row>
    <row r="300" spans="1:7">
      <c r="A300" t="s">
        <v>395</v>
      </c>
      <c r="B300" s="6">
        <v>45743</v>
      </c>
      <c r="C300" s="6" t="str">
        <f>TEXT(Table3[[#This Row],[transaction_date]], "yyyy-mm")</f>
        <v>2025-03</v>
      </c>
      <c r="D300" t="s">
        <v>75</v>
      </c>
      <c r="E300" t="s">
        <v>3636</v>
      </c>
      <c r="F300" t="s">
        <v>3609</v>
      </c>
      <c r="G300" s="1">
        <v>5749755.9100000001</v>
      </c>
    </row>
    <row r="301" spans="1:7">
      <c r="A301" t="s">
        <v>396</v>
      </c>
      <c r="B301" s="6">
        <v>45926</v>
      </c>
      <c r="C301" s="6" t="str">
        <f>TEXT(Table3[[#This Row],[transaction_date]], "yyyy-mm")</f>
        <v>2025-09</v>
      </c>
      <c r="D301" t="s">
        <v>84</v>
      </c>
      <c r="E301" t="s">
        <v>3636</v>
      </c>
      <c r="F301" t="s">
        <v>3604</v>
      </c>
      <c r="G301" s="1">
        <v>12217823.890000001</v>
      </c>
    </row>
    <row r="302" spans="1:7">
      <c r="A302" t="s">
        <v>397</v>
      </c>
      <c r="B302" s="6">
        <v>45701</v>
      </c>
      <c r="C302" s="6" t="str">
        <f>TEXT(Table3[[#This Row],[transaction_date]], "yyyy-mm")</f>
        <v>2025-02</v>
      </c>
      <c r="D302" t="s">
        <v>89</v>
      </c>
      <c r="E302" t="s">
        <v>3636</v>
      </c>
      <c r="F302" t="s">
        <v>3607</v>
      </c>
      <c r="G302" s="1">
        <v>29001.32</v>
      </c>
    </row>
    <row r="303" spans="1:7">
      <c r="A303" t="s">
        <v>398</v>
      </c>
      <c r="B303" s="6">
        <v>46005</v>
      </c>
      <c r="C303" s="6" t="str">
        <f>TEXT(Table3[[#This Row],[transaction_date]], "yyyy-mm")</f>
        <v>2025-12</v>
      </c>
      <c r="D303" t="s">
        <v>73</v>
      </c>
      <c r="E303" t="s">
        <v>3637</v>
      </c>
      <c r="F303" t="s">
        <v>3617</v>
      </c>
      <c r="G303" s="1">
        <v>1629381.88</v>
      </c>
    </row>
    <row r="304" spans="1:7">
      <c r="A304" t="s">
        <v>399</v>
      </c>
      <c r="B304" s="6">
        <v>46012</v>
      </c>
      <c r="C304" s="6" t="str">
        <f>TEXT(Table3[[#This Row],[transaction_date]], "yyyy-mm")</f>
        <v>2025-12</v>
      </c>
      <c r="D304" t="s">
        <v>79</v>
      </c>
      <c r="E304" t="s">
        <v>3637</v>
      </c>
      <c r="F304" t="s">
        <v>3619</v>
      </c>
      <c r="G304" s="1">
        <v>647286.86</v>
      </c>
    </row>
    <row r="305" spans="1:7">
      <c r="A305" t="s">
        <v>400</v>
      </c>
      <c r="B305" s="6">
        <v>46004</v>
      </c>
      <c r="C305" s="6" t="str">
        <f>TEXT(Table3[[#This Row],[transaction_date]], "yyyy-mm")</f>
        <v>2025-12</v>
      </c>
      <c r="D305" t="s">
        <v>82</v>
      </c>
      <c r="E305" t="s">
        <v>3637</v>
      </c>
      <c r="F305" t="s">
        <v>3623</v>
      </c>
      <c r="G305" s="1">
        <v>14921442.76</v>
      </c>
    </row>
    <row r="306" spans="1:7">
      <c r="A306" t="s">
        <v>401</v>
      </c>
      <c r="B306" s="6">
        <v>45827</v>
      </c>
      <c r="C306" s="6" t="str">
        <f>TEXT(Table3[[#This Row],[transaction_date]], "yyyy-mm")</f>
        <v>2025-06</v>
      </c>
      <c r="D306" t="s">
        <v>89</v>
      </c>
      <c r="E306" t="s">
        <v>3636</v>
      </c>
      <c r="F306" t="s">
        <v>3612</v>
      </c>
      <c r="G306" s="1">
        <v>2889850.05</v>
      </c>
    </row>
    <row r="307" spans="1:7">
      <c r="A307" t="s">
        <v>402</v>
      </c>
      <c r="B307" s="6">
        <v>45948</v>
      </c>
      <c r="C307" s="6" t="str">
        <f>TEXT(Table3[[#This Row],[transaction_date]], "yyyy-mm")</f>
        <v>2025-10</v>
      </c>
      <c r="D307" t="s">
        <v>84</v>
      </c>
      <c r="E307" t="s">
        <v>3637</v>
      </c>
      <c r="F307" t="s">
        <v>3622</v>
      </c>
      <c r="G307" s="1">
        <v>2961292.14</v>
      </c>
    </row>
    <row r="308" spans="1:7">
      <c r="A308" t="s">
        <v>403</v>
      </c>
      <c r="B308" s="6">
        <v>45783</v>
      </c>
      <c r="C308" s="6" t="str">
        <f>TEXT(Table3[[#This Row],[transaction_date]], "yyyy-mm")</f>
        <v>2025-05</v>
      </c>
      <c r="D308" t="s">
        <v>76</v>
      </c>
      <c r="E308" t="s">
        <v>3637</v>
      </c>
      <c r="F308" t="s">
        <v>3622</v>
      </c>
      <c r="G308" s="1">
        <v>8953406.7300000004</v>
      </c>
    </row>
    <row r="309" spans="1:7">
      <c r="A309" t="s">
        <v>404</v>
      </c>
      <c r="B309" s="6">
        <v>45887</v>
      </c>
      <c r="C309" s="6" t="str">
        <f>TEXT(Table3[[#This Row],[transaction_date]], "yyyy-mm")</f>
        <v>2025-08</v>
      </c>
      <c r="D309" t="s">
        <v>85</v>
      </c>
      <c r="E309" t="s">
        <v>3636</v>
      </c>
      <c r="F309" t="s">
        <v>3611</v>
      </c>
      <c r="G309" s="1">
        <v>731556.33</v>
      </c>
    </row>
    <row r="310" spans="1:7">
      <c r="A310" t="s">
        <v>405</v>
      </c>
      <c r="B310" s="6">
        <v>45679</v>
      </c>
      <c r="C310" s="6" t="str">
        <f>TEXT(Table3[[#This Row],[transaction_date]], "yyyy-mm")</f>
        <v>2025-01</v>
      </c>
      <c r="D310" t="s">
        <v>78</v>
      </c>
      <c r="E310" t="s">
        <v>3636</v>
      </c>
      <c r="F310" t="s">
        <v>3610</v>
      </c>
      <c r="G310" s="1">
        <v>1931378.7</v>
      </c>
    </row>
    <row r="311" spans="1:7">
      <c r="A311" t="s">
        <v>406</v>
      </c>
      <c r="B311" s="6">
        <v>45968</v>
      </c>
      <c r="C311" s="6" t="str">
        <f>TEXT(Table3[[#This Row],[transaction_date]], "yyyy-mm")</f>
        <v>2025-11</v>
      </c>
      <c r="D311" t="s">
        <v>75</v>
      </c>
      <c r="E311" t="s">
        <v>3637</v>
      </c>
      <c r="F311" t="s">
        <v>3618</v>
      </c>
      <c r="G311" s="1">
        <v>8384.7199999999993</v>
      </c>
    </row>
    <row r="312" spans="1:7">
      <c r="A312" t="s">
        <v>407</v>
      </c>
      <c r="B312" s="6">
        <v>45806</v>
      </c>
      <c r="C312" s="6" t="str">
        <f>TEXT(Table3[[#This Row],[transaction_date]], "yyyy-mm")</f>
        <v>2025-05</v>
      </c>
      <c r="D312" t="s">
        <v>3597</v>
      </c>
      <c r="E312" t="s">
        <v>3637</v>
      </c>
      <c r="F312" t="s">
        <v>3614</v>
      </c>
      <c r="G312" s="1">
        <v>539243.25</v>
      </c>
    </row>
    <row r="313" spans="1:7">
      <c r="A313" t="s">
        <v>408</v>
      </c>
      <c r="B313" s="6">
        <v>45865</v>
      </c>
      <c r="C313" s="6" t="str">
        <f>TEXT(Table3[[#This Row],[transaction_date]], "yyyy-mm")</f>
        <v>2025-07</v>
      </c>
      <c r="D313" t="s">
        <v>93</v>
      </c>
      <c r="E313" t="s">
        <v>3637</v>
      </c>
      <c r="F313" t="s">
        <v>3620</v>
      </c>
      <c r="G313" s="1">
        <v>195643.59</v>
      </c>
    </row>
    <row r="314" spans="1:7">
      <c r="A314" t="s">
        <v>409</v>
      </c>
      <c r="B314" s="6">
        <v>45950</v>
      </c>
      <c r="C314" s="6" t="str">
        <f>TEXT(Table3[[#This Row],[transaction_date]], "yyyy-mm")</f>
        <v>2025-10</v>
      </c>
      <c r="D314" t="s">
        <v>79</v>
      </c>
      <c r="E314" t="s">
        <v>3637</v>
      </c>
      <c r="F314" t="s">
        <v>3619</v>
      </c>
      <c r="G314" s="1">
        <v>1238615.67</v>
      </c>
    </row>
    <row r="315" spans="1:7">
      <c r="A315" t="s">
        <v>410</v>
      </c>
      <c r="B315" s="6">
        <v>45748</v>
      </c>
      <c r="C315" s="6" t="str">
        <f>TEXT(Table3[[#This Row],[transaction_date]], "yyyy-mm")</f>
        <v>2025-04</v>
      </c>
      <c r="D315" t="s">
        <v>73</v>
      </c>
      <c r="E315" t="s">
        <v>3637</v>
      </c>
      <c r="F315" t="s">
        <v>3620</v>
      </c>
      <c r="G315" s="1">
        <v>921357.45</v>
      </c>
    </row>
    <row r="316" spans="1:7">
      <c r="A316" t="s">
        <v>411</v>
      </c>
      <c r="B316" s="6">
        <v>45952</v>
      </c>
      <c r="C316" s="6" t="str">
        <f>TEXT(Table3[[#This Row],[transaction_date]], "yyyy-mm")</f>
        <v>2025-10</v>
      </c>
      <c r="D316" t="s">
        <v>85</v>
      </c>
      <c r="E316" t="s">
        <v>3637</v>
      </c>
      <c r="F316" t="s">
        <v>3618</v>
      </c>
      <c r="G316" s="1">
        <v>2588271.39</v>
      </c>
    </row>
    <row r="317" spans="1:7">
      <c r="A317" t="s">
        <v>412</v>
      </c>
      <c r="B317" s="6">
        <v>45890</v>
      </c>
      <c r="C317" s="6" t="str">
        <f>TEXT(Table3[[#This Row],[transaction_date]], "yyyy-mm")</f>
        <v>2025-08</v>
      </c>
      <c r="D317" t="s">
        <v>73</v>
      </c>
      <c r="E317" t="s">
        <v>3636</v>
      </c>
      <c r="F317" t="s">
        <v>3605</v>
      </c>
      <c r="G317" s="1">
        <v>1144029.49</v>
      </c>
    </row>
    <row r="318" spans="1:7">
      <c r="A318" t="s">
        <v>413</v>
      </c>
      <c r="B318" s="6">
        <v>45798</v>
      </c>
      <c r="C318" s="6" t="str">
        <f>TEXT(Table3[[#This Row],[transaction_date]], "yyyy-mm")</f>
        <v>2025-05</v>
      </c>
      <c r="D318" t="s">
        <v>90</v>
      </c>
      <c r="E318" t="s">
        <v>3636</v>
      </c>
      <c r="F318" t="s">
        <v>3604</v>
      </c>
      <c r="G318" s="1">
        <v>2818550.68</v>
      </c>
    </row>
    <row r="319" spans="1:7">
      <c r="A319" t="s">
        <v>414</v>
      </c>
      <c r="B319" s="6">
        <v>45667</v>
      </c>
      <c r="C319" s="6" t="str">
        <f>TEXT(Table3[[#This Row],[transaction_date]], "yyyy-mm")</f>
        <v>2025-01</v>
      </c>
      <c r="D319" t="s">
        <v>84</v>
      </c>
      <c r="E319" t="s">
        <v>3637</v>
      </c>
      <c r="F319" t="s">
        <v>3615</v>
      </c>
      <c r="G319" s="1">
        <v>13157121.48</v>
      </c>
    </row>
    <row r="320" spans="1:7">
      <c r="A320" t="s">
        <v>415</v>
      </c>
      <c r="B320" s="6">
        <v>45827</v>
      </c>
      <c r="C320" s="6" t="str">
        <f>TEXT(Table3[[#This Row],[transaction_date]], "yyyy-mm")</f>
        <v>2025-06</v>
      </c>
      <c r="D320" t="s">
        <v>77</v>
      </c>
      <c r="E320" t="s">
        <v>3636</v>
      </c>
      <c r="F320" t="s">
        <v>3606</v>
      </c>
      <c r="G320" s="1">
        <v>309307.15999999997</v>
      </c>
    </row>
    <row r="321" spans="1:7">
      <c r="A321" t="s">
        <v>416</v>
      </c>
      <c r="B321" s="6">
        <v>45763</v>
      </c>
      <c r="C321" s="6" t="str">
        <f>TEXT(Table3[[#This Row],[transaction_date]], "yyyy-mm")</f>
        <v>2025-04</v>
      </c>
      <c r="D321" t="s">
        <v>73</v>
      </c>
      <c r="E321" t="s">
        <v>3637</v>
      </c>
      <c r="F321" t="s">
        <v>3619</v>
      </c>
      <c r="G321" s="1">
        <v>661942.18000000005</v>
      </c>
    </row>
    <row r="322" spans="1:7">
      <c r="A322" t="s">
        <v>417</v>
      </c>
      <c r="B322" s="6">
        <v>45685</v>
      </c>
      <c r="C322" s="6" t="str">
        <f>TEXT(Table3[[#This Row],[transaction_date]], "yyyy-mm")</f>
        <v>2025-01</v>
      </c>
      <c r="D322" t="s">
        <v>89</v>
      </c>
      <c r="E322" t="s">
        <v>3636</v>
      </c>
      <c r="F322" t="s">
        <v>3610</v>
      </c>
      <c r="G322" s="1">
        <v>1539122.22</v>
      </c>
    </row>
    <row r="323" spans="1:7">
      <c r="A323" t="s">
        <v>418</v>
      </c>
      <c r="B323" s="6">
        <v>45786</v>
      </c>
      <c r="C323" s="6" t="str">
        <f>TEXT(Table3[[#This Row],[transaction_date]], "yyyy-mm")</f>
        <v>2025-05</v>
      </c>
      <c r="D323" t="s">
        <v>3597</v>
      </c>
      <c r="E323" t="s">
        <v>3636</v>
      </c>
      <c r="F323" t="s">
        <v>3604</v>
      </c>
      <c r="G323" s="1">
        <v>5860603.9900000002</v>
      </c>
    </row>
    <row r="324" spans="1:7">
      <c r="A324" t="s">
        <v>419</v>
      </c>
      <c r="B324" s="6">
        <v>45786</v>
      </c>
      <c r="C324" s="6" t="str">
        <f>TEXT(Table3[[#This Row],[transaction_date]], "yyyy-mm")</f>
        <v>2025-05</v>
      </c>
      <c r="D324" t="s">
        <v>84</v>
      </c>
      <c r="E324" t="s">
        <v>3637</v>
      </c>
      <c r="F324" t="s">
        <v>3614</v>
      </c>
      <c r="G324" s="1">
        <v>17228219.559999999</v>
      </c>
    </row>
    <row r="325" spans="1:7">
      <c r="A325" t="s">
        <v>420</v>
      </c>
      <c r="B325" s="6">
        <v>45886</v>
      </c>
      <c r="C325" s="6" t="str">
        <f>TEXT(Table3[[#This Row],[transaction_date]], "yyyy-mm")</f>
        <v>2025-08</v>
      </c>
      <c r="D325" t="s">
        <v>89</v>
      </c>
      <c r="E325" t="s">
        <v>3637</v>
      </c>
      <c r="F325" t="s">
        <v>3623</v>
      </c>
      <c r="G325" s="1">
        <v>571009.56000000006</v>
      </c>
    </row>
    <row r="326" spans="1:7">
      <c r="A326" t="s">
        <v>421</v>
      </c>
      <c r="B326" s="6">
        <v>45696</v>
      </c>
      <c r="C326" s="6" t="str">
        <f>TEXT(Table3[[#This Row],[transaction_date]], "yyyy-mm")</f>
        <v>2025-02</v>
      </c>
      <c r="D326" t="s">
        <v>95</v>
      </c>
      <c r="E326" t="s">
        <v>3636</v>
      </c>
      <c r="F326" t="s">
        <v>3606</v>
      </c>
      <c r="G326" s="1">
        <v>1181931.28</v>
      </c>
    </row>
    <row r="327" spans="1:7">
      <c r="A327" t="s">
        <v>422</v>
      </c>
      <c r="B327" s="6">
        <v>46019</v>
      </c>
      <c r="C327" s="6" t="str">
        <f>TEXT(Table3[[#This Row],[transaction_date]], "yyyy-mm")</f>
        <v>2025-12</v>
      </c>
      <c r="D327" t="s">
        <v>73</v>
      </c>
      <c r="E327" t="s">
        <v>3636</v>
      </c>
      <c r="F327" t="s">
        <v>3610</v>
      </c>
      <c r="G327" s="1">
        <v>566476.71</v>
      </c>
    </row>
    <row r="328" spans="1:7">
      <c r="A328" t="s">
        <v>423</v>
      </c>
      <c r="B328" s="6">
        <v>45740</v>
      </c>
      <c r="C328" s="6" t="str">
        <f>TEXT(Table3[[#This Row],[transaction_date]], "yyyy-mm")</f>
        <v>2025-03</v>
      </c>
      <c r="D328" t="s">
        <v>80</v>
      </c>
      <c r="E328" t="s">
        <v>3636</v>
      </c>
      <c r="F328" t="s">
        <v>3609</v>
      </c>
      <c r="G328" s="1">
        <v>2752210.21</v>
      </c>
    </row>
    <row r="329" spans="1:7">
      <c r="A329" t="s">
        <v>424</v>
      </c>
      <c r="B329" s="6">
        <v>45805</v>
      </c>
      <c r="C329" s="6" t="str">
        <f>TEXT(Table3[[#This Row],[transaction_date]], "yyyy-mm")</f>
        <v>2025-05</v>
      </c>
      <c r="D329" t="s">
        <v>79</v>
      </c>
      <c r="E329" t="s">
        <v>3637</v>
      </c>
      <c r="F329" t="s">
        <v>3618</v>
      </c>
      <c r="G329" s="1">
        <v>2994680.19</v>
      </c>
    </row>
    <row r="330" spans="1:7">
      <c r="A330" t="s">
        <v>425</v>
      </c>
      <c r="B330" s="6">
        <v>45896</v>
      </c>
      <c r="C330" s="6" t="str">
        <f>TEXT(Table3[[#This Row],[transaction_date]], "yyyy-mm")</f>
        <v>2025-08</v>
      </c>
      <c r="D330" t="s">
        <v>85</v>
      </c>
      <c r="E330" t="s">
        <v>3636</v>
      </c>
      <c r="F330" t="s">
        <v>3607</v>
      </c>
      <c r="G330" s="1">
        <v>1775315.58</v>
      </c>
    </row>
    <row r="331" spans="1:7">
      <c r="A331" t="s">
        <v>426</v>
      </c>
      <c r="B331" s="6">
        <v>45726</v>
      </c>
      <c r="C331" s="6" t="str">
        <f>TEXT(Table3[[#This Row],[transaction_date]], "yyyy-mm")</f>
        <v>2025-03</v>
      </c>
      <c r="D331" t="s">
        <v>76</v>
      </c>
      <c r="E331" t="s">
        <v>3637</v>
      </c>
      <c r="F331" t="s">
        <v>3619</v>
      </c>
      <c r="G331" s="1">
        <v>9616341.4000000004</v>
      </c>
    </row>
    <row r="332" spans="1:7">
      <c r="A332" t="s">
        <v>427</v>
      </c>
      <c r="B332" s="6">
        <v>45684</v>
      </c>
      <c r="C332" s="6" t="str">
        <f>TEXT(Table3[[#This Row],[transaction_date]], "yyyy-mm")</f>
        <v>2025-01</v>
      </c>
      <c r="D332" t="s">
        <v>90</v>
      </c>
      <c r="E332" t="s">
        <v>3636</v>
      </c>
      <c r="F332" t="s">
        <v>3610</v>
      </c>
      <c r="G332" s="1">
        <v>4409237.8099999996</v>
      </c>
    </row>
    <row r="333" spans="1:7">
      <c r="A333" t="s">
        <v>428</v>
      </c>
      <c r="B333" s="6">
        <v>46009</v>
      </c>
      <c r="C333" s="6" t="str">
        <f>TEXT(Table3[[#This Row],[transaction_date]], "yyyy-mm")</f>
        <v>2025-12</v>
      </c>
      <c r="D333" t="s">
        <v>79</v>
      </c>
      <c r="E333" t="s">
        <v>3637</v>
      </c>
      <c r="F333" t="s">
        <v>3622</v>
      </c>
      <c r="G333" s="1">
        <v>5440270.3899999997</v>
      </c>
    </row>
    <row r="334" spans="1:7">
      <c r="A334" t="s">
        <v>429</v>
      </c>
      <c r="B334" s="6">
        <v>45660</v>
      </c>
      <c r="C334" s="6" t="str">
        <f>TEXT(Table3[[#This Row],[transaction_date]], "yyyy-mm")</f>
        <v>2025-01</v>
      </c>
      <c r="D334" t="s">
        <v>80</v>
      </c>
      <c r="E334" t="s">
        <v>3637</v>
      </c>
      <c r="F334" t="s">
        <v>3623</v>
      </c>
      <c r="G334" s="1">
        <v>239440.73</v>
      </c>
    </row>
    <row r="335" spans="1:7">
      <c r="A335" t="s">
        <v>430</v>
      </c>
      <c r="B335" s="6">
        <v>45750</v>
      </c>
      <c r="C335" s="6" t="str">
        <f>TEXT(Table3[[#This Row],[transaction_date]], "yyyy-mm")</f>
        <v>2025-04</v>
      </c>
      <c r="D335" t="s">
        <v>79</v>
      </c>
      <c r="E335" t="s">
        <v>3636</v>
      </c>
      <c r="F335" t="s">
        <v>3604</v>
      </c>
      <c r="G335" s="1">
        <v>578534.94999999995</v>
      </c>
    </row>
    <row r="336" spans="1:7">
      <c r="A336" t="s">
        <v>431</v>
      </c>
      <c r="B336" s="6">
        <v>45848</v>
      </c>
      <c r="C336" s="6" t="str">
        <f>TEXT(Table3[[#This Row],[transaction_date]], "yyyy-mm")</f>
        <v>2025-07</v>
      </c>
      <c r="D336" t="s">
        <v>73</v>
      </c>
      <c r="E336" t="s">
        <v>3637</v>
      </c>
      <c r="F336" t="s">
        <v>3617</v>
      </c>
      <c r="G336" s="1">
        <v>1147408.03</v>
      </c>
    </row>
    <row r="337" spans="1:7">
      <c r="A337" t="s">
        <v>432</v>
      </c>
      <c r="B337" s="6">
        <v>45681</v>
      </c>
      <c r="C337" s="6" t="str">
        <f>TEXT(Table3[[#This Row],[transaction_date]], "yyyy-mm")</f>
        <v>2025-01</v>
      </c>
      <c r="D337" t="s">
        <v>93</v>
      </c>
      <c r="E337" t="s">
        <v>3636</v>
      </c>
      <c r="F337" t="s">
        <v>3612</v>
      </c>
      <c r="G337" s="1">
        <v>1528637.4399999999</v>
      </c>
    </row>
    <row r="338" spans="1:7">
      <c r="A338" t="s">
        <v>433</v>
      </c>
      <c r="B338" s="6">
        <v>45931</v>
      </c>
      <c r="C338" s="6" t="str">
        <f>TEXT(Table3[[#This Row],[transaction_date]], "yyyy-mm")</f>
        <v>2025-10</v>
      </c>
      <c r="D338" t="s">
        <v>79</v>
      </c>
      <c r="E338" t="s">
        <v>3636</v>
      </c>
      <c r="F338" t="s">
        <v>3607</v>
      </c>
      <c r="G338" s="1">
        <v>647134.29</v>
      </c>
    </row>
    <row r="339" spans="1:7">
      <c r="A339" t="s">
        <v>434</v>
      </c>
      <c r="B339" s="6">
        <v>45938</v>
      </c>
      <c r="C339" s="6" t="str">
        <f>TEXT(Table3[[#This Row],[transaction_date]], "yyyy-mm")</f>
        <v>2025-10</v>
      </c>
      <c r="D339" t="s">
        <v>76</v>
      </c>
      <c r="E339" t="s">
        <v>3637</v>
      </c>
      <c r="F339" t="s">
        <v>3615</v>
      </c>
      <c r="G339" s="1">
        <v>28026955.710000001</v>
      </c>
    </row>
    <row r="340" spans="1:7">
      <c r="A340" t="s">
        <v>435</v>
      </c>
      <c r="B340" s="6">
        <v>45728</v>
      </c>
      <c r="C340" s="6" t="str">
        <f>TEXT(Table3[[#This Row],[transaction_date]], "yyyy-mm")</f>
        <v>2025-03</v>
      </c>
      <c r="D340" t="s">
        <v>76</v>
      </c>
      <c r="E340" t="s">
        <v>3637</v>
      </c>
      <c r="F340" t="s">
        <v>3621</v>
      </c>
      <c r="G340" s="1">
        <v>2956351.64</v>
      </c>
    </row>
    <row r="341" spans="1:7">
      <c r="A341" t="s">
        <v>436</v>
      </c>
      <c r="B341" s="6">
        <v>45960</v>
      </c>
      <c r="C341" s="6" t="str">
        <f>TEXT(Table3[[#This Row],[transaction_date]], "yyyy-mm")</f>
        <v>2025-10</v>
      </c>
      <c r="D341" t="s">
        <v>82</v>
      </c>
      <c r="E341" t="s">
        <v>3637</v>
      </c>
      <c r="F341" t="s">
        <v>3622</v>
      </c>
      <c r="G341" s="1">
        <v>12177654.9</v>
      </c>
    </row>
    <row r="342" spans="1:7">
      <c r="A342" t="s">
        <v>437</v>
      </c>
      <c r="B342" s="6">
        <v>45697</v>
      </c>
      <c r="C342" s="6" t="str">
        <f>TEXT(Table3[[#This Row],[transaction_date]], "yyyy-mm")</f>
        <v>2025-02</v>
      </c>
      <c r="D342" t="s">
        <v>79</v>
      </c>
      <c r="E342" t="s">
        <v>3637</v>
      </c>
      <c r="F342" t="s">
        <v>3620</v>
      </c>
      <c r="G342" s="1">
        <v>5639069.4699999997</v>
      </c>
    </row>
    <row r="343" spans="1:7">
      <c r="A343" t="s">
        <v>438</v>
      </c>
      <c r="B343" s="6">
        <v>45846</v>
      </c>
      <c r="C343" s="6" t="str">
        <f>TEXT(Table3[[#This Row],[transaction_date]], "yyyy-mm")</f>
        <v>2025-07</v>
      </c>
      <c r="D343" t="s">
        <v>85</v>
      </c>
      <c r="E343" t="s">
        <v>3636</v>
      </c>
      <c r="F343" t="s">
        <v>3607</v>
      </c>
      <c r="G343" s="1">
        <v>1821324.01</v>
      </c>
    </row>
    <row r="344" spans="1:7">
      <c r="A344" t="s">
        <v>439</v>
      </c>
      <c r="B344" s="6">
        <v>45917</v>
      </c>
      <c r="C344" s="6" t="str">
        <f>TEXT(Table3[[#This Row],[transaction_date]], "yyyy-mm")</f>
        <v>2025-09</v>
      </c>
      <c r="D344" t="s">
        <v>85</v>
      </c>
      <c r="E344" t="s">
        <v>3637</v>
      </c>
      <c r="F344" t="s">
        <v>3619</v>
      </c>
      <c r="G344" s="1">
        <v>4486926.29</v>
      </c>
    </row>
    <row r="345" spans="1:7">
      <c r="A345" t="s">
        <v>440</v>
      </c>
      <c r="B345" s="6">
        <v>45914</v>
      </c>
      <c r="C345" s="6" t="str">
        <f>TEXT(Table3[[#This Row],[transaction_date]], "yyyy-mm")</f>
        <v>2025-09</v>
      </c>
      <c r="D345" t="s">
        <v>80</v>
      </c>
      <c r="E345" t="s">
        <v>3636</v>
      </c>
      <c r="F345" t="s">
        <v>3611</v>
      </c>
      <c r="G345" s="1">
        <v>1721919.66</v>
      </c>
    </row>
    <row r="346" spans="1:7">
      <c r="A346" t="s">
        <v>441</v>
      </c>
      <c r="B346" s="6">
        <v>45884</v>
      </c>
      <c r="C346" s="6" t="str">
        <f>TEXT(Table3[[#This Row],[transaction_date]], "yyyy-mm")</f>
        <v>2025-08</v>
      </c>
      <c r="D346" t="s">
        <v>75</v>
      </c>
      <c r="E346" t="s">
        <v>3637</v>
      </c>
      <c r="F346" t="s">
        <v>3618</v>
      </c>
      <c r="G346" s="1">
        <v>219319.75</v>
      </c>
    </row>
    <row r="347" spans="1:7">
      <c r="A347" t="s">
        <v>442</v>
      </c>
      <c r="B347" s="6">
        <v>46012</v>
      </c>
      <c r="C347" s="6" t="str">
        <f>TEXT(Table3[[#This Row],[transaction_date]], "yyyy-mm")</f>
        <v>2025-12</v>
      </c>
      <c r="D347" t="s">
        <v>90</v>
      </c>
      <c r="E347" t="s">
        <v>3636</v>
      </c>
      <c r="F347" t="s">
        <v>3610</v>
      </c>
      <c r="G347" s="1">
        <v>22118734.960000001</v>
      </c>
    </row>
    <row r="348" spans="1:7">
      <c r="A348" t="s">
        <v>443</v>
      </c>
      <c r="B348" s="6">
        <v>45969</v>
      </c>
      <c r="C348" s="6" t="str">
        <f>TEXT(Table3[[#This Row],[transaction_date]], "yyyy-mm")</f>
        <v>2025-11</v>
      </c>
      <c r="D348" t="s">
        <v>93</v>
      </c>
      <c r="E348" t="s">
        <v>3636</v>
      </c>
      <c r="F348" t="s">
        <v>3611</v>
      </c>
      <c r="G348" s="1">
        <v>4834513.4800000004</v>
      </c>
    </row>
    <row r="349" spans="1:7">
      <c r="A349" t="s">
        <v>444</v>
      </c>
      <c r="B349" s="6">
        <v>45716</v>
      </c>
      <c r="C349" s="6" t="str">
        <f>TEXT(Table3[[#This Row],[transaction_date]], "yyyy-mm")</f>
        <v>2025-02</v>
      </c>
      <c r="D349" t="s">
        <v>80</v>
      </c>
      <c r="E349" t="s">
        <v>3637</v>
      </c>
      <c r="F349" t="s">
        <v>3623</v>
      </c>
      <c r="G349" s="1">
        <v>1601851.4</v>
      </c>
    </row>
    <row r="350" spans="1:7">
      <c r="A350" t="s">
        <v>445</v>
      </c>
      <c r="B350" s="6">
        <v>45676</v>
      </c>
      <c r="C350" s="6" t="str">
        <f>TEXT(Table3[[#This Row],[transaction_date]], "yyyy-mm")</f>
        <v>2025-01</v>
      </c>
      <c r="D350" t="s">
        <v>73</v>
      </c>
      <c r="E350" t="s">
        <v>3637</v>
      </c>
      <c r="F350" t="s">
        <v>3622</v>
      </c>
      <c r="G350" s="1">
        <v>4648014.53</v>
      </c>
    </row>
    <row r="351" spans="1:7">
      <c r="A351" t="s">
        <v>446</v>
      </c>
      <c r="B351" s="6">
        <v>45708</v>
      </c>
      <c r="C351" s="6" t="str">
        <f>TEXT(Table3[[#This Row],[transaction_date]], "yyyy-mm")</f>
        <v>2025-02</v>
      </c>
      <c r="D351" t="s">
        <v>82</v>
      </c>
      <c r="E351" t="s">
        <v>3637</v>
      </c>
      <c r="F351" t="s">
        <v>3620</v>
      </c>
      <c r="G351" s="1">
        <v>2970672.97</v>
      </c>
    </row>
    <row r="352" spans="1:7">
      <c r="A352" t="s">
        <v>447</v>
      </c>
      <c r="B352" s="6">
        <v>46015</v>
      </c>
      <c r="C352" s="6" t="str">
        <f>TEXT(Table3[[#This Row],[transaction_date]], "yyyy-mm")</f>
        <v>2025-12</v>
      </c>
      <c r="D352" t="s">
        <v>77</v>
      </c>
      <c r="E352" t="s">
        <v>3636</v>
      </c>
      <c r="F352" t="s">
        <v>3605</v>
      </c>
      <c r="G352" s="1">
        <v>16540703.359999999</v>
      </c>
    </row>
    <row r="353" spans="1:7">
      <c r="A353" t="s">
        <v>448</v>
      </c>
      <c r="B353" s="6">
        <v>45710</v>
      </c>
      <c r="C353" s="6" t="str">
        <f>TEXT(Table3[[#This Row],[transaction_date]], "yyyy-mm")</f>
        <v>2025-02</v>
      </c>
      <c r="D353" t="s">
        <v>74</v>
      </c>
      <c r="E353" t="s">
        <v>3636</v>
      </c>
      <c r="F353" t="s">
        <v>3610</v>
      </c>
      <c r="G353" s="1">
        <v>411566.87</v>
      </c>
    </row>
    <row r="354" spans="1:7">
      <c r="A354" t="s">
        <v>449</v>
      </c>
      <c r="B354" s="6">
        <v>45659</v>
      </c>
      <c r="C354" s="6" t="str">
        <f>TEXT(Table3[[#This Row],[transaction_date]], "yyyy-mm")</f>
        <v>2025-01</v>
      </c>
      <c r="D354" t="s">
        <v>85</v>
      </c>
      <c r="E354" t="s">
        <v>3636</v>
      </c>
      <c r="F354" t="s">
        <v>3606</v>
      </c>
      <c r="G354" s="1">
        <v>127739.46</v>
      </c>
    </row>
    <row r="355" spans="1:7">
      <c r="A355" t="s">
        <v>450</v>
      </c>
      <c r="B355" s="6">
        <v>45888</v>
      </c>
      <c r="C355" s="6" t="str">
        <f>TEXT(Table3[[#This Row],[transaction_date]], "yyyy-mm")</f>
        <v>2025-08</v>
      </c>
      <c r="D355" t="s">
        <v>74</v>
      </c>
      <c r="E355" t="s">
        <v>3636</v>
      </c>
      <c r="F355" t="s">
        <v>3613</v>
      </c>
      <c r="G355" s="1">
        <v>1257971.29</v>
      </c>
    </row>
    <row r="356" spans="1:7">
      <c r="A356" t="s">
        <v>451</v>
      </c>
      <c r="B356" s="6">
        <v>45984</v>
      </c>
      <c r="C356" s="6" t="str">
        <f>TEXT(Table3[[#This Row],[transaction_date]], "yyyy-mm")</f>
        <v>2025-11</v>
      </c>
      <c r="D356" t="s">
        <v>95</v>
      </c>
      <c r="E356" t="s">
        <v>3636</v>
      </c>
      <c r="F356" t="s">
        <v>3609</v>
      </c>
      <c r="G356" s="1">
        <v>2255447.2599999998</v>
      </c>
    </row>
    <row r="357" spans="1:7">
      <c r="A357" t="s">
        <v>452</v>
      </c>
      <c r="B357" s="6">
        <v>45838</v>
      </c>
      <c r="C357" s="6" t="str">
        <f>TEXT(Table3[[#This Row],[transaction_date]], "yyyy-mm")</f>
        <v>2025-06</v>
      </c>
      <c r="D357" t="s">
        <v>73</v>
      </c>
      <c r="E357" t="s">
        <v>3636</v>
      </c>
      <c r="F357" t="s">
        <v>3607</v>
      </c>
      <c r="G357" s="1">
        <v>1052104.48</v>
      </c>
    </row>
    <row r="358" spans="1:7">
      <c r="A358" t="s">
        <v>453</v>
      </c>
      <c r="B358" s="6">
        <v>45878</v>
      </c>
      <c r="C358" s="6" t="str">
        <f>TEXT(Table3[[#This Row],[transaction_date]], "yyyy-mm")</f>
        <v>2025-08</v>
      </c>
      <c r="D358" t="s">
        <v>82</v>
      </c>
      <c r="E358" t="s">
        <v>3636</v>
      </c>
      <c r="F358" t="s">
        <v>3611</v>
      </c>
      <c r="G358" s="1">
        <v>10622166.310000001</v>
      </c>
    </row>
    <row r="359" spans="1:7">
      <c r="A359" t="s">
        <v>454</v>
      </c>
      <c r="B359" s="6">
        <v>45712</v>
      </c>
      <c r="C359" s="6" t="str">
        <f>TEXT(Table3[[#This Row],[transaction_date]], "yyyy-mm")</f>
        <v>2025-02</v>
      </c>
      <c r="D359" t="s">
        <v>80</v>
      </c>
      <c r="E359" t="s">
        <v>3637</v>
      </c>
      <c r="F359" t="s">
        <v>3615</v>
      </c>
      <c r="G359" s="1">
        <v>358494.97</v>
      </c>
    </row>
    <row r="360" spans="1:7">
      <c r="A360" t="s">
        <v>455</v>
      </c>
      <c r="B360" s="6">
        <v>46006</v>
      </c>
      <c r="C360" s="6" t="str">
        <f>TEXT(Table3[[#This Row],[transaction_date]], "yyyy-mm")</f>
        <v>2025-12</v>
      </c>
      <c r="D360" t="s">
        <v>89</v>
      </c>
      <c r="E360" t="s">
        <v>3637</v>
      </c>
      <c r="F360" t="s">
        <v>3620</v>
      </c>
      <c r="G360" s="1">
        <v>43531.9</v>
      </c>
    </row>
    <row r="361" spans="1:7">
      <c r="A361" t="s">
        <v>456</v>
      </c>
      <c r="B361" s="6">
        <v>45947</v>
      </c>
      <c r="C361" s="6" t="str">
        <f>TEXT(Table3[[#This Row],[transaction_date]], "yyyy-mm")</f>
        <v>2025-10</v>
      </c>
      <c r="D361" t="s">
        <v>90</v>
      </c>
      <c r="E361" t="s">
        <v>3637</v>
      </c>
      <c r="F361" t="s">
        <v>3621</v>
      </c>
      <c r="G361" s="1">
        <v>1215417.1000000001</v>
      </c>
    </row>
    <row r="362" spans="1:7">
      <c r="A362" t="s">
        <v>457</v>
      </c>
      <c r="B362" s="6">
        <v>45745</v>
      </c>
      <c r="C362" s="6" t="str">
        <f>TEXT(Table3[[#This Row],[transaction_date]], "yyyy-mm")</f>
        <v>2025-03</v>
      </c>
      <c r="D362" t="s">
        <v>75</v>
      </c>
      <c r="E362" t="s">
        <v>3637</v>
      </c>
      <c r="F362" t="s">
        <v>3620</v>
      </c>
      <c r="G362" s="1">
        <v>8533212.25</v>
      </c>
    </row>
    <row r="363" spans="1:7">
      <c r="A363" t="s">
        <v>458</v>
      </c>
      <c r="B363" s="6">
        <v>45760</v>
      </c>
      <c r="C363" s="6" t="str">
        <f>TEXT(Table3[[#This Row],[transaction_date]], "yyyy-mm")</f>
        <v>2025-04</v>
      </c>
      <c r="D363" t="s">
        <v>93</v>
      </c>
      <c r="E363" t="s">
        <v>3636</v>
      </c>
      <c r="F363" t="s">
        <v>3609</v>
      </c>
      <c r="G363" s="1">
        <v>6026872.0999999996</v>
      </c>
    </row>
    <row r="364" spans="1:7">
      <c r="A364" t="s">
        <v>459</v>
      </c>
      <c r="B364" s="6">
        <v>45747</v>
      </c>
      <c r="C364" s="6" t="str">
        <f>TEXT(Table3[[#This Row],[transaction_date]], "yyyy-mm")</f>
        <v>2025-03</v>
      </c>
      <c r="D364" t="s">
        <v>95</v>
      </c>
      <c r="E364" t="s">
        <v>3637</v>
      </c>
      <c r="F364" t="s">
        <v>3620</v>
      </c>
      <c r="G364" s="1">
        <v>3743899.09</v>
      </c>
    </row>
    <row r="365" spans="1:7">
      <c r="A365" t="s">
        <v>460</v>
      </c>
      <c r="B365" s="6">
        <v>45769</v>
      </c>
      <c r="C365" s="6" t="str">
        <f>TEXT(Table3[[#This Row],[transaction_date]], "yyyy-mm")</f>
        <v>2025-04</v>
      </c>
      <c r="D365" t="s">
        <v>85</v>
      </c>
      <c r="E365" t="s">
        <v>3637</v>
      </c>
      <c r="F365" t="s">
        <v>3616</v>
      </c>
      <c r="G365" s="1">
        <v>3882783.97</v>
      </c>
    </row>
    <row r="366" spans="1:7">
      <c r="A366" t="s">
        <v>461</v>
      </c>
      <c r="B366" s="6">
        <v>45939</v>
      </c>
      <c r="C366" s="6" t="str">
        <f>TEXT(Table3[[#This Row],[transaction_date]], "yyyy-mm")</f>
        <v>2025-10</v>
      </c>
      <c r="D366" t="s">
        <v>3597</v>
      </c>
      <c r="E366" t="s">
        <v>3636</v>
      </c>
      <c r="F366" t="s">
        <v>3605</v>
      </c>
      <c r="G366" s="1">
        <v>3805824.95</v>
      </c>
    </row>
    <row r="367" spans="1:7">
      <c r="A367" t="s">
        <v>462</v>
      </c>
      <c r="B367" s="6">
        <v>45703</v>
      </c>
      <c r="C367" s="6" t="str">
        <f>TEXT(Table3[[#This Row],[transaction_date]], "yyyy-mm")</f>
        <v>2025-02</v>
      </c>
      <c r="D367" t="s">
        <v>74</v>
      </c>
      <c r="E367" t="s">
        <v>3636</v>
      </c>
      <c r="F367" t="s">
        <v>3606</v>
      </c>
      <c r="G367" s="1">
        <v>1030724.86</v>
      </c>
    </row>
    <row r="368" spans="1:7">
      <c r="A368" t="s">
        <v>463</v>
      </c>
      <c r="B368" s="6">
        <v>45872</v>
      </c>
      <c r="C368" s="6" t="str">
        <f>TEXT(Table3[[#This Row],[transaction_date]], "yyyy-mm")</f>
        <v>2025-08</v>
      </c>
      <c r="D368" t="s">
        <v>75</v>
      </c>
      <c r="E368" t="s">
        <v>3636</v>
      </c>
      <c r="F368" t="s">
        <v>3613</v>
      </c>
      <c r="G368" s="1">
        <v>19812339.010000002</v>
      </c>
    </row>
    <row r="369" spans="1:7">
      <c r="A369" t="s">
        <v>464</v>
      </c>
      <c r="B369" s="6">
        <v>45833</v>
      </c>
      <c r="C369" s="6" t="str">
        <f>TEXT(Table3[[#This Row],[transaction_date]], "yyyy-mm")</f>
        <v>2025-06</v>
      </c>
      <c r="D369" t="s">
        <v>73</v>
      </c>
      <c r="E369" t="s">
        <v>3637</v>
      </c>
      <c r="F369" t="s">
        <v>3619</v>
      </c>
      <c r="G369" s="1">
        <v>438075.82</v>
      </c>
    </row>
    <row r="370" spans="1:7">
      <c r="A370" t="s">
        <v>465</v>
      </c>
      <c r="B370" s="6">
        <v>46003</v>
      </c>
      <c r="C370" s="6" t="str">
        <f>TEXT(Table3[[#This Row],[transaction_date]], "yyyy-mm")</f>
        <v>2025-12</v>
      </c>
      <c r="D370" t="s">
        <v>93</v>
      </c>
      <c r="E370" t="s">
        <v>3637</v>
      </c>
      <c r="F370" t="s">
        <v>3614</v>
      </c>
      <c r="G370" s="1">
        <v>7964401.4000000004</v>
      </c>
    </row>
    <row r="371" spans="1:7">
      <c r="A371" t="s">
        <v>466</v>
      </c>
      <c r="B371" s="6">
        <v>45831</v>
      </c>
      <c r="C371" s="6" t="str">
        <f>TEXT(Table3[[#This Row],[transaction_date]], "yyyy-mm")</f>
        <v>2025-06</v>
      </c>
      <c r="D371" t="s">
        <v>73</v>
      </c>
      <c r="E371" t="s">
        <v>3636</v>
      </c>
      <c r="F371" t="s">
        <v>3605</v>
      </c>
      <c r="G371" s="1">
        <v>1334595.3799999999</v>
      </c>
    </row>
    <row r="372" spans="1:7">
      <c r="A372" t="s">
        <v>467</v>
      </c>
      <c r="B372" s="6">
        <v>45922</v>
      </c>
      <c r="C372" s="6" t="str">
        <f>TEXT(Table3[[#This Row],[transaction_date]], "yyyy-mm")</f>
        <v>2025-09</v>
      </c>
      <c r="D372" t="s">
        <v>85</v>
      </c>
      <c r="E372" t="s">
        <v>3636</v>
      </c>
      <c r="F372" t="s">
        <v>3605</v>
      </c>
      <c r="G372" s="1">
        <v>1923799.99</v>
      </c>
    </row>
    <row r="373" spans="1:7">
      <c r="A373" t="s">
        <v>468</v>
      </c>
      <c r="B373" s="6">
        <v>45956</v>
      </c>
      <c r="C373" s="6" t="str">
        <f>TEXT(Table3[[#This Row],[transaction_date]], "yyyy-mm")</f>
        <v>2025-10</v>
      </c>
      <c r="D373" t="s">
        <v>90</v>
      </c>
      <c r="E373" t="s">
        <v>3637</v>
      </c>
      <c r="F373" t="s">
        <v>3623</v>
      </c>
      <c r="G373" s="1">
        <v>21742211.100000001</v>
      </c>
    </row>
    <row r="374" spans="1:7">
      <c r="A374" t="s">
        <v>469</v>
      </c>
      <c r="B374" s="6">
        <v>45807</v>
      </c>
      <c r="C374" s="6" t="str">
        <f>TEXT(Table3[[#This Row],[transaction_date]], "yyyy-mm")</f>
        <v>2025-05</v>
      </c>
      <c r="D374" t="s">
        <v>75</v>
      </c>
      <c r="E374" t="s">
        <v>3636</v>
      </c>
      <c r="F374" t="s">
        <v>3609</v>
      </c>
      <c r="G374" s="1">
        <v>6702943.3099999996</v>
      </c>
    </row>
    <row r="375" spans="1:7">
      <c r="A375" t="s">
        <v>470</v>
      </c>
      <c r="B375" s="6">
        <v>45827</v>
      </c>
      <c r="C375" s="6" t="str">
        <f>TEXT(Table3[[#This Row],[transaction_date]], "yyyy-mm")</f>
        <v>2025-06</v>
      </c>
      <c r="D375" t="s">
        <v>79</v>
      </c>
      <c r="E375" t="s">
        <v>3636</v>
      </c>
      <c r="F375" t="s">
        <v>3612</v>
      </c>
      <c r="G375" s="1">
        <v>8089625.46</v>
      </c>
    </row>
    <row r="376" spans="1:7">
      <c r="A376" t="s">
        <v>471</v>
      </c>
      <c r="B376" s="6">
        <v>45894</v>
      </c>
      <c r="C376" s="6" t="str">
        <f>TEXT(Table3[[#This Row],[transaction_date]], "yyyy-mm")</f>
        <v>2025-08</v>
      </c>
      <c r="D376" t="s">
        <v>82</v>
      </c>
      <c r="E376" t="s">
        <v>3636</v>
      </c>
      <c r="F376" t="s">
        <v>3606</v>
      </c>
      <c r="G376" s="1">
        <v>2408543.21</v>
      </c>
    </row>
    <row r="377" spans="1:7">
      <c r="A377" t="s">
        <v>472</v>
      </c>
      <c r="B377" s="6">
        <v>45882</v>
      </c>
      <c r="C377" s="6" t="str">
        <f>TEXT(Table3[[#This Row],[transaction_date]], "yyyy-mm")</f>
        <v>2025-08</v>
      </c>
      <c r="D377" t="s">
        <v>75</v>
      </c>
      <c r="E377" t="s">
        <v>3637</v>
      </c>
      <c r="F377" t="s">
        <v>3615</v>
      </c>
      <c r="G377" s="1">
        <v>15467864.85</v>
      </c>
    </row>
    <row r="378" spans="1:7">
      <c r="A378" t="s">
        <v>473</v>
      </c>
      <c r="B378" s="6">
        <v>45964</v>
      </c>
      <c r="C378" s="6" t="str">
        <f>TEXT(Table3[[#This Row],[transaction_date]], "yyyy-mm")</f>
        <v>2025-11</v>
      </c>
      <c r="D378" t="s">
        <v>76</v>
      </c>
      <c r="E378" t="s">
        <v>3637</v>
      </c>
      <c r="F378" t="s">
        <v>3619</v>
      </c>
      <c r="G378" s="1">
        <v>2188579.62</v>
      </c>
    </row>
    <row r="379" spans="1:7">
      <c r="A379" t="s">
        <v>474</v>
      </c>
      <c r="B379" s="6">
        <v>45803</v>
      </c>
      <c r="C379" s="6" t="str">
        <f>TEXT(Table3[[#This Row],[transaction_date]], "yyyy-mm")</f>
        <v>2025-05</v>
      </c>
      <c r="D379" t="s">
        <v>76</v>
      </c>
      <c r="E379" t="s">
        <v>3637</v>
      </c>
      <c r="F379" t="s">
        <v>3617</v>
      </c>
      <c r="G379" s="1">
        <v>823992.52</v>
      </c>
    </row>
    <row r="380" spans="1:7">
      <c r="A380" t="s">
        <v>475</v>
      </c>
      <c r="B380" s="6">
        <v>46004</v>
      </c>
      <c r="C380" s="6" t="str">
        <f>TEXT(Table3[[#This Row],[transaction_date]], "yyyy-mm")</f>
        <v>2025-12</v>
      </c>
      <c r="D380" t="s">
        <v>78</v>
      </c>
      <c r="E380" t="s">
        <v>3637</v>
      </c>
      <c r="F380" t="s">
        <v>3618</v>
      </c>
      <c r="G380" s="1">
        <v>1502848.86</v>
      </c>
    </row>
    <row r="381" spans="1:7">
      <c r="A381" t="s">
        <v>476</v>
      </c>
      <c r="B381" s="6">
        <v>45832</v>
      </c>
      <c r="C381" s="6" t="str">
        <f>TEXT(Table3[[#This Row],[transaction_date]], "yyyy-mm")</f>
        <v>2025-06</v>
      </c>
      <c r="D381" t="s">
        <v>89</v>
      </c>
      <c r="E381" t="s">
        <v>3636</v>
      </c>
      <c r="F381" t="s">
        <v>3613</v>
      </c>
      <c r="G381" s="1">
        <v>607995.15</v>
      </c>
    </row>
    <row r="382" spans="1:7">
      <c r="A382" t="s">
        <v>477</v>
      </c>
      <c r="B382" s="6">
        <v>45931</v>
      </c>
      <c r="C382" s="6" t="str">
        <f>TEXT(Table3[[#This Row],[transaction_date]], "yyyy-mm")</f>
        <v>2025-10</v>
      </c>
      <c r="D382" t="s">
        <v>77</v>
      </c>
      <c r="E382" t="s">
        <v>3637</v>
      </c>
      <c r="F382" t="s">
        <v>3619</v>
      </c>
      <c r="G382" s="1">
        <v>10214632.99</v>
      </c>
    </row>
    <row r="383" spans="1:7">
      <c r="A383" t="s">
        <v>478</v>
      </c>
      <c r="B383" s="6">
        <v>45685</v>
      </c>
      <c r="C383" s="6" t="str">
        <f>TEXT(Table3[[#This Row],[transaction_date]], "yyyy-mm")</f>
        <v>2025-01</v>
      </c>
      <c r="D383" t="s">
        <v>80</v>
      </c>
      <c r="E383" t="s">
        <v>3637</v>
      </c>
      <c r="F383" t="s">
        <v>3620</v>
      </c>
      <c r="G383" s="1">
        <v>338791.54</v>
      </c>
    </row>
    <row r="384" spans="1:7">
      <c r="A384" t="s">
        <v>479</v>
      </c>
      <c r="B384" s="6">
        <v>45680</v>
      </c>
      <c r="C384" s="6" t="str">
        <f>TEXT(Table3[[#This Row],[transaction_date]], "yyyy-mm")</f>
        <v>2025-01</v>
      </c>
      <c r="D384" t="s">
        <v>80</v>
      </c>
      <c r="E384" t="s">
        <v>3636</v>
      </c>
      <c r="F384" t="s">
        <v>3609</v>
      </c>
      <c r="G384" s="1">
        <v>982429.86</v>
      </c>
    </row>
    <row r="385" spans="1:7">
      <c r="A385" t="s">
        <v>480</v>
      </c>
      <c r="B385" s="6">
        <v>45731</v>
      </c>
      <c r="C385" s="6" t="str">
        <f>TEXT(Table3[[#This Row],[transaction_date]], "yyyy-mm")</f>
        <v>2025-03</v>
      </c>
      <c r="D385" t="s">
        <v>95</v>
      </c>
      <c r="E385" t="s">
        <v>3636</v>
      </c>
      <c r="F385" t="s">
        <v>3610</v>
      </c>
      <c r="G385" s="1">
        <v>344427.26</v>
      </c>
    </row>
    <row r="386" spans="1:7">
      <c r="A386" t="s">
        <v>481</v>
      </c>
      <c r="B386" s="6">
        <v>45976</v>
      </c>
      <c r="C386" s="6" t="str">
        <f>TEXT(Table3[[#This Row],[transaction_date]], "yyyy-mm")</f>
        <v>2025-11</v>
      </c>
      <c r="D386" t="s">
        <v>74</v>
      </c>
      <c r="E386" t="s">
        <v>3637</v>
      </c>
      <c r="F386" t="s">
        <v>3616</v>
      </c>
      <c r="G386" s="1">
        <v>22006.080000000002</v>
      </c>
    </row>
    <row r="387" spans="1:7">
      <c r="A387" t="s">
        <v>482</v>
      </c>
      <c r="B387" s="6">
        <v>45875</v>
      </c>
      <c r="C387" s="6" t="str">
        <f>TEXT(Table3[[#This Row],[transaction_date]], "yyyy-mm")</f>
        <v>2025-08</v>
      </c>
      <c r="D387" t="s">
        <v>75</v>
      </c>
      <c r="E387" t="s">
        <v>3637</v>
      </c>
      <c r="F387" t="s">
        <v>3615</v>
      </c>
      <c r="G387" s="1">
        <v>7968945.9800000004</v>
      </c>
    </row>
    <row r="388" spans="1:7">
      <c r="A388" t="s">
        <v>483</v>
      </c>
      <c r="B388" s="6">
        <v>45925</v>
      </c>
      <c r="C388" s="6" t="str">
        <f>TEXT(Table3[[#This Row],[transaction_date]], "yyyy-mm")</f>
        <v>2025-09</v>
      </c>
      <c r="D388" t="s">
        <v>90</v>
      </c>
      <c r="E388" t="s">
        <v>3636</v>
      </c>
      <c r="F388" t="s">
        <v>3607</v>
      </c>
      <c r="G388" s="1">
        <v>8778769.9399999995</v>
      </c>
    </row>
    <row r="389" spans="1:7">
      <c r="A389" t="s">
        <v>484</v>
      </c>
      <c r="B389" s="6">
        <v>45741</v>
      </c>
      <c r="C389" s="6" t="str">
        <f>TEXT(Table3[[#This Row],[transaction_date]], "yyyy-mm")</f>
        <v>2025-03</v>
      </c>
      <c r="D389" t="s">
        <v>85</v>
      </c>
      <c r="E389" t="s">
        <v>3637</v>
      </c>
      <c r="F389" t="s">
        <v>3614</v>
      </c>
      <c r="G389" s="1">
        <v>406279.53</v>
      </c>
    </row>
    <row r="390" spans="1:7">
      <c r="A390" t="s">
        <v>485</v>
      </c>
      <c r="B390" s="6">
        <v>45689</v>
      </c>
      <c r="C390" s="6" t="str">
        <f>TEXT(Table3[[#This Row],[transaction_date]], "yyyy-mm")</f>
        <v>2025-02</v>
      </c>
      <c r="D390" t="s">
        <v>77</v>
      </c>
      <c r="E390" t="s">
        <v>3637</v>
      </c>
      <c r="F390" t="s">
        <v>3615</v>
      </c>
      <c r="G390" s="1">
        <v>5469178.8099999996</v>
      </c>
    </row>
    <row r="391" spans="1:7">
      <c r="A391" t="s">
        <v>486</v>
      </c>
      <c r="B391" s="6">
        <v>45911</v>
      </c>
      <c r="C391" s="6" t="str">
        <f>TEXT(Table3[[#This Row],[transaction_date]], "yyyy-mm")</f>
        <v>2025-09</v>
      </c>
      <c r="D391" t="s">
        <v>74</v>
      </c>
      <c r="E391" t="s">
        <v>3637</v>
      </c>
      <c r="F391" t="s">
        <v>3618</v>
      </c>
      <c r="G391" s="1">
        <v>491718.72</v>
      </c>
    </row>
    <row r="392" spans="1:7">
      <c r="A392" t="s">
        <v>487</v>
      </c>
      <c r="B392" s="6">
        <v>45917</v>
      </c>
      <c r="C392" s="6" t="str">
        <f>TEXT(Table3[[#This Row],[transaction_date]], "yyyy-mm")</f>
        <v>2025-09</v>
      </c>
      <c r="D392" t="s">
        <v>85</v>
      </c>
      <c r="E392" t="s">
        <v>3637</v>
      </c>
      <c r="F392" t="s">
        <v>3618</v>
      </c>
      <c r="G392" s="1">
        <v>4752964.8600000003</v>
      </c>
    </row>
    <row r="393" spans="1:7">
      <c r="A393" t="s">
        <v>488</v>
      </c>
      <c r="B393" s="6">
        <v>45737</v>
      </c>
      <c r="C393" s="6" t="str">
        <f>TEXT(Table3[[#This Row],[transaction_date]], "yyyy-mm")</f>
        <v>2025-03</v>
      </c>
      <c r="D393" t="s">
        <v>85</v>
      </c>
      <c r="E393" t="s">
        <v>3637</v>
      </c>
      <c r="F393" t="s">
        <v>3618</v>
      </c>
      <c r="G393" s="1">
        <v>2965110.92</v>
      </c>
    </row>
    <row r="394" spans="1:7">
      <c r="A394" t="s">
        <v>489</v>
      </c>
      <c r="B394" s="6">
        <v>45795</v>
      </c>
      <c r="C394" s="6" t="str">
        <f>TEXT(Table3[[#This Row],[transaction_date]], "yyyy-mm")</f>
        <v>2025-05</v>
      </c>
      <c r="D394" t="s">
        <v>73</v>
      </c>
      <c r="E394" t="s">
        <v>3636</v>
      </c>
      <c r="F394" t="s">
        <v>3610</v>
      </c>
      <c r="G394" s="1">
        <v>19446.95</v>
      </c>
    </row>
    <row r="395" spans="1:7">
      <c r="A395" t="s">
        <v>490</v>
      </c>
      <c r="B395" s="6">
        <v>45871</v>
      </c>
      <c r="C395" s="6" t="str">
        <f>TEXT(Table3[[#This Row],[transaction_date]], "yyyy-mm")</f>
        <v>2025-08</v>
      </c>
      <c r="D395" t="s">
        <v>82</v>
      </c>
      <c r="E395" t="s">
        <v>3637</v>
      </c>
      <c r="F395" t="s">
        <v>3615</v>
      </c>
      <c r="G395" s="1">
        <v>9479152.6500000004</v>
      </c>
    </row>
    <row r="396" spans="1:7">
      <c r="A396" t="s">
        <v>491</v>
      </c>
      <c r="B396" s="6">
        <v>45835</v>
      </c>
      <c r="C396" s="6" t="str">
        <f>TEXT(Table3[[#This Row],[transaction_date]], "yyyy-mm")</f>
        <v>2025-06</v>
      </c>
      <c r="D396" t="s">
        <v>89</v>
      </c>
      <c r="E396" t="s">
        <v>3637</v>
      </c>
      <c r="F396" t="s">
        <v>3623</v>
      </c>
      <c r="G396" s="1">
        <v>971127.42</v>
      </c>
    </row>
    <row r="397" spans="1:7">
      <c r="A397" t="s">
        <v>492</v>
      </c>
      <c r="B397" s="6">
        <v>45750</v>
      </c>
      <c r="C397" s="6" t="str">
        <f>TEXT(Table3[[#This Row],[transaction_date]], "yyyy-mm")</f>
        <v>2025-04</v>
      </c>
      <c r="D397" t="s">
        <v>95</v>
      </c>
      <c r="E397" t="s">
        <v>3636</v>
      </c>
      <c r="F397" t="s">
        <v>3606</v>
      </c>
      <c r="G397" s="1">
        <v>4417976.34</v>
      </c>
    </row>
    <row r="398" spans="1:7">
      <c r="A398" t="s">
        <v>493</v>
      </c>
      <c r="B398" s="6">
        <v>46016</v>
      </c>
      <c r="C398" s="6" t="str">
        <f>TEXT(Table3[[#This Row],[transaction_date]], "yyyy-mm")</f>
        <v>2025-12</v>
      </c>
      <c r="D398" t="s">
        <v>76</v>
      </c>
      <c r="E398" t="s">
        <v>3636</v>
      </c>
      <c r="F398" t="s">
        <v>3611</v>
      </c>
      <c r="G398" s="1">
        <v>10230601.32</v>
      </c>
    </row>
    <row r="399" spans="1:7">
      <c r="A399" t="s">
        <v>494</v>
      </c>
      <c r="B399" s="6">
        <v>45971</v>
      </c>
      <c r="C399" s="6" t="str">
        <f>TEXT(Table3[[#This Row],[transaction_date]], "yyyy-mm")</f>
        <v>2025-11</v>
      </c>
      <c r="D399" t="s">
        <v>82</v>
      </c>
      <c r="E399" t="s">
        <v>3637</v>
      </c>
      <c r="F399" t="s">
        <v>3623</v>
      </c>
      <c r="G399" s="1">
        <v>13543560.060000001</v>
      </c>
    </row>
    <row r="400" spans="1:7">
      <c r="A400" t="s">
        <v>495</v>
      </c>
      <c r="B400" s="6">
        <v>46013</v>
      </c>
      <c r="C400" s="6" t="str">
        <f>TEXT(Table3[[#This Row],[transaction_date]], "yyyy-mm")</f>
        <v>2025-12</v>
      </c>
      <c r="D400" t="s">
        <v>76</v>
      </c>
      <c r="E400" t="s">
        <v>3637</v>
      </c>
      <c r="F400" t="s">
        <v>3617</v>
      </c>
      <c r="G400" s="1">
        <v>2860382.8</v>
      </c>
    </row>
    <row r="401" spans="1:7">
      <c r="A401" t="s">
        <v>496</v>
      </c>
      <c r="B401" s="6">
        <v>45837</v>
      </c>
      <c r="C401" s="6" t="str">
        <f>TEXT(Table3[[#This Row],[transaction_date]], "yyyy-mm")</f>
        <v>2025-06</v>
      </c>
      <c r="D401" t="s">
        <v>73</v>
      </c>
      <c r="E401" t="s">
        <v>3636</v>
      </c>
      <c r="F401" t="s">
        <v>3611</v>
      </c>
      <c r="G401" s="1">
        <v>3071390.87</v>
      </c>
    </row>
    <row r="402" spans="1:7">
      <c r="A402" t="s">
        <v>497</v>
      </c>
      <c r="B402" s="6">
        <v>45693</v>
      </c>
      <c r="C402" s="6" t="str">
        <f>TEXT(Table3[[#This Row],[transaction_date]], "yyyy-mm")</f>
        <v>2025-02</v>
      </c>
      <c r="D402" t="s">
        <v>95</v>
      </c>
      <c r="E402" t="s">
        <v>3636</v>
      </c>
      <c r="F402" t="s">
        <v>3610</v>
      </c>
      <c r="G402" s="1">
        <v>248839.69</v>
      </c>
    </row>
    <row r="403" spans="1:7">
      <c r="A403" t="s">
        <v>498</v>
      </c>
      <c r="B403" s="6">
        <v>45835</v>
      </c>
      <c r="C403" s="6" t="str">
        <f>TEXT(Table3[[#This Row],[transaction_date]], "yyyy-mm")</f>
        <v>2025-06</v>
      </c>
      <c r="D403" t="s">
        <v>75</v>
      </c>
      <c r="E403" t="s">
        <v>3636</v>
      </c>
      <c r="F403" t="s">
        <v>3608</v>
      </c>
      <c r="G403" s="1">
        <v>8891977.9199999999</v>
      </c>
    </row>
    <row r="404" spans="1:7">
      <c r="A404" t="s">
        <v>499</v>
      </c>
      <c r="B404" s="6">
        <v>45811</v>
      </c>
      <c r="C404" s="6" t="str">
        <f>TEXT(Table3[[#This Row],[transaction_date]], "yyyy-mm")</f>
        <v>2025-06</v>
      </c>
      <c r="D404" t="s">
        <v>73</v>
      </c>
      <c r="E404" t="s">
        <v>3636</v>
      </c>
      <c r="F404" t="s">
        <v>3609</v>
      </c>
      <c r="G404" s="1">
        <v>241065.73</v>
      </c>
    </row>
    <row r="405" spans="1:7">
      <c r="A405" t="s">
        <v>500</v>
      </c>
      <c r="B405" s="6">
        <v>45777</v>
      </c>
      <c r="C405" s="6" t="str">
        <f>TEXT(Table3[[#This Row],[transaction_date]], "yyyy-mm")</f>
        <v>2025-04</v>
      </c>
      <c r="D405" t="s">
        <v>89</v>
      </c>
      <c r="E405" t="s">
        <v>3636</v>
      </c>
      <c r="F405" t="s">
        <v>3611</v>
      </c>
      <c r="G405" s="1">
        <v>149970.64000000001</v>
      </c>
    </row>
    <row r="406" spans="1:7">
      <c r="A406" t="s">
        <v>501</v>
      </c>
      <c r="B406" s="6">
        <v>45836</v>
      </c>
      <c r="C406" s="6" t="str">
        <f>TEXT(Table3[[#This Row],[transaction_date]], "yyyy-mm")</f>
        <v>2025-06</v>
      </c>
      <c r="D406" t="s">
        <v>84</v>
      </c>
      <c r="E406" t="s">
        <v>3636</v>
      </c>
      <c r="F406" t="s">
        <v>3610</v>
      </c>
      <c r="G406" s="1">
        <v>19367855.989999998</v>
      </c>
    </row>
    <row r="407" spans="1:7">
      <c r="A407" t="s">
        <v>502</v>
      </c>
      <c r="B407" s="6">
        <v>46017</v>
      </c>
      <c r="C407" s="6" t="str">
        <f>TEXT(Table3[[#This Row],[transaction_date]], "yyyy-mm")</f>
        <v>2025-12</v>
      </c>
      <c r="D407" t="s">
        <v>78</v>
      </c>
      <c r="E407" t="s">
        <v>3637</v>
      </c>
      <c r="F407" t="s">
        <v>3620</v>
      </c>
      <c r="G407" s="1">
        <v>2268644.63</v>
      </c>
    </row>
    <row r="408" spans="1:7">
      <c r="A408" t="s">
        <v>503</v>
      </c>
      <c r="B408" s="6">
        <v>45978</v>
      </c>
      <c r="C408" s="6" t="str">
        <f>TEXT(Table3[[#This Row],[transaction_date]], "yyyy-mm")</f>
        <v>2025-11</v>
      </c>
      <c r="D408" t="s">
        <v>73</v>
      </c>
      <c r="E408" t="s">
        <v>3637</v>
      </c>
      <c r="F408" t="s">
        <v>3615</v>
      </c>
      <c r="G408" s="1">
        <v>781543.23</v>
      </c>
    </row>
    <row r="409" spans="1:7">
      <c r="A409" t="s">
        <v>504</v>
      </c>
      <c r="B409" s="6">
        <v>45791</v>
      </c>
      <c r="C409" s="6" t="str">
        <f>TEXT(Table3[[#This Row],[transaction_date]], "yyyy-mm")</f>
        <v>2025-05</v>
      </c>
      <c r="D409" t="s">
        <v>79</v>
      </c>
      <c r="E409" t="s">
        <v>3637</v>
      </c>
      <c r="F409" t="s">
        <v>3617</v>
      </c>
      <c r="G409" s="1">
        <v>671521.47</v>
      </c>
    </row>
    <row r="410" spans="1:7">
      <c r="A410" t="s">
        <v>505</v>
      </c>
      <c r="B410" s="6">
        <v>45768</v>
      </c>
      <c r="C410" s="6" t="str">
        <f>TEXT(Table3[[#This Row],[transaction_date]], "yyyy-mm")</f>
        <v>2025-04</v>
      </c>
      <c r="D410" t="s">
        <v>82</v>
      </c>
      <c r="E410" t="s">
        <v>3636</v>
      </c>
      <c r="F410" t="s">
        <v>3611</v>
      </c>
      <c r="G410" s="1">
        <v>8498791.7100000009</v>
      </c>
    </row>
    <row r="411" spans="1:7">
      <c r="A411" t="s">
        <v>506</v>
      </c>
      <c r="B411" s="6">
        <v>45978</v>
      </c>
      <c r="C411" s="6" t="str">
        <f>TEXT(Table3[[#This Row],[transaction_date]], "yyyy-mm")</f>
        <v>2025-11</v>
      </c>
      <c r="D411" t="s">
        <v>84</v>
      </c>
      <c r="E411" t="s">
        <v>3637</v>
      </c>
      <c r="F411" t="s">
        <v>3620</v>
      </c>
      <c r="G411" s="1">
        <v>1941922.29</v>
      </c>
    </row>
    <row r="412" spans="1:7">
      <c r="A412" t="s">
        <v>507</v>
      </c>
      <c r="B412" s="6">
        <v>45782</v>
      </c>
      <c r="C412" s="6" t="str">
        <f>TEXT(Table3[[#This Row],[transaction_date]], "yyyy-mm")</f>
        <v>2025-05</v>
      </c>
      <c r="D412" t="s">
        <v>84</v>
      </c>
      <c r="E412" t="s">
        <v>3637</v>
      </c>
      <c r="F412" t="s">
        <v>3620</v>
      </c>
      <c r="G412" s="1">
        <v>15836013.039999999</v>
      </c>
    </row>
    <row r="413" spans="1:7">
      <c r="A413" t="s">
        <v>508</v>
      </c>
      <c r="B413" s="6">
        <v>45690</v>
      </c>
      <c r="C413" s="6" t="str">
        <f>TEXT(Table3[[#This Row],[transaction_date]], "yyyy-mm")</f>
        <v>2025-02</v>
      </c>
      <c r="D413" t="s">
        <v>75</v>
      </c>
      <c r="E413" t="s">
        <v>3637</v>
      </c>
      <c r="F413" t="s">
        <v>3620</v>
      </c>
      <c r="G413" s="1">
        <v>4479602.42</v>
      </c>
    </row>
    <row r="414" spans="1:7">
      <c r="A414" t="s">
        <v>509</v>
      </c>
      <c r="B414" s="6">
        <v>45957</v>
      </c>
      <c r="C414" s="6" t="str">
        <f>TEXT(Table3[[#This Row],[transaction_date]], "yyyy-mm")</f>
        <v>2025-10</v>
      </c>
      <c r="D414" t="s">
        <v>3597</v>
      </c>
      <c r="E414" t="s">
        <v>3636</v>
      </c>
      <c r="F414" t="s">
        <v>3606</v>
      </c>
      <c r="G414" s="1">
        <v>1302746.92</v>
      </c>
    </row>
    <row r="415" spans="1:7">
      <c r="A415" t="s">
        <v>510</v>
      </c>
      <c r="B415" s="6">
        <v>45953</v>
      </c>
      <c r="C415" s="6" t="str">
        <f>TEXT(Table3[[#This Row],[transaction_date]], "yyyy-mm")</f>
        <v>2025-10</v>
      </c>
      <c r="D415" t="s">
        <v>73</v>
      </c>
      <c r="E415" t="s">
        <v>3636</v>
      </c>
      <c r="F415" t="s">
        <v>3610</v>
      </c>
      <c r="G415" s="1">
        <v>130118.1</v>
      </c>
    </row>
    <row r="416" spans="1:7">
      <c r="A416" t="s">
        <v>511</v>
      </c>
      <c r="B416" s="6">
        <v>45909</v>
      </c>
      <c r="C416" s="6" t="str">
        <f>TEXT(Table3[[#This Row],[transaction_date]], "yyyy-mm")</f>
        <v>2025-09</v>
      </c>
      <c r="D416" t="s">
        <v>89</v>
      </c>
      <c r="E416" t="s">
        <v>3637</v>
      </c>
      <c r="F416" t="s">
        <v>3620</v>
      </c>
      <c r="G416" s="1">
        <v>22590.63</v>
      </c>
    </row>
    <row r="417" spans="1:7">
      <c r="A417" t="s">
        <v>512</v>
      </c>
      <c r="B417" s="6">
        <v>45875</v>
      </c>
      <c r="C417" s="6" t="str">
        <f>TEXT(Table3[[#This Row],[transaction_date]], "yyyy-mm")</f>
        <v>2025-08</v>
      </c>
      <c r="D417" t="s">
        <v>84</v>
      </c>
      <c r="E417" t="s">
        <v>3636</v>
      </c>
      <c r="F417" t="s">
        <v>3606</v>
      </c>
      <c r="G417" s="1">
        <v>21196806.149999999</v>
      </c>
    </row>
    <row r="418" spans="1:7">
      <c r="A418" t="s">
        <v>513</v>
      </c>
      <c r="B418" s="6">
        <v>45842</v>
      </c>
      <c r="C418" s="6" t="str">
        <f>TEXT(Table3[[#This Row],[transaction_date]], "yyyy-mm")</f>
        <v>2025-07</v>
      </c>
      <c r="D418" t="s">
        <v>74</v>
      </c>
      <c r="E418" t="s">
        <v>3636</v>
      </c>
      <c r="F418" t="s">
        <v>3610</v>
      </c>
      <c r="G418" s="1">
        <v>78019.520000000004</v>
      </c>
    </row>
    <row r="419" spans="1:7">
      <c r="A419" t="s">
        <v>514</v>
      </c>
      <c r="B419" s="6">
        <v>45916</v>
      </c>
      <c r="C419" s="6" t="str">
        <f>TEXT(Table3[[#This Row],[transaction_date]], "yyyy-mm")</f>
        <v>2025-09</v>
      </c>
      <c r="D419" t="s">
        <v>82</v>
      </c>
      <c r="E419" t="s">
        <v>3636</v>
      </c>
      <c r="F419" t="s">
        <v>3611</v>
      </c>
      <c r="G419" s="1">
        <v>13014827.84</v>
      </c>
    </row>
    <row r="420" spans="1:7">
      <c r="A420" t="s">
        <v>515</v>
      </c>
      <c r="B420" s="6">
        <v>45700</v>
      </c>
      <c r="C420" s="6" t="str">
        <f>TEXT(Table3[[#This Row],[transaction_date]], "yyyy-mm")</f>
        <v>2025-02</v>
      </c>
      <c r="D420" t="s">
        <v>93</v>
      </c>
      <c r="E420" t="s">
        <v>3636</v>
      </c>
      <c r="F420" t="s">
        <v>3609</v>
      </c>
      <c r="G420" s="1">
        <v>3514531.22</v>
      </c>
    </row>
    <row r="421" spans="1:7">
      <c r="A421" t="s">
        <v>516</v>
      </c>
      <c r="B421" s="6">
        <v>45945</v>
      </c>
      <c r="C421" s="6" t="str">
        <f>TEXT(Table3[[#This Row],[transaction_date]], "yyyy-mm")</f>
        <v>2025-10</v>
      </c>
      <c r="D421" t="s">
        <v>74</v>
      </c>
      <c r="E421" t="s">
        <v>3636</v>
      </c>
      <c r="F421" t="s">
        <v>3607</v>
      </c>
      <c r="G421" s="1">
        <v>258867.12</v>
      </c>
    </row>
    <row r="422" spans="1:7">
      <c r="A422" t="s">
        <v>517</v>
      </c>
      <c r="B422" s="6">
        <v>45792</v>
      </c>
      <c r="C422" s="6" t="str">
        <f>TEXT(Table3[[#This Row],[transaction_date]], "yyyy-mm")</f>
        <v>2025-05</v>
      </c>
      <c r="D422" t="s">
        <v>73</v>
      </c>
      <c r="E422" t="s">
        <v>3636</v>
      </c>
      <c r="F422" t="s">
        <v>3612</v>
      </c>
      <c r="G422" s="1">
        <v>2246508.9700000002</v>
      </c>
    </row>
    <row r="423" spans="1:7">
      <c r="A423" t="s">
        <v>518</v>
      </c>
      <c r="B423" s="6">
        <v>45708</v>
      </c>
      <c r="C423" s="6" t="str">
        <f>TEXT(Table3[[#This Row],[transaction_date]], "yyyy-mm")</f>
        <v>2025-02</v>
      </c>
      <c r="D423" t="s">
        <v>79</v>
      </c>
      <c r="E423" t="s">
        <v>3637</v>
      </c>
      <c r="F423" t="s">
        <v>3623</v>
      </c>
      <c r="G423" s="1">
        <v>6861104.2599999998</v>
      </c>
    </row>
    <row r="424" spans="1:7">
      <c r="A424" t="s">
        <v>519</v>
      </c>
      <c r="B424" s="6">
        <v>45782</v>
      </c>
      <c r="C424" s="6" t="str">
        <f>TEXT(Table3[[#This Row],[transaction_date]], "yyyy-mm")</f>
        <v>2025-05</v>
      </c>
      <c r="D424" t="s">
        <v>78</v>
      </c>
      <c r="E424" t="s">
        <v>3636</v>
      </c>
      <c r="F424" t="s">
        <v>3609</v>
      </c>
      <c r="G424" s="1">
        <v>906783.19</v>
      </c>
    </row>
    <row r="425" spans="1:7">
      <c r="A425" t="s">
        <v>520</v>
      </c>
      <c r="B425" s="6">
        <v>45945</v>
      </c>
      <c r="C425" s="6" t="str">
        <f>TEXT(Table3[[#This Row],[transaction_date]], "yyyy-mm")</f>
        <v>2025-10</v>
      </c>
      <c r="D425" t="s">
        <v>78</v>
      </c>
      <c r="E425" t="s">
        <v>3637</v>
      </c>
      <c r="F425" t="s">
        <v>3621</v>
      </c>
      <c r="G425" s="1">
        <v>3267240.95</v>
      </c>
    </row>
    <row r="426" spans="1:7">
      <c r="A426" t="s">
        <v>521</v>
      </c>
      <c r="B426" s="6">
        <v>45921</v>
      </c>
      <c r="C426" s="6" t="str">
        <f>TEXT(Table3[[#This Row],[transaction_date]], "yyyy-mm")</f>
        <v>2025-09</v>
      </c>
      <c r="D426" t="s">
        <v>79</v>
      </c>
      <c r="E426" t="s">
        <v>3637</v>
      </c>
      <c r="F426" t="s">
        <v>3620</v>
      </c>
      <c r="G426" s="1">
        <v>1102431.6200000001</v>
      </c>
    </row>
    <row r="427" spans="1:7">
      <c r="A427" t="s">
        <v>522</v>
      </c>
      <c r="B427" s="6">
        <v>45720</v>
      </c>
      <c r="C427" s="6" t="str">
        <f>TEXT(Table3[[#This Row],[transaction_date]], "yyyy-mm")</f>
        <v>2025-03</v>
      </c>
      <c r="D427" t="s">
        <v>89</v>
      </c>
      <c r="E427" t="s">
        <v>3637</v>
      </c>
      <c r="F427" t="s">
        <v>3618</v>
      </c>
      <c r="G427" s="1">
        <v>1283519.47</v>
      </c>
    </row>
    <row r="428" spans="1:7">
      <c r="A428" t="s">
        <v>523</v>
      </c>
      <c r="B428" s="6">
        <v>45758</v>
      </c>
      <c r="C428" s="6" t="str">
        <f>TEXT(Table3[[#This Row],[transaction_date]], "yyyy-mm")</f>
        <v>2025-04</v>
      </c>
      <c r="D428" t="s">
        <v>79</v>
      </c>
      <c r="E428" t="s">
        <v>3636</v>
      </c>
      <c r="F428" t="s">
        <v>3605</v>
      </c>
      <c r="G428" s="1">
        <v>432591.84</v>
      </c>
    </row>
    <row r="429" spans="1:7">
      <c r="A429" t="s">
        <v>524</v>
      </c>
      <c r="B429" s="6">
        <v>46003</v>
      </c>
      <c r="C429" s="6" t="str">
        <f>TEXT(Table3[[#This Row],[transaction_date]], "yyyy-mm")</f>
        <v>2025-12</v>
      </c>
      <c r="D429" t="s">
        <v>84</v>
      </c>
      <c r="E429" t="s">
        <v>3637</v>
      </c>
      <c r="F429" t="s">
        <v>3620</v>
      </c>
      <c r="G429" s="1">
        <v>9873184.9700000007</v>
      </c>
    </row>
    <row r="430" spans="1:7">
      <c r="A430" t="s">
        <v>525</v>
      </c>
      <c r="B430" s="6">
        <v>45733</v>
      </c>
      <c r="C430" s="6" t="str">
        <f>TEXT(Table3[[#This Row],[transaction_date]], "yyyy-mm")</f>
        <v>2025-03</v>
      </c>
      <c r="D430" t="s">
        <v>77</v>
      </c>
      <c r="E430" t="s">
        <v>3636</v>
      </c>
      <c r="F430" t="s">
        <v>3609</v>
      </c>
      <c r="G430" s="1">
        <v>81035.91</v>
      </c>
    </row>
    <row r="431" spans="1:7">
      <c r="A431" t="s">
        <v>526</v>
      </c>
      <c r="B431" s="6">
        <v>45838</v>
      </c>
      <c r="C431" s="6" t="str">
        <f>TEXT(Table3[[#This Row],[transaction_date]], "yyyy-mm")</f>
        <v>2025-06</v>
      </c>
      <c r="D431" t="s">
        <v>78</v>
      </c>
      <c r="E431" t="s">
        <v>3636</v>
      </c>
      <c r="F431" t="s">
        <v>3609</v>
      </c>
      <c r="G431" s="1">
        <v>1768244.94</v>
      </c>
    </row>
    <row r="432" spans="1:7">
      <c r="A432" t="s">
        <v>527</v>
      </c>
      <c r="B432" s="6">
        <v>45994</v>
      </c>
      <c r="C432" s="6" t="str">
        <f>TEXT(Table3[[#This Row],[transaction_date]], "yyyy-mm")</f>
        <v>2025-12</v>
      </c>
      <c r="D432" t="s">
        <v>77</v>
      </c>
      <c r="E432" t="s">
        <v>3636</v>
      </c>
      <c r="F432" t="s">
        <v>3613</v>
      </c>
      <c r="G432" s="1">
        <v>8323772.7599999998</v>
      </c>
    </row>
    <row r="433" spans="1:7">
      <c r="A433" t="s">
        <v>528</v>
      </c>
      <c r="B433" s="6">
        <v>45749</v>
      </c>
      <c r="C433" s="6" t="str">
        <f>TEXT(Table3[[#This Row],[transaction_date]], "yyyy-mm")</f>
        <v>2025-04</v>
      </c>
      <c r="D433" t="s">
        <v>75</v>
      </c>
      <c r="E433" t="s">
        <v>3636</v>
      </c>
      <c r="F433" t="s">
        <v>3613</v>
      </c>
      <c r="G433" s="1">
        <v>20740706.93</v>
      </c>
    </row>
    <row r="434" spans="1:7">
      <c r="A434" t="s">
        <v>529</v>
      </c>
      <c r="B434" s="6">
        <v>45782</v>
      </c>
      <c r="C434" s="6" t="str">
        <f>TEXT(Table3[[#This Row],[transaction_date]], "yyyy-mm")</f>
        <v>2025-05</v>
      </c>
      <c r="D434" t="s">
        <v>78</v>
      </c>
      <c r="E434" t="s">
        <v>3636</v>
      </c>
      <c r="F434" t="s">
        <v>3608</v>
      </c>
      <c r="G434" s="1">
        <v>2152641.6800000002</v>
      </c>
    </row>
    <row r="435" spans="1:7">
      <c r="A435" t="s">
        <v>530</v>
      </c>
      <c r="B435" s="6">
        <v>45884</v>
      </c>
      <c r="C435" s="6" t="str">
        <f>TEXT(Table3[[#This Row],[transaction_date]], "yyyy-mm")</f>
        <v>2025-08</v>
      </c>
      <c r="D435" t="s">
        <v>78</v>
      </c>
      <c r="E435" t="s">
        <v>3637</v>
      </c>
      <c r="F435" t="s">
        <v>3620</v>
      </c>
      <c r="G435" s="1">
        <v>1599342.71</v>
      </c>
    </row>
    <row r="436" spans="1:7">
      <c r="A436" t="s">
        <v>531</v>
      </c>
      <c r="B436" s="6">
        <v>45816</v>
      </c>
      <c r="C436" s="6" t="str">
        <f>TEXT(Table3[[#This Row],[transaction_date]], "yyyy-mm")</f>
        <v>2025-06</v>
      </c>
      <c r="D436" t="s">
        <v>90</v>
      </c>
      <c r="E436" t="s">
        <v>3637</v>
      </c>
      <c r="F436" t="s">
        <v>3622</v>
      </c>
      <c r="G436" s="1">
        <v>2354346.7000000002</v>
      </c>
    </row>
    <row r="437" spans="1:7">
      <c r="A437" t="s">
        <v>532</v>
      </c>
      <c r="B437" s="6">
        <v>45877</v>
      </c>
      <c r="C437" s="6" t="str">
        <f>TEXT(Table3[[#This Row],[transaction_date]], "yyyy-mm")</f>
        <v>2025-08</v>
      </c>
      <c r="D437" t="s">
        <v>77</v>
      </c>
      <c r="E437" t="s">
        <v>3637</v>
      </c>
      <c r="F437" t="s">
        <v>3622</v>
      </c>
      <c r="G437" s="1">
        <v>8203088.9100000001</v>
      </c>
    </row>
    <row r="438" spans="1:7">
      <c r="A438" t="s">
        <v>533</v>
      </c>
      <c r="B438" s="6">
        <v>45895</v>
      </c>
      <c r="C438" s="6" t="str">
        <f>TEXT(Table3[[#This Row],[transaction_date]], "yyyy-mm")</f>
        <v>2025-08</v>
      </c>
      <c r="D438" t="s">
        <v>73</v>
      </c>
      <c r="E438" t="s">
        <v>3637</v>
      </c>
      <c r="F438" t="s">
        <v>3617</v>
      </c>
      <c r="G438" s="1">
        <v>485419.47</v>
      </c>
    </row>
    <row r="439" spans="1:7">
      <c r="A439" t="s">
        <v>534</v>
      </c>
      <c r="B439" s="6">
        <v>45722</v>
      </c>
      <c r="C439" s="6" t="str">
        <f>TEXT(Table3[[#This Row],[transaction_date]], "yyyy-mm")</f>
        <v>2025-03</v>
      </c>
      <c r="D439" t="s">
        <v>89</v>
      </c>
      <c r="E439" t="s">
        <v>3636</v>
      </c>
      <c r="F439" t="s">
        <v>3609</v>
      </c>
      <c r="G439" s="1">
        <v>525407.05000000005</v>
      </c>
    </row>
    <row r="440" spans="1:7">
      <c r="A440" t="s">
        <v>535</v>
      </c>
      <c r="B440" s="6">
        <v>45808</v>
      </c>
      <c r="C440" s="6" t="str">
        <f>TEXT(Table3[[#This Row],[transaction_date]], "yyyy-mm")</f>
        <v>2025-05</v>
      </c>
      <c r="D440" t="s">
        <v>78</v>
      </c>
      <c r="E440" t="s">
        <v>3637</v>
      </c>
      <c r="F440" t="s">
        <v>3621</v>
      </c>
      <c r="G440" s="1">
        <v>397437.14</v>
      </c>
    </row>
    <row r="441" spans="1:7">
      <c r="A441" t="s">
        <v>536</v>
      </c>
      <c r="B441" s="6">
        <v>45849</v>
      </c>
      <c r="C441" s="6" t="str">
        <f>TEXT(Table3[[#This Row],[transaction_date]], "yyyy-mm")</f>
        <v>2025-07</v>
      </c>
      <c r="D441" t="s">
        <v>74</v>
      </c>
      <c r="E441" t="s">
        <v>3637</v>
      </c>
      <c r="F441" t="s">
        <v>3621</v>
      </c>
      <c r="G441" s="1">
        <v>286239.15000000002</v>
      </c>
    </row>
    <row r="442" spans="1:7">
      <c r="A442" t="s">
        <v>537</v>
      </c>
      <c r="B442" s="6">
        <v>45757</v>
      </c>
      <c r="C442" s="6" t="str">
        <f>TEXT(Table3[[#This Row],[transaction_date]], "yyyy-mm")</f>
        <v>2025-04</v>
      </c>
      <c r="D442" t="s">
        <v>93</v>
      </c>
      <c r="E442" t="s">
        <v>3636</v>
      </c>
      <c r="F442" t="s">
        <v>3607</v>
      </c>
      <c r="G442" s="1">
        <v>3755728.79</v>
      </c>
    </row>
    <row r="443" spans="1:7">
      <c r="A443" t="s">
        <v>538</v>
      </c>
      <c r="B443" s="6">
        <v>45680</v>
      </c>
      <c r="C443" s="6" t="str">
        <f>TEXT(Table3[[#This Row],[transaction_date]], "yyyy-mm")</f>
        <v>2025-01</v>
      </c>
      <c r="D443" t="s">
        <v>74</v>
      </c>
      <c r="E443" t="s">
        <v>3637</v>
      </c>
      <c r="F443" t="s">
        <v>3616</v>
      </c>
      <c r="G443" s="1">
        <v>134116.26999999999</v>
      </c>
    </row>
    <row r="444" spans="1:7">
      <c r="A444" t="s">
        <v>539</v>
      </c>
      <c r="B444" s="6">
        <v>45924</v>
      </c>
      <c r="C444" s="6" t="str">
        <f>TEXT(Table3[[#This Row],[transaction_date]], "yyyy-mm")</f>
        <v>2025-09</v>
      </c>
      <c r="D444" t="s">
        <v>73</v>
      </c>
      <c r="E444" t="s">
        <v>3637</v>
      </c>
      <c r="F444" t="s">
        <v>3622</v>
      </c>
      <c r="G444" s="1">
        <v>24926.080000000002</v>
      </c>
    </row>
    <row r="445" spans="1:7">
      <c r="A445" t="s">
        <v>540</v>
      </c>
      <c r="B445" s="6">
        <v>45887</v>
      </c>
      <c r="C445" s="6" t="str">
        <f>TEXT(Table3[[#This Row],[transaction_date]], "yyyy-mm")</f>
        <v>2025-08</v>
      </c>
      <c r="D445" t="s">
        <v>3597</v>
      </c>
      <c r="E445" t="s">
        <v>3637</v>
      </c>
      <c r="F445" t="s">
        <v>3614</v>
      </c>
      <c r="G445" s="1">
        <v>5705563.3799999999</v>
      </c>
    </row>
    <row r="446" spans="1:7">
      <c r="A446" t="s">
        <v>541</v>
      </c>
      <c r="B446" s="6">
        <v>45795</v>
      </c>
      <c r="C446" s="6" t="str">
        <f>TEXT(Table3[[#This Row],[transaction_date]], "yyyy-mm")</f>
        <v>2025-05</v>
      </c>
      <c r="D446" t="s">
        <v>73</v>
      </c>
      <c r="E446" t="s">
        <v>3636</v>
      </c>
      <c r="F446" t="s">
        <v>3605</v>
      </c>
      <c r="G446" s="1">
        <v>467519.79</v>
      </c>
    </row>
    <row r="447" spans="1:7">
      <c r="A447" t="s">
        <v>542</v>
      </c>
      <c r="B447" s="6">
        <v>45840</v>
      </c>
      <c r="C447" s="6" t="str">
        <f>TEXT(Table3[[#This Row],[transaction_date]], "yyyy-mm")</f>
        <v>2025-07</v>
      </c>
      <c r="D447" t="s">
        <v>79</v>
      </c>
      <c r="E447" t="s">
        <v>3637</v>
      </c>
      <c r="F447" t="s">
        <v>3623</v>
      </c>
      <c r="G447" s="1">
        <v>4517932.5199999996</v>
      </c>
    </row>
    <row r="448" spans="1:7">
      <c r="A448" t="s">
        <v>543</v>
      </c>
      <c r="B448" s="6">
        <v>45893</v>
      </c>
      <c r="C448" s="6" t="str">
        <f>TEXT(Table3[[#This Row],[transaction_date]], "yyyy-mm")</f>
        <v>2025-08</v>
      </c>
      <c r="D448" t="s">
        <v>3597</v>
      </c>
      <c r="E448" t="s">
        <v>3637</v>
      </c>
      <c r="F448" t="s">
        <v>3620</v>
      </c>
      <c r="G448" s="1">
        <v>1917133.16</v>
      </c>
    </row>
    <row r="449" spans="1:7">
      <c r="A449" t="s">
        <v>544</v>
      </c>
      <c r="B449" s="6">
        <v>45760</v>
      </c>
      <c r="C449" s="6" t="str">
        <f>TEXT(Table3[[#This Row],[transaction_date]], "yyyy-mm")</f>
        <v>2025-04</v>
      </c>
      <c r="D449" t="s">
        <v>78</v>
      </c>
      <c r="E449" t="s">
        <v>3636</v>
      </c>
      <c r="F449" t="s">
        <v>3612</v>
      </c>
      <c r="G449" s="1">
        <v>7942447.6399999997</v>
      </c>
    </row>
    <row r="450" spans="1:7">
      <c r="A450" t="s">
        <v>545</v>
      </c>
      <c r="B450" s="6">
        <v>45701</v>
      </c>
      <c r="C450" s="6" t="str">
        <f>TEXT(Table3[[#This Row],[transaction_date]], "yyyy-mm")</f>
        <v>2025-02</v>
      </c>
      <c r="D450" t="s">
        <v>90</v>
      </c>
      <c r="E450" t="s">
        <v>3637</v>
      </c>
      <c r="F450" t="s">
        <v>3623</v>
      </c>
      <c r="G450" s="1">
        <v>18291618.859999999</v>
      </c>
    </row>
    <row r="451" spans="1:7">
      <c r="A451" t="s">
        <v>546</v>
      </c>
      <c r="B451" s="6">
        <v>45900</v>
      </c>
      <c r="C451" s="6" t="str">
        <f>TEXT(Table3[[#This Row],[transaction_date]], "yyyy-mm")</f>
        <v>2025-08</v>
      </c>
      <c r="D451" t="s">
        <v>78</v>
      </c>
      <c r="E451" t="s">
        <v>3636</v>
      </c>
      <c r="F451" t="s">
        <v>3604</v>
      </c>
      <c r="G451" s="1">
        <v>3538930.74</v>
      </c>
    </row>
    <row r="452" spans="1:7">
      <c r="A452" t="s">
        <v>547</v>
      </c>
      <c r="B452" s="6">
        <v>45887</v>
      </c>
      <c r="C452" s="6" t="str">
        <f>TEXT(Table3[[#This Row],[transaction_date]], "yyyy-mm")</f>
        <v>2025-08</v>
      </c>
      <c r="D452" t="s">
        <v>85</v>
      </c>
      <c r="E452" t="s">
        <v>3636</v>
      </c>
      <c r="F452" t="s">
        <v>3612</v>
      </c>
      <c r="G452" s="1">
        <v>206065.73</v>
      </c>
    </row>
    <row r="453" spans="1:7">
      <c r="A453" t="s">
        <v>548</v>
      </c>
      <c r="B453" s="6">
        <v>45942</v>
      </c>
      <c r="C453" s="6" t="str">
        <f>TEXT(Table3[[#This Row],[transaction_date]], "yyyy-mm")</f>
        <v>2025-10</v>
      </c>
      <c r="D453" t="s">
        <v>84</v>
      </c>
      <c r="E453" t="s">
        <v>3636</v>
      </c>
      <c r="F453" t="s">
        <v>3606</v>
      </c>
      <c r="G453" s="1">
        <v>9817403.3399999999</v>
      </c>
    </row>
    <row r="454" spans="1:7">
      <c r="A454" t="s">
        <v>549</v>
      </c>
      <c r="B454" s="6">
        <v>45813</v>
      </c>
      <c r="C454" s="6" t="str">
        <f>TEXT(Table3[[#This Row],[transaction_date]], "yyyy-mm")</f>
        <v>2025-06</v>
      </c>
      <c r="D454" t="s">
        <v>76</v>
      </c>
      <c r="E454" t="s">
        <v>3636</v>
      </c>
      <c r="F454" t="s">
        <v>3611</v>
      </c>
      <c r="G454" s="1">
        <v>13671525.09</v>
      </c>
    </row>
    <row r="455" spans="1:7">
      <c r="A455" t="s">
        <v>550</v>
      </c>
      <c r="B455" s="6">
        <v>45734</v>
      </c>
      <c r="C455" s="6" t="str">
        <f>TEXT(Table3[[#This Row],[transaction_date]], "yyyy-mm")</f>
        <v>2025-03</v>
      </c>
      <c r="D455" t="s">
        <v>79</v>
      </c>
      <c r="E455" t="s">
        <v>3637</v>
      </c>
      <c r="F455" t="s">
        <v>3620</v>
      </c>
      <c r="G455" s="1">
        <v>4679528.0999999996</v>
      </c>
    </row>
    <row r="456" spans="1:7">
      <c r="A456" t="s">
        <v>551</v>
      </c>
      <c r="B456" s="6">
        <v>45985</v>
      </c>
      <c r="C456" s="6" t="str">
        <f>TEXT(Table3[[#This Row],[transaction_date]], "yyyy-mm")</f>
        <v>2025-11</v>
      </c>
      <c r="D456" t="s">
        <v>3597</v>
      </c>
      <c r="E456" t="s">
        <v>3636</v>
      </c>
      <c r="F456" t="s">
        <v>3613</v>
      </c>
      <c r="G456" s="1">
        <v>14023892.390000001</v>
      </c>
    </row>
    <row r="457" spans="1:7">
      <c r="A457" t="s">
        <v>552</v>
      </c>
      <c r="B457" s="6">
        <v>45692</v>
      </c>
      <c r="C457" s="6" t="str">
        <f>TEXT(Table3[[#This Row],[transaction_date]], "yyyy-mm")</f>
        <v>2025-02</v>
      </c>
      <c r="D457" t="s">
        <v>74</v>
      </c>
      <c r="E457" t="s">
        <v>3637</v>
      </c>
      <c r="F457" t="s">
        <v>3616</v>
      </c>
      <c r="G457" s="1">
        <v>133901.62</v>
      </c>
    </row>
    <row r="458" spans="1:7">
      <c r="A458" t="s">
        <v>553</v>
      </c>
      <c r="B458" s="6">
        <v>45818</v>
      </c>
      <c r="C458" s="6" t="str">
        <f>TEXT(Table3[[#This Row],[transaction_date]], "yyyy-mm")</f>
        <v>2025-06</v>
      </c>
      <c r="D458" t="s">
        <v>93</v>
      </c>
      <c r="E458" t="s">
        <v>3636</v>
      </c>
      <c r="F458" t="s">
        <v>3609</v>
      </c>
      <c r="G458" s="1">
        <v>812440.55</v>
      </c>
    </row>
    <row r="459" spans="1:7">
      <c r="A459" t="s">
        <v>554</v>
      </c>
      <c r="B459" s="6">
        <v>45963</v>
      </c>
      <c r="C459" s="6" t="str">
        <f>TEXT(Table3[[#This Row],[transaction_date]], "yyyy-mm")</f>
        <v>2025-11</v>
      </c>
      <c r="D459" t="s">
        <v>93</v>
      </c>
      <c r="E459" t="s">
        <v>3636</v>
      </c>
      <c r="F459" t="s">
        <v>3608</v>
      </c>
      <c r="G459" s="1">
        <v>1062933.3700000001</v>
      </c>
    </row>
    <row r="460" spans="1:7">
      <c r="A460" t="s">
        <v>555</v>
      </c>
      <c r="B460" s="6">
        <v>45801</v>
      </c>
      <c r="C460" s="6" t="str">
        <f>TEXT(Table3[[#This Row],[transaction_date]], "yyyy-mm")</f>
        <v>2025-05</v>
      </c>
      <c r="D460" t="s">
        <v>95</v>
      </c>
      <c r="E460" t="s">
        <v>3636</v>
      </c>
      <c r="F460" t="s">
        <v>3604</v>
      </c>
      <c r="G460" s="1">
        <v>17530.79</v>
      </c>
    </row>
    <row r="461" spans="1:7">
      <c r="A461" t="s">
        <v>556</v>
      </c>
      <c r="B461" s="6">
        <v>45912</v>
      </c>
      <c r="C461" s="6" t="str">
        <f>TEXT(Table3[[#This Row],[transaction_date]], "yyyy-mm")</f>
        <v>2025-09</v>
      </c>
      <c r="D461" t="s">
        <v>85</v>
      </c>
      <c r="E461" t="s">
        <v>3637</v>
      </c>
      <c r="F461" t="s">
        <v>3614</v>
      </c>
      <c r="G461" s="1">
        <v>3282720.71</v>
      </c>
    </row>
    <row r="462" spans="1:7">
      <c r="A462" t="s">
        <v>557</v>
      </c>
      <c r="B462" s="6">
        <v>45888</v>
      </c>
      <c r="C462" s="6" t="str">
        <f>TEXT(Table3[[#This Row],[transaction_date]], "yyyy-mm")</f>
        <v>2025-08</v>
      </c>
      <c r="D462" t="s">
        <v>73</v>
      </c>
      <c r="E462" t="s">
        <v>3637</v>
      </c>
      <c r="F462" t="s">
        <v>3621</v>
      </c>
      <c r="G462" s="1">
        <v>449336.62</v>
      </c>
    </row>
    <row r="463" spans="1:7">
      <c r="A463" t="s">
        <v>558</v>
      </c>
      <c r="B463" s="6">
        <v>45740</v>
      </c>
      <c r="C463" s="6" t="str">
        <f>TEXT(Table3[[#This Row],[transaction_date]], "yyyy-mm")</f>
        <v>2025-03</v>
      </c>
      <c r="D463" t="s">
        <v>89</v>
      </c>
      <c r="E463" t="s">
        <v>3636</v>
      </c>
      <c r="F463" t="s">
        <v>3607</v>
      </c>
      <c r="G463" s="1">
        <v>425106.87</v>
      </c>
    </row>
    <row r="464" spans="1:7">
      <c r="A464" t="s">
        <v>559</v>
      </c>
      <c r="B464" s="6">
        <v>45871</v>
      </c>
      <c r="C464" s="6" t="str">
        <f>TEXT(Table3[[#This Row],[transaction_date]], "yyyy-mm")</f>
        <v>2025-08</v>
      </c>
      <c r="D464" t="s">
        <v>89</v>
      </c>
      <c r="E464" t="s">
        <v>3637</v>
      </c>
      <c r="F464" t="s">
        <v>3623</v>
      </c>
      <c r="G464" s="1">
        <v>34570.31</v>
      </c>
    </row>
    <row r="465" spans="1:7">
      <c r="A465" t="s">
        <v>560</v>
      </c>
      <c r="B465" s="6">
        <v>45874</v>
      </c>
      <c r="C465" s="6" t="str">
        <f>TEXT(Table3[[#This Row],[transaction_date]], "yyyy-mm")</f>
        <v>2025-08</v>
      </c>
      <c r="D465" t="s">
        <v>79</v>
      </c>
      <c r="E465" t="s">
        <v>3636</v>
      </c>
      <c r="F465" t="s">
        <v>3605</v>
      </c>
      <c r="G465" s="1">
        <v>2396294.02</v>
      </c>
    </row>
    <row r="466" spans="1:7">
      <c r="A466" t="s">
        <v>561</v>
      </c>
      <c r="B466" s="6">
        <v>45683</v>
      </c>
      <c r="C466" s="6" t="str">
        <f>TEXT(Table3[[#This Row],[transaction_date]], "yyyy-mm")</f>
        <v>2025-01</v>
      </c>
      <c r="D466" t="s">
        <v>76</v>
      </c>
      <c r="E466" t="s">
        <v>3637</v>
      </c>
      <c r="F466" t="s">
        <v>3619</v>
      </c>
      <c r="G466" s="1">
        <v>7088073.4299999997</v>
      </c>
    </row>
    <row r="467" spans="1:7">
      <c r="A467" t="s">
        <v>562</v>
      </c>
      <c r="B467" s="6">
        <v>45904</v>
      </c>
      <c r="C467" s="6" t="str">
        <f>TEXT(Table3[[#This Row],[transaction_date]], "yyyy-mm")</f>
        <v>2025-09</v>
      </c>
      <c r="D467" t="s">
        <v>76</v>
      </c>
      <c r="E467" t="s">
        <v>3636</v>
      </c>
      <c r="F467" t="s">
        <v>3609</v>
      </c>
      <c r="G467" s="1">
        <v>6526403.5599999996</v>
      </c>
    </row>
    <row r="468" spans="1:7">
      <c r="A468" t="s">
        <v>563</v>
      </c>
      <c r="B468" s="6">
        <v>45694</v>
      </c>
      <c r="C468" s="6" t="str">
        <f>TEXT(Table3[[#This Row],[transaction_date]], "yyyy-mm")</f>
        <v>2025-02</v>
      </c>
      <c r="D468" t="s">
        <v>74</v>
      </c>
      <c r="E468" t="s">
        <v>3637</v>
      </c>
      <c r="F468" t="s">
        <v>3621</v>
      </c>
      <c r="G468" s="1">
        <v>290709.42</v>
      </c>
    </row>
    <row r="469" spans="1:7">
      <c r="A469" t="s">
        <v>564</v>
      </c>
      <c r="B469" s="6">
        <v>45781</v>
      </c>
      <c r="C469" s="6" t="str">
        <f>TEXT(Table3[[#This Row],[transaction_date]], "yyyy-mm")</f>
        <v>2025-05</v>
      </c>
      <c r="D469" t="s">
        <v>74</v>
      </c>
      <c r="E469" t="s">
        <v>3637</v>
      </c>
      <c r="F469" t="s">
        <v>3620</v>
      </c>
      <c r="G469" s="1">
        <v>1235899.53</v>
      </c>
    </row>
    <row r="470" spans="1:7">
      <c r="A470" t="s">
        <v>565</v>
      </c>
      <c r="B470" s="6">
        <v>45965</v>
      </c>
      <c r="C470" s="6" t="str">
        <f>TEXT(Table3[[#This Row],[transaction_date]], "yyyy-mm")</f>
        <v>2025-11</v>
      </c>
      <c r="D470" t="s">
        <v>84</v>
      </c>
      <c r="E470" t="s">
        <v>3636</v>
      </c>
      <c r="F470" t="s">
        <v>3606</v>
      </c>
      <c r="G470" s="1">
        <v>8098363.7300000004</v>
      </c>
    </row>
    <row r="471" spans="1:7">
      <c r="A471" t="s">
        <v>566</v>
      </c>
      <c r="B471" s="6">
        <v>45944</v>
      </c>
      <c r="C471" s="6" t="str">
        <f>TEXT(Table3[[#This Row],[transaction_date]], "yyyy-mm")</f>
        <v>2025-10</v>
      </c>
      <c r="D471" t="s">
        <v>75</v>
      </c>
      <c r="E471" t="s">
        <v>3637</v>
      </c>
      <c r="F471" t="s">
        <v>3622</v>
      </c>
      <c r="G471" s="1">
        <v>14103595.640000001</v>
      </c>
    </row>
    <row r="472" spans="1:7">
      <c r="A472" t="s">
        <v>567</v>
      </c>
      <c r="B472" s="6">
        <v>45794</v>
      </c>
      <c r="C472" s="6" t="str">
        <f>TEXT(Table3[[#This Row],[transaction_date]], "yyyy-mm")</f>
        <v>2025-05</v>
      </c>
      <c r="D472" t="s">
        <v>73</v>
      </c>
      <c r="E472" t="s">
        <v>3636</v>
      </c>
      <c r="F472" t="s">
        <v>3607</v>
      </c>
      <c r="G472" s="1">
        <v>1107709.5</v>
      </c>
    </row>
    <row r="473" spans="1:7">
      <c r="A473" t="s">
        <v>568</v>
      </c>
      <c r="B473" s="6">
        <v>46012</v>
      </c>
      <c r="C473" s="6" t="str">
        <f>TEXT(Table3[[#This Row],[transaction_date]], "yyyy-mm")</f>
        <v>2025-12</v>
      </c>
      <c r="D473" t="s">
        <v>74</v>
      </c>
      <c r="E473" t="s">
        <v>3636</v>
      </c>
      <c r="F473" t="s">
        <v>3610</v>
      </c>
      <c r="G473" s="1">
        <v>167919.56</v>
      </c>
    </row>
    <row r="474" spans="1:7">
      <c r="A474" t="s">
        <v>569</v>
      </c>
      <c r="B474" s="6">
        <v>45746</v>
      </c>
      <c r="C474" s="6" t="str">
        <f>TEXT(Table3[[#This Row],[transaction_date]], "yyyy-mm")</f>
        <v>2025-03</v>
      </c>
      <c r="D474" t="s">
        <v>84</v>
      </c>
      <c r="E474" t="s">
        <v>3636</v>
      </c>
      <c r="F474" t="s">
        <v>3606</v>
      </c>
      <c r="G474" s="1">
        <v>2803643.86</v>
      </c>
    </row>
    <row r="475" spans="1:7">
      <c r="A475" t="s">
        <v>570</v>
      </c>
      <c r="B475" s="6">
        <v>45908</v>
      </c>
      <c r="C475" s="6" t="str">
        <f>TEXT(Table3[[#This Row],[transaction_date]], "yyyy-mm")</f>
        <v>2025-09</v>
      </c>
      <c r="D475" t="s">
        <v>90</v>
      </c>
      <c r="E475" t="s">
        <v>3636</v>
      </c>
      <c r="F475" t="s">
        <v>3612</v>
      </c>
      <c r="G475" s="1">
        <v>2943181.17</v>
      </c>
    </row>
    <row r="476" spans="1:7">
      <c r="A476" t="s">
        <v>571</v>
      </c>
      <c r="B476" s="6">
        <v>45843</v>
      </c>
      <c r="C476" s="6" t="str">
        <f>TEXT(Table3[[#This Row],[transaction_date]], "yyyy-mm")</f>
        <v>2025-07</v>
      </c>
      <c r="D476" t="s">
        <v>89</v>
      </c>
      <c r="E476" t="s">
        <v>3636</v>
      </c>
      <c r="F476" t="s">
        <v>3611</v>
      </c>
      <c r="G476" s="1">
        <v>2550144.8199999998</v>
      </c>
    </row>
    <row r="477" spans="1:7">
      <c r="A477" t="s">
        <v>572</v>
      </c>
      <c r="B477" s="6">
        <v>45708</v>
      </c>
      <c r="C477" s="6" t="str">
        <f>TEXT(Table3[[#This Row],[transaction_date]], "yyyy-mm")</f>
        <v>2025-02</v>
      </c>
      <c r="D477" t="s">
        <v>78</v>
      </c>
      <c r="E477" t="s">
        <v>3637</v>
      </c>
      <c r="F477" t="s">
        <v>3622</v>
      </c>
      <c r="G477" s="1">
        <v>608035.31999999995</v>
      </c>
    </row>
    <row r="478" spans="1:7">
      <c r="A478" t="s">
        <v>573</v>
      </c>
      <c r="B478" s="6">
        <v>45658</v>
      </c>
      <c r="C478" s="6" t="str">
        <f>TEXT(Table3[[#This Row],[transaction_date]], "yyyy-mm")</f>
        <v>2025-01</v>
      </c>
      <c r="D478" t="s">
        <v>93</v>
      </c>
      <c r="E478" t="s">
        <v>3637</v>
      </c>
      <c r="F478" t="s">
        <v>3623</v>
      </c>
      <c r="G478" s="1">
        <v>4130857.65</v>
      </c>
    </row>
    <row r="479" spans="1:7">
      <c r="A479" t="s">
        <v>574</v>
      </c>
      <c r="B479" s="6">
        <v>45893</v>
      </c>
      <c r="C479" s="6" t="str">
        <f>TEXT(Table3[[#This Row],[transaction_date]], "yyyy-mm")</f>
        <v>2025-08</v>
      </c>
      <c r="D479" t="s">
        <v>80</v>
      </c>
      <c r="E479" t="s">
        <v>3636</v>
      </c>
      <c r="F479" t="s">
        <v>3607</v>
      </c>
      <c r="G479" s="1">
        <v>4394024.32</v>
      </c>
    </row>
    <row r="480" spans="1:7">
      <c r="A480" t="s">
        <v>575</v>
      </c>
      <c r="B480" s="6">
        <v>45745</v>
      </c>
      <c r="C480" s="6" t="str">
        <f>TEXT(Table3[[#This Row],[transaction_date]], "yyyy-mm")</f>
        <v>2025-03</v>
      </c>
      <c r="D480" t="s">
        <v>93</v>
      </c>
      <c r="E480" t="s">
        <v>3637</v>
      </c>
      <c r="F480" t="s">
        <v>3623</v>
      </c>
      <c r="G480" s="1">
        <v>809210.44</v>
      </c>
    </row>
    <row r="481" spans="1:7">
      <c r="A481" t="s">
        <v>576</v>
      </c>
      <c r="B481" s="6">
        <v>45983</v>
      </c>
      <c r="C481" s="6" t="str">
        <f>TEXT(Table3[[#This Row],[transaction_date]], "yyyy-mm")</f>
        <v>2025-11</v>
      </c>
      <c r="D481" t="s">
        <v>84</v>
      </c>
      <c r="E481" t="s">
        <v>3636</v>
      </c>
      <c r="F481" t="s">
        <v>3605</v>
      </c>
      <c r="G481" s="1">
        <v>95740.59</v>
      </c>
    </row>
    <row r="482" spans="1:7">
      <c r="A482" t="s">
        <v>577</v>
      </c>
      <c r="B482" s="6">
        <v>45832</v>
      </c>
      <c r="C482" s="6" t="str">
        <f>TEXT(Table3[[#This Row],[transaction_date]], "yyyy-mm")</f>
        <v>2025-06</v>
      </c>
      <c r="D482" t="s">
        <v>73</v>
      </c>
      <c r="E482" t="s">
        <v>3637</v>
      </c>
      <c r="F482" t="s">
        <v>3615</v>
      </c>
      <c r="G482" s="1">
        <v>833365.31</v>
      </c>
    </row>
    <row r="483" spans="1:7">
      <c r="A483" t="s">
        <v>578</v>
      </c>
      <c r="B483" s="6">
        <v>45768</v>
      </c>
      <c r="C483" s="6" t="str">
        <f>TEXT(Table3[[#This Row],[transaction_date]], "yyyy-mm")</f>
        <v>2025-04</v>
      </c>
      <c r="D483" t="s">
        <v>3597</v>
      </c>
      <c r="E483" t="s">
        <v>3636</v>
      </c>
      <c r="F483" t="s">
        <v>3607</v>
      </c>
      <c r="G483" s="1">
        <v>4754473.2</v>
      </c>
    </row>
    <row r="484" spans="1:7">
      <c r="A484" t="s">
        <v>579</v>
      </c>
      <c r="B484" s="6">
        <v>45792</v>
      </c>
      <c r="C484" s="6" t="str">
        <f>TEXT(Table3[[#This Row],[transaction_date]], "yyyy-mm")</f>
        <v>2025-05</v>
      </c>
      <c r="D484" t="s">
        <v>73</v>
      </c>
      <c r="E484" t="s">
        <v>3636</v>
      </c>
      <c r="F484" t="s">
        <v>3605</v>
      </c>
      <c r="G484" s="1">
        <v>1602494.77</v>
      </c>
    </row>
    <row r="485" spans="1:7">
      <c r="A485" t="s">
        <v>580</v>
      </c>
      <c r="B485" s="6">
        <v>45723</v>
      </c>
      <c r="C485" s="6" t="str">
        <f>TEXT(Table3[[#This Row],[transaction_date]], "yyyy-mm")</f>
        <v>2025-03</v>
      </c>
      <c r="D485" t="s">
        <v>85</v>
      </c>
      <c r="E485" t="s">
        <v>3637</v>
      </c>
      <c r="F485" t="s">
        <v>3614</v>
      </c>
      <c r="G485" s="1">
        <v>3083890.53</v>
      </c>
    </row>
    <row r="486" spans="1:7">
      <c r="A486" t="s">
        <v>581</v>
      </c>
      <c r="B486" s="6">
        <v>45883</v>
      </c>
      <c r="C486" s="6" t="str">
        <f>TEXT(Table3[[#This Row],[transaction_date]], "yyyy-mm")</f>
        <v>2025-08</v>
      </c>
      <c r="D486" t="s">
        <v>76</v>
      </c>
      <c r="E486" t="s">
        <v>3637</v>
      </c>
      <c r="F486" t="s">
        <v>3617</v>
      </c>
      <c r="G486" s="1">
        <v>884565.41</v>
      </c>
    </row>
    <row r="487" spans="1:7">
      <c r="A487" t="s">
        <v>582</v>
      </c>
      <c r="B487" s="6">
        <v>45673</v>
      </c>
      <c r="C487" s="6" t="str">
        <f>TEXT(Table3[[#This Row],[transaction_date]], "yyyy-mm")</f>
        <v>2025-01</v>
      </c>
      <c r="D487" t="s">
        <v>75</v>
      </c>
      <c r="E487" t="s">
        <v>3637</v>
      </c>
      <c r="F487" t="s">
        <v>3614</v>
      </c>
      <c r="G487" s="1">
        <v>17984352.84</v>
      </c>
    </row>
    <row r="488" spans="1:7">
      <c r="A488" t="s">
        <v>583</v>
      </c>
      <c r="B488" s="6">
        <v>45979</v>
      </c>
      <c r="C488" s="6" t="str">
        <f>TEXT(Table3[[#This Row],[transaction_date]], "yyyy-mm")</f>
        <v>2025-11</v>
      </c>
      <c r="D488" t="s">
        <v>89</v>
      </c>
      <c r="E488" t="s">
        <v>3637</v>
      </c>
      <c r="F488" t="s">
        <v>3617</v>
      </c>
      <c r="G488" s="1">
        <v>1240359.48</v>
      </c>
    </row>
    <row r="489" spans="1:7">
      <c r="A489" t="s">
        <v>584</v>
      </c>
      <c r="B489" s="6">
        <v>45801</v>
      </c>
      <c r="C489" s="6" t="str">
        <f>TEXT(Table3[[#This Row],[transaction_date]], "yyyy-mm")</f>
        <v>2025-05</v>
      </c>
      <c r="D489" t="s">
        <v>76</v>
      </c>
      <c r="E489" t="s">
        <v>3636</v>
      </c>
      <c r="F489" t="s">
        <v>3612</v>
      </c>
      <c r="G489" s="1">
        <v>10239876.66</v>
      </c>
    </row>
    <row r="490" spans="1:7">
      <c r="A490" t="s">
        <v>585</v>
      </c>
      <c r="B490" s="6">
        <v>45688</v>
      </c>
      <c r="C490" s="6" t="str">
        <f>TEXT(Table3[[#This Row],[transaction_date]], "yyyy-mm")</f>
        <v>2025-01</v>
      </c>
      <c r="D490" t="s">
        <v>73</v>
      </c>
      <c r="E490" t="s">
        <v>3636</v>
      </c>
      <c r="F490" t="s">
        <v>3604</v>
      </c>
      <c r="G490" s="1">
        <v>519246.41</v>
      </c>
    </row>
    <row r="491" spans="1:7">
      <c r="A491" t="s">
        <v>586</v>
      </c>
      <c r="B491" s="6">
        <v>46006</v>
      </c>
      <c r="C491" s="6" t="str">
        <f>TEXT(Table3[[#This Row],[transaction_date]], "yyyy-mm")</f>
        <v>2025-12</v>
      </c>
      <c r="D491" t="s">
        <v>73</v>
      </c>
      <c r="E491" t="s">
        <v>3636</v>
      </c>
      <c r="F491" t="s">
        <v>3604</v>
      </c>
      <c r="G491" s="1">
        <v>6726954.5199999996</v>
      </c>
    </row>
    <row r="492" spans="1:7">
      <c r="A492" t="s">
        <v>587</v>
      </c>
      <c r="B492" s="6">
        <v>45728</v>
      </c>
      <c r="C492" s="6" t="str">
        <f>TEXT(Table3[[#This Row],[transaction_date]], "yyyy-mm")</f>
        <v>2025-03</v>
      </c>
      <c r="D492" t="s">
        <v>90</v>
      </c>
      <c r="E492" t="s">
        <v>3637</v>
      </c>
      <c r="F492" t="s">
        <v>3621</v>
      </c>
      <c r="G492" s="1">
        <v>11910422.359999999</v>
      </c>
    </row>
    <row r="493" spans="1:7">
      <c r="A493" t="s">
        <v>588</v>
      </c>
      <c r="B493" s="6">
        <v>45939</v>
      </c>
      <c r="C493" s="6" t="str">
        <f>TEXT(Table3[[#This Row],[transaction_date]], "yyyy-mm")</f>
        <v>2025-10</v>
      </c>
      <c r="D493" t="s">
        <v>80</v>
      </c>
      <c r="E493" t="s">
        <v>3636</v>
      </c>
      <c r="F493" t="s">
        <v>3610</v>
      </c>
      <c r="G493" s="1">
        <v>786027.32</v>
      </c>
    </row>
    <row r="494" spans="1:7">
      <c r="A494" t="s">
        <v>589</v>
      </c>
      <c r="B494" s="6">
        <v>45721</v>
      </c>
      <c r="C494" s="6" t="str">
        <f>TEXT(Table3[[#This Row],[transaction_date]], "yyyy-mm")</f>
        <v>2025-03</v>
      </c>
      <c r="D494" t="s">
        <v>85</v>
      </c>
      <c r="E494" t="s">
        <v>3636</v>
      </c>
      <c r="F494" t="s">
        <v>3613</v>
      </c>
      <c r="G494" s="1">
        <v>1070903.47</v>
      </c>
    </row>
    <row r="495" spans="1:7">
      <c r="A495" t="s">
        <v>590</v>
      </c>
      <c r="B495" s="6">
        <v>45687</v>
      </c>
      <c r="C495" s="6" t="str">
        <f>TEXT(Table3[[#This Row],[transaction_date]], "yyyy-mm")</f>
        <v>2025-01</v>
      </c>
      <c r="D495" t="s">
        <v>85</v>
      </c>
      <c r="E495" t="s">
        <v>3636</v>
      </c>
      <c r="F495" t="s">
        <v>3612</v>
      </c>
      <c r="G495" s="1">
        <v>304091.24</v>
      </c>
    </row>
    <row r="496" spans="1:7">
      <c r="A496" t="s">
        <v>591</v>
      </c>
      <c r="B496" s="6">
        <v>45880</v>
      </c>
      <c r="C496" s="6" t="str">
        <f>TEXT(Table3[[#This Row],[transaction_date]], "yyyy-mm")</f>
        <v>2025-08</v>
      </c>
      <c r="D496" t="s">
        <v>84</v>
      </c>
      <c r="E496" t="s">
        <v>3636</v>
      </c>
      <c r="F496" t="s">
        <v>3605</v>
      </c>
      <c r="G496" s="1">
        <v>140302.45000000001</v>
      </c>
    </row>
    <row r="497" spans="1:7">
      <c r="A497" t="s">
        <v>592</v>
      </c>
      <c r="B497" s="6">
        <v>46002</v>
      </c>
      <c r="C497" s="6" t="str">
        <f>TEXT(Table3[[#This Row],[transaction_date]], "yyyy-mm")</f>
        <v>2025-12</v>
      </c>
      <c r="D497" t="s">
        <v>93</v>
      </c>
      <c r="E497" t="s">
        <v>3637</v>
      </c>
      <c r="F497" t="s">
        <v>3620</v>
      </c>
      <c r="G497" s="1">
        <v>254590.21</v>
      </c>
    </row>
    <row r="498" spans="1:7">
      <c r="A498" t="s">
        <v>593</v>
      </c>
      <c r="B498" s="6">
        <v>45983</v>
      </c>
      <c r="C498" s="6" t="str">
        <f>TEXT(Table3[[#This Row],[transaction_date]], "yyyy-mm")</f>
        <v>2025-11</v>
      </c>
      <c r="D498" t="s">
        <v>74</v>
      </c>
      <c r="E498" t="s">
        <v>3636</v>
      </c>
      <c r="F498" t="s">
        <v>3605</v>
      </c>
      <c r="G498" s="1">
        <v>531987.43000000005</v>
      </c>
    </row>
    <row r="499" spans="1:7">
      <c r="A499" t="s">
        <v>594</v>
      </c>
      <c r="B499" s="6">
        <v>45955</v>
      </c>
      <c r="C499" s="6" t="str">
        <f>TEXT(Table3[[#This Row],[transaction_date]], "yyyy-mm")</f>
        <v>2025-10</v>
      </c>
      <c r="D499" t="s">
        <v>77</v>
      </c>
      <c r="E499" t="s">
        <v>3636</v>
      </c>
      <c r="F499" t="s">
        <v>3609</v>
      </c>
      <c r="G499" s="1">
        <v>191477.43</v>
      </c>
    </row>
    <row r="500" spans="1:7">
      <c r="A500" t="s">
        <v>595</v>
      </c>
      <c r="B500" s="6">
        <v>45814</v>
      </c>
      <c r="C500" s="6" t="str">
        <f>TEXT(Table3[[#This Row],[transaction_date]], "yyyy-mm")</f>
        <v>2025-06</v>
      </c>
      <c r="D500" t="s">
        <v>73</v>
      </c>
      <c r="E500" t="s">
        <v>3636</v>
      </c>
      <c r="F500" t="s">
        <v>3605</v>
      </c>
      <c r="G500" s="1">
        <v>1196271.57</v>
      </c>
    </row>
    <row r="501" spans="1:7">
      <c r="A501" t="s">
        <v>596</v>
      </c>
      <c r="B501" s="6">
        <v>45925</v>
      </c>
      <c r="C501" s="6" t="str">
        <f>TEXT(Table3[[#This Row],[transaction_date]], "yyyy-mm")</f>
        <v>2025-09</v>
      </c>
      <c r="D501" t="s">
        <v>79</v>
      </c>
      <c r="E501" t="s">
        <v>3637</v>
      </c>
      <c r="F501" t="s">
        <v>3623</v>
      </c>
      <c r="G501" s="1">
        <v>3603723.13</v>
      </c>
    </row>
    <row r="502" spans="1:7">
      <c r="A502" t="s">
        <v>597</v>
      </c>
      <c r="B502" s="6">
        <v>45857</v>
      </c>
      <c r="C502" s="6" t="str">
        <f>TEXT(Table3[[#This Row],[transaction_date]], "yyyy-mm")</f>
        <v>2025-07</v>
      </c>
      <c r="D502" t="s">
        <v>84</v>
      </c>
      <c r="E502" t="s">
        <v>3637</v>
      </c>
      <c r="F502" t="s">
        <v>3622</v>
      </c>
      <c r="G502" s="1">
        <v>8716636</v>
      </c>
    </row>
    <row r="503" spans="1:7">
      <c r="A503" t="s">
        <v>598</v>
      </c>
      <c r="B503" s="6">
        <v>45839</v>
      </c>
      <c r="C503" s="6" t="str">
        <f>TEXT(Table3[[#This Row],[transaction_date]], "yyyy-mm")</f>
        <v>2025-07</v>
      </c>
      <c r="D503" t="s">
        <v>79</v>
      </c>
      <c r="E503" t="s">
        <v>3636</v>
      </c>
      <c r="F503" t="s">
        <v>3606</v>
      </c>
      <c r="G503" s="1">
        <v>1666867.02</v>
      </c>
    </row>
    <row r="504" spans="1:7">
      <c r="A504" t="s">
        <v>599</v>
      </c>
      <c r="B504" s="6">
        <v>45714</v>
      </c>
      <c r="C504" s="6" t="str">
        <f>TEXT(Table3[[#This Row],[transaction_date]], "yyyy-mm")</f>
        <v>2025-02</v>
      </c>
      <c r="D504" t="s">
        <v>89</v>
      </c>
      <c r="E504" t="s">
        <v>3636</v>
      </c>
      <c r="F504" t="s">
        <v>3610</v>
      </c>
      <c r="G504" s="1">
        <v>298091.17</v>
      </c>
    </row>
    <row r="505" spans="1:7">
      <c r="A505" t="s">
        <v>600</v>
      </c>
      <c r="B505" s="6">
        <v>45779</v>
      </c>
      <c r="C505" s="6" t="str">
        <f>TEXT(Table3[[#This Row],[transaction_date]], "yyyy-mm")</f>
        <v>2025-05</v>
      </c>
      <c r="D505" t="s">
        <v>78</v>
      </c>
      <c r="E505" t="s">
        <v>3637</v>
      </c>
      <c r="F505" t="s">
        <v>3614</v>
      </c>
      <c r="G505" s="1">
        <v>8114481.75</v>
      </c>
    </row>
    <row r="506" spans="1:7">
      <c r="A506" t="s">
        <v>601</v>
      </c>
      <c r="B506" s="6">
        <v>45754</v>
      </c>
      <c r="C506" s="6" t="str">
        <f>TEXT(Table3[[#This Row],[transaction_date]], "yyyy-mm")</f>
        <v>2025-04</v>
      </c>
      <c r="D506" t="s">
        <v>89</v>
      </c>
      <c r="E506" t="s">
        <v>3637</v>
      </c>
      <c r="F506" t="s">
        <v>3623</v>
      </c>
      <c r="G506" s="1">
        <v>443758.79</v>
      </c>
    </row>
    <row r="507" spans="1:7">
      <c r="A507" t="s">
        <v>602</v>
      </c>
      <c r="B507" s="6">
        <v>45913</v>
      </c>
      <c r="C507" s="6" t="str">
        <f>TEXT(Table3[[#This Row],[transaction_date]], "yyyy-mm")</f>
        <v>2025-09</v>
      </c>
      <c r="D507" t="s">
        <v>90</v>
      </c>
      <c r="E507" t="s">
        <v>3636</v>
      </c>
      <c r="F507" t="s">
        <v>3609</v>
      </c>
      <c r="G507" s="1">
        <v>5761496.0499999998</v>
      </c>
    </row>
    <row r="508" spans="1:7">
      <c r="A508" t="s">
        <v>603</v>
      </c>
      <c r="B508" s="6">
        <v>45935</v>
      </c>
      <c r="C508" s="6" t="str">
        <f>TEXT(Table3[[#This Row],[transaction_date]], "yyyy-mm")</f>
        <v>2025-10</v>
      </c>
      <c r="D508" t="s">
        <v>89</v>
      </c>
      <c r="E508" t="s">
        <v>3636</v>
      </c>
      <c r="F508" t="s">
        <v>3609</v>
      </c>
      <c r="G508" s="1">
        <v>279040.78000000003</v>
      </c>
    </row>
    <row r="509" spans="1:7">
      <c r="A509" t="s">
        <v>604</v>
      </c>
      <c r="B509" s="6">
        <v>45885</v>
      </c>
      <c r="C509" s="6" t="str">
        <f>TEXT(Table3[[#This Row],[transaction_date]], "yyyy-mm")</f>
        <v>2025-08</v>
      </c>
      <c r="D509" t="s">
        <v>73</v>
      </c>
      <c r="E509" t="s">
        <v>3636</v>
      </c>
      <c r="F509" t="s">
        <v>3604</v>
      </c>
      <c r="G509" s="1">
        <v>10407845.439999999</v>
      </c>
    </row>
    <row r="510" spans="1:7">
      <c r="A510" t="s">
        <v>605</v>
      </c>
      <c r="B510" s="6">
        <v>45707</v>
      </c>
      <c r="C510" s="6" t="str">
        <f>TEXT(Table3[[#This Row],[transaction_date]], "yyyy-mm")</f>
        <v>2025-02</v>
      </c>
      <c r="D510" t="s">
        <v>78</v>
      </c>
      <c r="E510" t="s">
        <v>3637</v>
      </c>
      <c r="F510" t="s">
        <v>3615</v>
      </c>
      <c r="G510" s="1">
        <v>2094174.9</v>
      </c>
    </row>
    <row r="511" spans="1:7">
      <c r="A511" t="s">
        <v>606</v>
      </c>
      <c r="B511" s="6">
        <v>45873</v>
      </c>
      <c r="C511" s="6" t="str">
        <f>TEXT(Table3[[#This Row],[transaction_date]], "yyyy-mm")</f>
        <v>2025-08</v>
      </c>
      <c r="D511" t="s">
        <v>73</v>
      </c>
      <c r="E511" t="s">
        <v>3637</v>
      </c>
      <c r="F511" t="s">
        <v>3622</v>
      </c>
      <c r="G511" s="1">
        <v>44688.83</v>
      </c>
    </row>
    <row r="512" spans="1:7">
      <c r="A512" t="s">
        <v>607</v>
      </c>
      <c r="B512" s="6">
        <v>46017</v>
      </c>
      <c r="C512" s="6" t="str">
        <f>TEXT(Table3[[#This Row],[transaction_date]], "yyyy-mm")</f>
        <v>2025-12</v>
      </c>
      <c r="D512" t="s">
        <v>93</v>
      </c>
      <c r="E512" t="s">
        <v>3636</v>
      </c>
      <c r="F512" t="s">
        <v>3609</v>
      </c>
      <c r="G512" s="1">
        <v>2919179.71</v>
      </c>
    </row>
    <row r="513" spans="1:7">
      <c r="A513" t="s">
        <v>608</v>
      </c>
      <c r="B513" s="6">
        <v>45926</v>
      </c>
      <c r="C513" s="6" t="str">
        <f>TEXT(Table3[[#This Row],[transaction_date]], "yyyy-mm")</f>
        <v>2025-09</v>
      </c>
      <c r="D513" t="s">
        <v>93</v>
      </c>
      <c r="E513" t="s">
        <v>3637</v>
      </c>
      <c r="F513" t="s">
        <v>3621</v>
      </c>
      <c r="G513" s="1">
        <v>5085443.79</v>
      </c>
    </row>
    <row r="514" spans="1:7">
      <c r="A514" t="s">
        <v>609</v>
      </c>
      <c r="B514" s="6">
        <v>46006</v>
      </c>
      <c r="C514" s="6" t="str">
        <f>TEXT(Table3[[#This Row],[transaction_date]], "yyyy-mm")</f>
        <v>2025-12</v>
      </c>
      <c r="D514" t="s">
        <v>80</v>
      </c>
      <c r="E514" t="s">
        <v>3637</v>
      </c>
      <c r="F514" t="s">
        <v>3614</v>
      </c>
      <c r="G514" s="1">
        <v>737232</v>
      </c>
    </row>
    <row r="515" spans="1:7">
      <c r="A515" t="s">
        <v>610</v>
      </c>
      <c r="B515" s="6">
        <v>45876</v>
      </c>
      <c r="C515" s="6" t="str">
        <f>TEXT(Table3[[#This Row],[transaction_date]], "yyyy-mm")</f>
        <v>2025-08</v>
      </c>
      <c r="D515" t="s">
        <v>73</v>
      </c>
      <c r="E515" t="s">
        <v>3636</v>
      </c>
      <c r="F515" t="s">
        <v>3609</v>
      </c>
      <c r="G515" s="1">
        <v>1314610.3899999999</v>
      </c>
    </row>
    <row r="516" spans="1:7">
      <c r="A516" t="s">
        <v>611</v>
      </c>
      <c r="B516" s="6">
        <v>45710</v>
      </c>
      <c r="C516" s="6" t="str">
        <f>TEXT(Table3[[#This Row],[transaction_date]], "yyyy-mm")</f>
        <v>2025-02</v>
      </c>
      <c r="D516" t="s">
        <v>77</v>
      </c>
      <c r="E516" t="s">
        <v>3637</v>
      </c>
      <c r="F516" t="s">
        <v>3620</v>
      </c>
      <c r="G516" s="1">
        <v>641126.5</v>
      </c>
    </row>
    <row r="517" spans="1:7">
      <c r="A517" t="s">
        <v>612</v>
      </c>
      <c r="B517" s="6">
        <v>45660</v>
      </c>
      <c r="C517" s="6" t="str">
        <f>TEXT(Table3[[#This Row],[transaction_date]], "yyyy-mm")</f>
        <v>2025-01</v>
      </c>
      <c r="D517" t="s">
        <v>82</v>
      </c>
      <c r="E517" t="s">
        <v>3636</v>
      </c>
      <c r="F517" t="s">
        <v>3606</v>
      </c>
      <c r="G517" s="1">
        <v>1624251.66</v>
      </c>
    </row>
    <row r="518" spans="1:7">
      <c r="A518" t="s">
        <v>613</v>
      </c>
      <c r="B518" s="6">
        <v>46019</v>
      </c>
      <c r="C518" s="6" t="str">
        <f>TEXT(Table3[[#This Row],[transaction_date]], "yyyy-mm")</f>
        <v>2025-12</v>
      </c>
      <c r="D518" t="s">
        <v>3597</v>
      </c>
      <c r="E518" t="s">
        <v>3636</v>
      </c>
      <c r="F518" t="s">
        <v>3607</v>
      </c>
      <c r="G518" s="1">
        <v>2349693.75</v>
      </c>
    </row>
    <row r="519" spans="1:7">
      <c r="A519" t="s">
        <v>614</v>
      </c>
      <c r="B519" s="6">
        <v>45747</v>
      </c>
      <c r="C519" s="6" t="str">
        <f>TEXT(Table3[[#This Row],[transaction_date]], "yyyy-mm")</f>
        <v>2025-03</v>
      </c>
      <c r="D519" t="s">
        <v>93</v>
      </c>
      <c r="E519" t="s">
        <v>3636</v>
      </c>
      <c r="F519" t="s">
        <v>3612</v>
      </c>
      <c r="G519" s="1">
        <v>6355687.4500000002</v>
      </c>
    </row>
    <row r="520" spans="1:7">
      <c r="A520" t="s">
        <v>615</v>
      </c>
      <c r="B520" s="6">
        <v>45707</v>
      </c>
      <c r="C520" s="6" t="str">
        <f>TEXT(Table3[[#This Row],[transaction_date]], "yyyy-mm")</f>
        <v>2025-02</v>
      </c>
      <c r="D520" t="s">
        <v>80</v>
      </c>
      <c r="E520" t="s">
        <v>3637</v>
      </c>
      <c r="F520" t="s">
        <v>3621</v>
      </c>
      <c r="G520" s="1">
        <v>2673830.52</v>
      </c>
    </row>
    <row r="521" spans="1:7">
      <c r="A521" t="s">
        <v>616</v>
      </c>
      <c r="B521" s="6">
        <v>45673</v>
      </c>
      <c r="C521" s="6" t="str">
        <f>TEXT(Table3[[#This Row],[transaction_date]], "yyyy-mm")</f>
        <v>2025-01</v>
      </c>
      <c r="D521" t="s">
        <v>89</v>
      </c>
      <c r="E521" t="s">
        <v>3636</v>
      </c>
      <c r="F521" t="s">
        <v>3613</v>
      </c>
      <c r="G521" s="1">
        <v>361918.08</v>
      </c>
    </row>
    <row r="522" spans="1:7">
      <c r="A522" t="s">
        <v>617</v>
      </c>
      <c r="B522" s="6">
        <v>45919</v>
      </c>
      <c r="C522" s="6" t="str">
        <f>TEXT(Table3[[#This Row],[transaction_date]], "yyyy-mm")</f>
        <v>2025-09</v>
      </c>
      <c r="D522" t="s">
        <v>74</v>
      </c>
      <c r="E522" t="s">
        <v>3637</v>
      </c>
      <c r="F522" t="s">
        <v>3619</v>
      </c>
      <c r="G522" s="1">
        <v>88666.13</v>
      </c>
    </row>
    <row r="523" spans="1:7">
      <c r="A523" t="s">
        <v>618</v>
      </c>
      <c r="B523" s="6">
        <v>45905</v>
      </c>
      <c r="C523" s="6" t="str">
        <f>TEXT(Table3[[#This Row],[transaction_date]], "yyyy-mm")</f>
        <v>2025-09</v>
      </c>
      <c r="D523" t="s">
        <v>3597</v>
      </c>
      <c r="E523" t="s">
        <v>3637</v>
      </c>
      <c r="F523" t="s">
        <v>3621</v>
      </c>
      <c r="G523" s="1">
        <v>2014601.17</v>
      </c>
    </row>
    <row r="524" spans="1:7">
      <c r="A524" t="s">
        <v>619</v>
      </c>
      <c r="B524" s="6">
        <v>45786</v>
      </c>
      <c r="C524" s="6" t="str">
        <f>TEXT(Table3[[#This Row],[transaction_date]], "yyyy-mm")</f>
        <v>2025-05</v>
      </c>
      <c r="D524" t="s">
        <v>84</v>
      </c>
      <c r="E524" t="s">
        <v>3637</v>
      </c>
      <c r="F524" t="s">
        <v>3622</v>
      </c>
      <c r="G524" s="1">
        <v>7360200.5300000003</v>
      </c>
    </row>
    <row r="525" spans="1:7">
      <c r="A525" t="s">
        <v>620</v>
      </c>
      <c r="B525" s="6">
        <v>45871</v>
      </c>
      <c r="C525" s="6" t="str">
        <f>TEXT(Table3[[#This Row],[transaction_date]], "yyyy-mm")</f>
        <v>2025-08</v>
      </c>
      <c r="D525" t="s">
        <v>73</v>
      </c>
      <c r="E525" t="s">
        <v>3636</v>
      </c>
      <c r="F525" t="s">
        <v>3612</v>
      </c>
      <c r="G525" s="1">
        <v>1501702.19</v>
      </c>
    </row>
    <row r="526" spans="1:7">
      <c r="A526" t="s">
        <v>621</v>
      </c>
      <c r="B526" s="6">
        <v>45678</v>
      </c>
      <c r="C526" s="6" t="str">
        <f>TEXT(Table3[[#This Row],[transaction_date]], "yyyy-mm")</f>
        <v>2025-01</v>
      </c>
      <c r="D526" t="s">
        <v>74</v>
      </c>
      <c r="E526" t="s">
        <v>3637</v>
      </c>
      <c r="F526" t="s">
        <v>3619</v>
      </c>
      <c r="G526" s="1">
        <v>776060.61</v>
      </c>
    </row>
    <row r="527" spans="1:7">
      <c r="A527" t="s">
        <v>622</v>
      </c>
      <c r="B527" s="6">
        <v>45973</v>
      </c>
      <c r="C527" s="6" t="str">
        <f>TEXT(Table3[[#This Row],[transaction_date]], "yyyy-mm")</f>
        <v>2025-11</v>
      </c>
      <c r="D527" t="s">
        <v>76</v>
      </c>
      <c r="E527" t="s">
        <v>3636</v>
      </c>
      <c r="F527" t="s">
        <v>3608</v>
      </c>
      <c r="G527" s="1">
        <v>4937253.4400000004</v>
      </c>
    </row>
    <row r="528" spans="1:7">
      <c r="A528" t="s">
        <v>623</v>
      </c>
      <c r="B528" s="6">
        <v>45693</v>
      </c>
      <c r="C528" s="6" t="str">
        <f>TEXT(Table3[[#This Row],[transaction_date]], "yyyy-mm")</f>
        <v>2025-02</v>
      </c>
      <c r="D528" t="s">
        <v>76</v>
      </c>
      <c r="E528" t="s">
        <v>3637</v>
      </c>
      <c r="F528" t="s">
        <v>3619</v>
      </c>
      <c r="G528" s="1">
        <v>8561343.0399999991</v>
      </c>
    </row>
    <row r="529" spans="1:7">
      <c r="A529" t="s">
        <v>624</v>
      </c>
      <c r="B529" s="6">
        <v>45727</v>
      </c>
      <c r="C529" s="6" t="str">
        <f>TEXT(Table3[[#This Row],[transaction_date]], "yyyy-mm")</f>
        <v>2025-03</v>
      </c>
      <c r="D529" t="s">
        <v>79</v>
      </c>
      <c r="E529" t="s">
        <v>3636</v>
      </c>
      <c r="F529" t="s">
        <v>3604</v>
      </c>
      <c r="G529" s="1">
        <v>1769141.15</v>
      </c>
    </row>
    <row r="530" spans="1:7">
      <c r="A530" t="s">
        <v>625</v>
      </c>
      <c r="B530" s="6">
        <v>45784</v>
      </c>
      <c r="C530" s="6" t="str">
        <f>TEXT(Table3[[#This Row],[transaction_date]], "yyyy-mm")</f>
        <v>2025-05</v>
      </c>
      <c r="D530" t="s">
        <v>90</v>
      </c>
      <c r="E530" t="s">
        <v>3637</v>
      </c>
      <c r="F530" t="s">
        <v>3621</v>
      </c>
      <c r="G530" s="1">
        <v>14334510.18</v>
      </c>
    </row>
    <row r="531" spans="1:7">
      <c r="A531" t="s">
        <v>626</v>
      </c>
      <c r="B531" s="6">
        <v>45993</v>
      </c>
      <c r="C531" s="6" t="str">
        <f>TEXT(Table3[[#This Row],[transaction_date]], "yyyy-mm")</f>
        <v>2025-12</v>
      </c>
      <c r="D531" t="s">
        <v>95</v>
      </c>
      <c r="E531" t="s">
        <v>3637</v>
      </c>
      <c r="F531" t="s">
        <v>3616</v>
      </c>
      <c r="G531" s="1">
        <v>14907107.01</v>
      </c>
    </row>
    <row r="532" spans="1:7">
      <c r="A532" t="s">
        <v>627</v>
      </c>
      <c r="B532" s="6">
        <v>45889</v>
      </c>
      <c r="C532" s="6" t="str">
        <f>TEXT(Table3[[#This Row],[transaction_date]], "yyyy-mm")</f>
        <v>2025-08</v>
      </c>
      <c r="D532" t="s">
        <v>80</v>
      </c>
      <c r="E532" t="s">
        <v>3637</v>
      </c>
      <c r="F532" t="s">
        <v>3618</v>
      </c>
      <c r="G532" s="1">
        <v>3523169.03</v>
      </c>
    </row>
    <row r="533" spans="1:7">
      <c r="A533" t="s">
        <v>628</v>
      </c>
      <c r="B533" s="6">
        <v>45757</v>
      </c>
      <c r="C533" s="6" t="str">
        <f>TEXT(Table3[[#This Row],[transaction_date]], "yyyy-mm")</f>
        <v>2025-04</v>
      </c>
      <c r="D533" t="s">
        <v>77</v>
      </c>
      <c r="E533" t="s">
        <v>3637</v>
      </c>
      <c r="F533" t="s">
        <v>3618</v>
      </c>
      <c r="G533" s="1">
        <v>19383274.370000001</v>
      </c>
    </row>
    <row r="534" spans="1:7">
      <c r="A534" t="s">
        <v>629</v>
      </c>
      <c r="B534" s="6">
        <v>45876</v>
      </c>
      <c r="C534" s="6" t="str">
        <f>TEXT(Table3[[#This Row],[transaction_date]], "yyyy-mm")</f>
        <v>2025-08</v>
      </c>
      <c r="D534" t="s">
        <v>79</v>
      </c>
      <c r="E534" t="s">
        <v>3636</v>
      </c>
      <c r="F534" t="s">
        <v>3611</v>
      </c>
      <c r="G534" s="1">
        <v>498055</v>
      </c>
    </row>
    <row r="535" spans="1:7">
      <c r="A535" t="s">
        <v>630</v>
      </c>
      <c r="B535" s="6">
        <v>45800</v>
      </c>
      <c r="C535" s="6" t="str">
        <f>TEXT(Table3[[#This Row],[transaction_date]], "yyyy-mm")</f>
        <v>2025-05</v>
      </c>
      <c r="D535" t="s">
        <v>90</v>
      </c>
      <c r="E535" t="s">
        <v>3637</v>
      </c>
      <c r="F535" t="s">
        <v>3623</v>
      </c>
      <c r="G535" s="1">
        <v>11649958.07</v>
      </c>
    </row>
    <row r="536" spans="1:7">
      <c r="A536" t="s">
        <v>631</v>
      </c>
      <c r="B536" s="6">
        <v>45956</v>
      </c>
      <c r="C536" s="6" t="str">
        <f>TEXT(Table3[[#This Row],[transaction_date]], "yyyy-mm")</f>
        <v>2025-10</v>
      </c>
      <c r="D536" t="s">
        <v>90</v>
      </c>
      <c r="E536" t="s">
        <v>3636</v>
      </c>
      <c r="F536" t="s">
        <v>3604</v>
      </c>
      <c r="G536" s="1">
        <v>452774.29</v>
      </c>
    </row>
    <row r="537" spans="1:7">
      <c r="A537" t="s">
        <v>632</v>
      </c>
      <c r="B537" s="6">
        <v>45936</v>
      </c>
      <c r="C537" s="6" t="str">
        <f>TEXT(Table3[[#This Row],[transaction_date]], "yyyy-mm")</f>
        <v>2025-10</v>
      </c>
      <c r="D537" t="s">
        <v>75</v>
      </c>
      <c r="E537" t="s">
        <v>3637</v>
      </c>
      <c r="F537" t="s">
        <v>3618</v>
      </c>
      <c r="G537" s="1">
        <v>160765.44</v>
      </c>
    </row>
    <row r="538" spans="1:7">
      <c r="A538" t="s">
        <v>633</v>
      </c>
      <c r="B538" s="6">
        <v>45840</v>
      </c>
      <c r="C538" s="6" t="str">
        <f>TEXT(Table3[[#This Row],[transaction_date]], "yyyy-mm")</f>
        <v>2025-07</v>
      </c>
      <c r="D538" t="s">
        <v>3597</v>
      </c>
      <c r="E538" t="s">
        <v>3637</v>
      </c>
      <c r="F538" t="s">
        <v>3614</v>
      </c>
      <c r="G538" s="1">
        <v>5310601.4800000004</v>
      </c>
    </row>
    <row r="539" spans="1:7">
      <c r="A539" t="s">
        <v>634</v>
      </c>
      <c r="B539" s="6">
        <v>45831</v>
      </c>
      <c r="C539" s="6" t="str">
        <f>TEXT(Table3[[#This Row],[transaction_date]], "yyyy-mm")</f>
        <v>2025-06</v>
      </c>
      <c r="D539" t="s">
        <v>76</v>
      </c>
      <c r="E539" t="s">
        <v>3636</v>
      </c>
      <c r="F539" t="s">
        <v>3605</v>
      </c>
      <c r="G539" s="1">
        <v>1323094.27</v>
      </c>
    </row>
    <row r="540" spans="1:7">
      <c r="A540" t="s">
        <v>635</v>
      </c>
      <c r="B540" s="6">
        <v>45812</v>
      </c>
      <c r="C540" s="6" t="str">
        <f>TEXT(Table3[[#This Row],[transaction_date]], "yyyy-mm")</f>
        <v>2025-06</v>
      </c>
      <c r="D540" t="s">
        <v>79</v>
      </c>
      <c r="E540" t="s">
        <v>3636</v>
      </c>
      <c r="F540" t="s">
        <v>3607</v>
      </c>
      <c r="G540" s="1">
        <v>2380429.94</v>
      </c>
    </row>
    <row r="541" spans="1:7">
      <c r="A541" t="s">
        <v>636</v>
      </c>
      <c r="B541" s="6">
        <v>45670</v>
      </c>
      <c r="C541" s="6" t="str">
        <f>TEXT(Table3[[#This Row],[transaction_date]], "yyyy-mm")</f>
        <v>2025-01</v>
      </c>
      <c r="D541" t="s">
        <v>79</v>
      </c>
      <c r="E541" t="s">
        <v>3636</v>
      </c>
      <c r="F541" t="s">
        <v>3607</v>
      </c>
      <c r="G541" s="1">
        <v>123390.36</v>
      </c>
    </row>
    <row r="542" spans="1:7">
      <c r="A542" t="s">
        <v>637</v>
      </c>
      <c r="B542" s="6">
        <v>45663</v>
      </c>
      <c r="C542" s="6" t="str">
        <f>TEXT(Table3[[#This Row],[transaction_date]], "yyyy-mm")</f>
        <v>2025-01</v>
      </c>
      <c r="D542" t="s">
        <v>73</v>
      </c>
      <c r="E542" t="s">
        <v>3636</v>
      </c>
      <c r="F542" t="s">
        <v>3609</v>
      </c>
      <c r="G542" s="1">
        <v>8299011.1600000001</v>
      </c>
    </row>
    <row r="543" spans="1:7">
      <c r="A543" t="s">
        <v>638</v>
      </c>
      <c r="B543" s="6">
        <v>45994</v>
      </c>
      <c r="C543" s="6" t="str">
        <f>TEXT(Table3[[#This Row],[transaction_date]], "yyyy-mm")</f>
        <v>2025-12</v>
      </c>
      <c r="D543" t="s">
        <v>76</v>
      </c>
      <c r="E543" t="s">
        <v>3636</v>
      </c>
      <c r="F543" t="s">
        <v>3611</v>
      </c>
      <c r="G543" s="1">
        <v>7490979.4699999997</v>
      </c>
    </row>
    <row r="544" spans="1:7">
      <c r="A544" t="s">
        <v>639</v>
      </c>
      <c r="B544" s="6">
        <v>45821</v>
      </c>
      <c r="C544" s="6" t="str">
        <f>TEXT(Table3[[#This Row],[transaction_date]], "yyyy-mm")</f>
        <v>2025-06</v>
      </c>
      <c r="D544" t="s">
        <v>85</v>
      </c>
      <c r="E544" t="s">
        <v>3636</v>
      </c>
      <c r="F544" t="s">
        <v>3605</v>
      </c>
      <c r="G544" s="1">
        <v>2217217.88</v>
      </c>
    </row>
    <row r="545" spans="1:7">
      <c r="A545" t="s">
        <v>640</v>
      </c>
      <c r="B545" s="6">
        <v>45819</v>
      </c>
      <c r="C545" s="6" t="str">
        <f>TEXT(Table3[[#This Row],[transaction_date]], "yyyy-mm")</f>
        <v>2025-06</v>
      </c>
      <c r="D545" t="s">
        <v>78</v>
      </c>
      <c r="E545" t="s">
        <v>3637</v>
      </c>
      <c r="F545" t="s">
        <v>3614</v>
      </c>
      <c r="G545" s="1">
        <v>9042693.0999999996</v>
      </c>
    </row>
    <row r="546" spans="1:7">
      <c r="A546" t="s">
        <v>641</v>
      </c>
      <c r="B546" s="6">
        <v>45901</v>
      </c>
      <c r="C546" s="6" t="str">
        <f>TEXT(Table3[[#This Row],[transaction_date]], "yyyy-mm")</f>
        <v>2025-09</v>
      </c>
      <c r="D546" t="s">
        <v>75</v>
      </c>
      <c r="E546" t="s">
        <v>3636</v>
      </c>
      <c r="F546" t="s">
        <v>3605</v>
      </c>
      <c r="G546" s="1">
        <v>20825381.280000001</v>
      </c>
    </row>
    <row r="547" spans="1:7">
      <c r="A547" t="s">
        <v>642</v>
      </c>
      <c r="B547" s="6">
        <v>46011</v>
      </c>
      <c r="C547" s="6" t="str">
        <f>TEXT(Table3[[#This Row],[transaction_date]], "yyyy-mm")</f>
        <v>2025-12</v>
      </c>
      <c r="D547" t="s">
        <v>78</v>
      </c>
      <c r="E547" t="s">
        <v>3636</v>
      </c>
      <c r="F547" t="s">
        <v>3613</v>
      </c>
      <c r="G547" s="1">
        <v>6320871.96</v>
      </c>
    </row>
    <row r="548" spans="1:7">
      <c r="A548" t="s">
        <v>643</v>
      </c>
      <c r="B548" s="6">
        <v>45773</v>
      </c>
      <c r="C548" s="6" t="str">
        <f>TEXT(Table3[[#This Row],[transaction_date]], "yyyy-mm")</f>
        <v>2025-04</v>
      </c>
      <c r="D548" t="s">
        <v>84</v>
      </c>
      <c r="E548" t="s">
        <v>3637</v>
      </c>
      <c r="F548" t="s">
        <v>3620</v>
      </c>
      <c r="G548" s="1">
        <v>5109531.46</v>
      </c>
    </row>
    <row r="549" spans="1:7">
      <c r="A549" t="s">
        <v>644</v>
      </c>
      <c r="B549" s="6">
        <v>45721</v>
      </c>
      <c r="C549" s="6" t="str">
        <f>TEXT(Table3[[#This Row],[transaction_date]], "yyyy-mm")</f>
        <v>2025-03</v>
      </c>
      <c r="D549" t="s">
        <v>77</v>
      </c>
      <c r="E549" t="s">
        <v>3636</v>
      </c>
      <c r="F549" t="s">
        <v>3608</v>
      </c>
      <c r="G549" s="1">
        <v>14252861.99</v>
      </c>
    </row>
    <row r="550" spans="1:7">
      <c r="A550" t="s">
        <v>645</v>
      </c>
      <c r="B550" s="6">
        <v>45784</v>
      </c>
      <c r="C550" s="6" t="str">
        <f>TEXT(Table3[[#This Row],[transaction_date]], "yyyy-mm")</f>
        <v>2025-05</v>
      </c>
      <c r="D550" t="s">
        <v>90</v>
      </c>
      <c r="E550" t="s">
        <v>3637</v>
      </c>
      <c r="F550" t="s">
        <v>3622</v>
      </c>
      <c r="G550" s="1">
        <v>1271200.98</v>
      </c>
    </row>
    <row r="551" spans="1:7">
      <c r="A551" t="s">
        <v>646</v>
      </c>
      <c r="B551" s="6">
        <v>45749</v>
      </c>
      <c r="C551" s="6" t="str">
        <f>TEXT(Table3[[#This Row],[transaction_date]], "yyyy-mm")</f>
        <v>2025-04</v>
      </c>
      <c r="D551" t="s">
        <v>82</v>
      </c>
      <c r="E551" t="s">
        <v>3637</v>
      </c>
      <c r="F551" t="s">
        <v>3623</v>
      </c>
      <c r="G551" s="1">
        <v>13884082.289999999</v>
      </c>
    </row>
    <row r="552" spans="1:7">
      <c r="A552" t="s">
        <v>647</v>
      </c>
      <c r="B552" s="6">
        <v>45806</v>
      </c>
      <c r="C552" s="6" t="str">
        <f>TEXT(Table3[[#This Row],[transaction_date]], "yyyy-mm")</f>
        <v>2025-05</v>
      </c>
      <c r="D552" t="s">
        <v>73</v>
      </c>
      <c r="E552" t="s">
        <v>3637</v>
      </c>
      <c r="F552" t="s">
        <v>3617</v>
      </c>
      <c r="G552" s="1">
        <v>629229.30000000005</v>
      </c>
    </row>
    <row r="553" spans="1:7">
      <c r="A553" t="s">
        <v>648</v>
      </c>
      <c r="B553" s="6">
        <v>45969</v>
      </c>
      <c r="C553" s="6" t="str">
        <f>TEXT(Table3[[#This Row],[transaction_date]], "yyyy-mm")</f>
        <v>2025-11</v>
      </c>
      <c r="D553" t="s">
        <v>93</v>
      </c>
      <c r="E553" t="s">
        <v>3637</v>
      </c>
      <c r="F553" t="s">
        <v>3616</v>
      </c>
      <c r="G553" s="1">
        <v>4027217.27</v>
      </c>
    </row>
    <row r="554" spans="1:7">
      <c r="A554" t="s">
        <v>649</v>
      </c>
      <c r="B554" s="6">
        <v>45988</v>
      </c>
      <c r="C554" s="6" t="str">
        <f>TEXT(Table3[[#This Row],[transaction_date]], "yyyy-mm")</f>
        <v>2025-11</v>
      </c>
      <c r="D554" t="s">
        <v>74</v>
      </c>
      <c r="E554" t="s">
        <v>3636</v>
      </c>
      <c r="F554" t="s">
        <v>3610</v>
      </c>
      <c r="G554" s="1">
        <v>113191.15</v>
      </c>
    </row>
    <row r="555" spans="1:7">
      <c r="A555" t="s">
        <v>650</v>
      </c>
      <c r="B555" s="6">
        <v>45877</v>
      </c>
      <c r="C555" s="6" t="str">
        <f>TEXT(Table3[[#This Row],[transaction_date]], "yyyy-mm")</f>
        <v>2025-08</v>
      </c>
      <c r="D555" t="s">
        <v>75</v>
      </c>
      <c r="E555" t="s">
        <v>3636</v>
      </c>
      <c r="F555" t="s">
        <v>3606</v>
      </c>
      <c r="G555" s="1">
        <v>248683.98</v>
      </c>
    </row>
    <row r="556" spans="1:7">
      <c r="A556" t="s">
        <v>651</v>
      </c>
      <c r="B556" s="6">
        <v>45908</v>
      </c>
      <c r="C556" s="6" t="str">
        <f>TEXT(Table3[[#This Row],[transaction_date]], "yyyy-mm")</f>
        <v>2025-09</v>
      </c>
      <c r="D556" t="s">
        <v>73</v>
      </c>
      <c r="E556" t="s">
        <v>3637</v>
      </c>
      <c r="F556" t="s">
        <v>3615</v>
      </c>
      <c r="G556" s="1">
        <v>669290.1</v>
      </c>
    </row>
    <row r="557" spans="1:7">
      <c r="A557" t="s">
        <v>652</v>
      </c>
      <c r="B557" s="6">
        <v>45756</v>
      </c>
      <c r="C557" s="6" t="str">
        <f>TEXT(Table3[[#This Row],[transaction_date]], "yyyy-mm")</f>
        <v>2025-04</v>
      </c>
      <c r="D557" t="s">
        <v>95</v>
      </c>
      <c r="E557" t="s">
        <v>3637</v>
      </c>
      <c r="F557" t="s">
        <v>3621</v>
      </c>
      <c r="G557" s="1">
        <v>10378512.32</v>
      </c>
    </row>
    <row r="558" spans="1:7">
      <c r="A558" t="s">
        <v>653</v>
      </c>
      <c r="B558" s="6">
        <v>45963</v>
      </c>
      <c r="C558" s="6" t="str">
        <f>TEXT(Table3[[#This Row],[transaction_date]], "yyyy-mm")</f>
        <v>2025-11</v>
      </c>
      <c r="D558" t="s">
        <v>77</v>
      </c>
      <c r="E558" t="s">
        <v>3637</v>
      </c>
      <c r="F558" t="s">
        <v>3619</v>
      </c>
      <c r="G558" s="1">
        <v>3600532.34</v>
      </c>
    </row>
    <row r="559" spans="1:7">
      <c r="A559" t="s">
        <v>654</v>
      </c>
      <c r="B559" s="6">
        <v>45905</v>
      </c>
      <c r="C559" s="6" t="str">
        <f>TEXT(Table3[[#This Row],[transaction_date]], "yyyy-mm")</f>
        <v>2025-09</v>
      </c>
      <c r="D559" t="s">
        <v>85</v>
      </c>
      <c r="E559" t="s">
        <v>3636</v>
      </c>
      <c r="F559" t="s">
        <v>3606</v>
      </c>
      <c r="G559" s="1">
        <v>1251083.76</v>
      </c>
    </row>
    <row r="560" spans="1:7">
      <c r="A560" t="s">
        <v>655</v>
      </c>
      <c r="B560" s="6">
        <v>45792</v>
      </c>
      <c r="C560" s="6" t="str">
        <f>TEXT(Table3[[#This Row],[transaction_date]], "yyyy-mm")</f>
        <v>2025-05</v>
      </c>
      <c r="D560" t="s">
        <v>75</v>
      </c>
      <c r="E560" t="s">
        <v>3636</v>
      </c>
      <c r="F560" t="s">
        <v>3609</v>
      </c>
      <c r="G560" s="1">
        <v>2487147.56</v>
      </c>
    </row>
    <row r="561" spans="1:7">
      <c r="A561" t="s">
        <v>656</v>
      </c>
      <c r="B561" s="6">
        <v>45674</v>
      </c>
      <c r="C561" s="6" t="str">
        <f>TEXT(Table3[[#This Row],[transaction_date]], "yyyy-mm")</f>
        <v>2025-01</v>
      </c>
      <c r="D561" t="s">
        <v>90</v>
      </c>
      <c r="E561" t="s">
        <v>3637</v>
      </c>
      <c r="F561" t="s">
        <v>3615</v>
      </c>
      <c r="G561" s="1">
        <v>1924766.25</v>
      </c>
    </row>
    <row r="562" spans="1:7">
      <c r="A562" t="s">
        <v>657</v>
      </c>
      <c r="B562" s="6">
        <v>45864</v>
      </c>
      <c r="C562" s="6" t="str">
        <f>TEXT(Table3[[#This Row],[transaction_date]], "yyyy-mm")</f>
        <v>2025-07</v>
      </c>
      <c r="D562" t="s">
        <v>73</v>
      </c>
      <c r="E562" t="s">
        <v>3636</v>
      </c>
      <c r="F562" t="s">
        <v>3609</v>
      </c>
      <c r="G562" s="1">
        <v>387545.62</v>
      </c>
    </row>
    <row r="563" spans="1:7">
      <c r="A563" t="s">
        <v>658</v>
      </c>
      <c r="B563" s="6">
        <v>45666</v>
      </c>
      <c r="C563" s="6" t="str">
        <f>TEXT(Table3[[#This Row],[transaction_date]], "yyyy-mm")</f>
        <v>2025-01</v>
      </c>
      <c r="D563" t="s">
        <v>89</v>
      </c>
      <c r="E563" t="s">
        <v>3637</v>
      </c>
      <c r="F563" t="s">
        <v>3620</v>
      </c>
      <c r="G563" s="1">
        <v>31093.32</v>
      </c>
    </row>
    <row r="564" spans="1:7">
      <c r="A564" t="s">
        <v>659</v>
      </c>
      <c r="B564" s="6">
        <v>45802</v>
      </c>
      <c r="C564" s="6" t="str">
        <f>TEXT(Table3[[#This Row],[transaction_date]], "yyyy-mm")</f>
        <v>2025-05</v>
      </c>
      <c r="D564" t="s">
        <v>95</v>
      </c>
      <c r="E564" t="s">
        <v>3637</v>
      </c>
      <c r="F564" t="s">
        <v>3620</v>
      </c>
      <c r="G564" s="1">
        <v>1934950.96</v>
      </c>
    </row>
    <row r="565" spans="1:7">
      <c r="A565" t="s">
        <v>660</v>
      </c>
      <c r="B565" s="6">
        <v>45677</v>
      </c>
      <c r="C565" s="6" t="str">
        <f>TEXT(Table3[[#This Row],[transaction_date]], "yyyy-mm")</f>
        <v>2025-01</v>
      </c>
      <c r="D565" t="s">
        <v>95</v>
      </c>
      <c r="E565" t="s">
        <v>3636</v>
      </c>
      <c r="F565" t="s">
        <v>3609</v>
      </c>
      <c r="G565" s="1">
        <v>4179304.72</v>
      </c>
    </row>
    <row r="566" spans="1:7">
      <c r="A566" t="s">
        <v>661</v>
      </c>
      <c r="B566" s="6">
        <v>45974</v>
      </c>
      <c r="C566" s="6" t="str">
        <f>TEXT(Table3[[#This Row],[transaction_date]], "yyyy-mm")</f>
        <v>2025-11</v>
      </c>
      <c r="D566" t="s">
        <v>3597</v>
      </c>
      <c r="E566" t="s">
        <v>3636</v>
      </c>
      <c r="F566" t="s">
        <v>3604</v>
      </c>
      <c r="G566" s="1">
        <v>4932959.87</v>
      </c>
    </row>
    <row r="567" spans="1:7">
      <c r="A567" t="s">
        <v>662</v>
      </c>
      <c r="B567" s="6">
        <v>45720</v>
      </c>
      <c r="C567" s="6" t="str">
        <f>TEXT(Table3[[#This Row],[transaction_date]], "yyyy-mm")</f>
        <v>2025-03</v>
      </c>
      <c r="D567" t="s">
        <v>84</v>
      </c>
      <c r="E567" t="s">
        <v>3637</v>
      </c>
      <c r="F567" t="s">
        <v>3615</v>
      </c>
      <c r="G567" s="1">
        <v>15469382.800000001</v>
      </c>
    </row>
    <row r="568" spans="1:7">
      <c r="A568" t="s">
        <v>663</v>
      </c>
      <c r="B568" s="6">
        <v>45850</v>
      </c>
      <c r="C568" s="6" t="str">
        <f>TEXT(Table3[[#This Row],[transaction_date]], "yyyy-mm")</f>
        <v>2025-07</v>
      </c>
      <c r="D568" t="s">
        <v>80</v>
      </c>
      <c r="E568" t="s">
        <v>3637</v>
      </c>
      <c r="F568" t="s">
        <v>3623</v>
      </c>
      <c r="G568" s="1">
        <v>2325133.9900000002</v>
      </c>
    </row>
    <row r="569" spans="1:7">
      <c r="A569" t="s">
        <v>664</v>
      </c>
      <c r="B569" s="6">
        <v>45835</v>
      </c>
      <c r="C569" s="6" t="str">
        <f>TEXT(Table3[[#This Row],[transaction_date]], "yyyy-mm")</f>
        <v>2025-06</v>
      </c>
      <c r="D569" t="s">
        <v>3597</v>
      </c>
      <c r="E569" t="s">
        <v>3637</v>
      </c>
      <c r="F569" t="s">
        <v>3618</v>
      </c>
      <c r="G569" s="1">
        <v>1797359.09</v>
      </c>
    </row>
    <row r="570" spans="1:7">
      <c r="A570" t="s">
        <v>665</v>
      </c>
      <c r="B570" s="6">
        <v>46021</v>
      </c>
      <c r="C570" s="6" t="str">
        <f>TEXT(Table3[[#This Row],[transaction_date]], "yyyy-mm")</f>
        <v>2025-12</v>
      </c>
      <c r="D570" t="s">
        <v>73</v>
      </c>
      <c r="E570" t="s">
        <v>3636</v>
      </c>
      <c r="F570" t="s">
        <v>3613</v>
      </c>
      <c r="G570" s="1">
        <v>792109.13</v>
      </c>
    </row>
    <row r="571" spans="1:7">
      <c r="A571" t="s">
        <v>666</v>
      </c>
      <c r="B571" s="6">
        <v>45688</v>
      </c>
      <c r="C571" s="6" t="str">
        <f>TEXT(Table3[[#This Row],[transaction_date]], "yyyy-mm")</f>
        <v>2025-01</v>
      </c>
      <c r="D571" t="s">
        <v>3597</v>
      </c>
      <c r="E571" t="s">
        <v>3637</v>
      </c>
      <c r="F571" t="s">
        <v>3618</v>
      </c>
      <c r="G571" s="1">
        <v>1441849.48</v>
      </c>
    </row>
    <row r="572" spans="1:7">
      <c r="A572" t="s">
        <v>667</v>
      </c>
      <c r="B572" s="6">
        <v>45743</v>
      </c>
      <c r="C572" s="6" t="str">
        <f>TEXT(Table3[[#This Row],[transaction_date]], "yyyy-mm")</f>
        <v>2025-03</v>
      </c>
      <c r="D572" t="s">
        <v>80</v>
      </c>
      <c r="E572" t="s">
        <v>3636</v>
      </c>
      <c r="F572" t="s">
        <v>3608</v>
      </c>
      <c r="G572" s="1">
        <v>831017.03</v>
      </c>
    </row>
    <row r="573" spans="1:7">
      <c r="A573" t="s">
        <v>668</v>
      </c>
      <c r="B573" s="6">
        <v>45898</v>
      </c>
      <c r="C573" s="6" t="str">
        <f>TEXT(Table3[[#This Row],[transaction_date]], "yyyy-mm")</f>
        <v>2025-08</v>
      </c>
      <c r="D573" t="s">
        <v>82</v>
      </c>
      <c r="E573" t="s">
        <v>3636</v>
      </c>
      <c r="F573" t="s">
        <v>3606</v>
      </c>
      <c r="G573" s="1">
        <v>621252.46</v>
      </c>
    </row>
    <row r="574" spans="1:7">
      <c r="A574" t="s">
        <v>669</v>
      </c>
      <c r="B574" s="6">
        <v>45677</v>
      </c>
      <c r="C574" s="6" t="str">
        <f>TEXT(Table3[[#This Row],[transaction_date]], "yyyy-mm")</f>
        <v>2025-01</v>
      </c>
      <c r="D574" t="s">
        <v>3597</v>
      </c>
      <c r="E574" t="s">
        <v>3637</v>
      </c>
      <c r="F574" t="s">
        <v>3619</v>
      </c>
      <c r="G574" s="1">
        <v>6785730.6200000001</v>
      </c>
    </row>
    <row r="575" spans="1:7">
      <c r="A575" t="s">
        <v>670</v>
      </c>
      <c r="B575" s="6">
        <v>45917</v>
      </c>
      <c r="C575" s="6" t="str">
        <f>TEXT(Table3[[#This Row],[transaction_date]], "yyyy-mm")</f>
        <v>2025-09</v>
      </c>
      <c r="D575" t="s">
        <v>79</v>
      </c>
      <c r="E575" t="s">
        <v>3636</v>
      </c>
      <c r="F575" t="s">
        <v>3605</v>
      </c>
      <c r="G575" s="1">
        <v>801105.75</v>
      </c>
    </row>
    <row r="576" spans="1:7">
      <c r="A576" t="s">
        <v>671</v>
      </c>
      <c r="B576" s="6">
        <v>45819</v>
      </c>
      <c r="C576" s="6" t="str">
        <f>TEXT(Table3[[#This Row],[transaction_date]], "yyyy-mm")</f>
        <v>2025-06</v>
      </c>
      <c r="D576" t="s">
        <v>93</v>
      </c>
      <c r="E576" t="s">
        <v>3636</v>
      </c>
      <c r="F576" t="s">
        <v>3607</v>
      </c>
      <c r="G576" s="1">
        <v>3442205.58</v>
      </c>
    </row>
    <row r="577" spans="1:7">
      <c r="A577" t="s">
        <v>672</v>
      </c>
      <c r="B577" s="6">
        <v>45823</v>
      </c>
      <c r="C577" s="6" t="str">
        <f>TEXT(Table3[[#This Row],[transaction_date]], "yyyy-mm")</f>
        <v>2025-06</v>
      </c>
      <c r="D577" t="s">
        <v>82</v>
      </c>
      <c r="E577" t="s">
        <v>3637</v>
      </c>
      <c r="F577" t="s">
        <v>3622</v>
      </c>
      <c r="G577" s="1">
        <v>13737239.91</v>
      </c>
    </row>
    <row r="578" spans="1:7">
      <c r="A578" t="s">
        <v>673</v>
      </c>
      <c r="B578" s="6">
        <v>45878</v>
      </c>
      <c r="C578" s="6" t="str">
        <f>TEXT(Table3[[#This Row],[transaction_date]], "yyyy-mm")</f>
        <v>2025-08</v>
      </c>
      <c r="D578" t="s">
        <v>79</v>
      </c>
      <c r="E578" t="s">
        <v>3637</v>
      </c>
      <c r="F578" t="s">
        <v>3614</v>
      </c>
      <c r="G578" s="1">
        <v>2894271.28</v>
      </c>
    </row>
    <row r="579" spans="1:7">
      <c r="A579" t="s">
        <v>674</v>
      </c>
      <c r="B579" s="6">
        <v>45888</v>
      </c>
      <c r="C579" s="6" t="str">
        <f>TEXT(Table3[[#This Row],[transaction_date]], "yyyy-mm")</f>
        <v>2025-08</v>
      </c>
      <c r="D579" t="s">
        <v>73</v>
      </c>
      <c r="E579" t="s">
        <v>3637</v>
      </c>
      <c r="F579" t="s">
        <v>3619</v>
      </c>
      <c r="G579" s="1">
        <v>952395.66</v>
      </c>
    </row>
    <row r="580" spans="1:7">
      <c r="A580" t="s">
        <v>675</v>
      </c>
      <c r="B580" s="6">
        <v>45932</v>
      </c>
      <c r="C580" s="6" t="str">
        <f>TEXT(Table3[[#This Row],[transaction_date]], "yyyy-mm")</f>
        <v>2025-10</v>
      </c>
      <c r="D580" t="s">
        <v>80</v>
      </c>
      <c r="E580" t="s">
        <v>3636</v>
      </c>
      <c r="F580" t="s">
        <v>3605</v>
      </c>
      <c r="G580" s="1">
        <v>161514.45000000001</v>
      </c>
    </row>
    <row r="581" spans="1:7">
      <c r="A581" t="s">
        <v>676</v>
      </c>
      <c r="B581" s="6">
        <v>45705</v>
      </c>
      <c r="C581" s="6" t="str">
        <f>TEXT(Table3[[#This Row],[transaction_date]], "yyyy-mm")</f>
        <v>2025-02</v>
      </c>
      <c r="D581" t="s">
        <v>75</v>
      </c>
      <c r="E581" t="s">
        <v>3637</v>
      </c>
      <c r="F581" t="s">
        <v>3614</v>
      </c>
      <c r="G581" s="1">
        <v>16157627.75</v>
      </c>
    </row>
    <row r="582" spans="1:7">
      <c r="A582" t="s">
        <v>677</v>
      </c>
      <c r="B582" s="6">
        <v>45729</v>
      </c>
      <c r="C582" s="6" t="str">
        <f>TEXT(Table3[[#This Row],[transaction_date]], "yyyy-mm")</f>
        <v>2025-03</v>
      </c>
      <c r="D582" t="s">
        <v>76</v>
      </c>
      <c r="E582" t="s">
        <v>3636</v>
      </c>
      <c r="F582" t="s">
        <v>3608</v>
      </c>
      <c r="G582" s="1">
        <v>4607697.41</v>
      </c>
    </row>
    <row r="583" spans="1:7">
      <c r="A583" t="s">
        <v>678</v>
      </c>
      <c r="B583" s="6">
        <v>45763</v>
      </c>
      <c r="C583" s="6" t="str">
        <f>TEXT(Table3[[#This Row],[transaction_date]], "yyyy-mm")</f>
        <v>2025-04</v>
      </c>
      <c r="D583" t="s">
        <v>84</v>
      </c>
      <c r="E583" t="s">
        <v>3636</v>
      </c>
      <c r="F583" t="s">
        <v>3608</v>
      </c>
      <c r="G583" s="1">
        <v>16525654.5</v>
      </c>
    </row>
    <row r="584" spans="1:7">
      <c r="A584" t="s">
        <v>679</v>
      </c>
      <c r="B584" s="6">
        <v>45851</v>
      </c>
      <c r="C584" s="6" t="str">
        <f>TEXT(Table3[[#This Row],[transaction_date]], "yyyy-mm")</f>
        <v>2025-07</v>
      </c>
      <c r="D584" t="s">
        <v>85</v>
      </c>
      <c r="E584" t="s">
        <v>3636</v>
      </c>
      <c r="F584" t="s">
        <v>3613</v>
      </c>
      <c r="G584" s="1">
        <v>2211015.65</v>
      </c>
    </row>
    <row r="585" spans="1:7">
      <c r="A585" t="s">
        <v>680</v>
      </c>
      <c r="B585" s="6">
        <v>45996</v>
      </c>
      <c r="C585" s="6" t="str">
        <f>TEXT(Table3[[#This Row],[transaction_date]], "yyyy-mm")</f>
        <v>2025-12</v>
      </c>
      <c r="D585" t="s">
        <v>82</v>
      </c>
      <c r="E585" t="s">
        <v>3637</v>
      </c>
      <c r="F585" t="s">
        <v>3615</v>
      </c>
      <c r="G585" s="1">
        <v>7862772.4699999997</v>
      </c>
    </row>
    <row r="586" spans="1:7">
      <c r="A586" t="s">
        <v>681</v>
      </c>
      <c r="B586" s="6">
        <v>45670</v>
      </c>
      <c r="C586" s="6" t="str">
        <f>TEXT(Table3[[#This Row],[transaction_date]], "yyyy-mm")</f>
        <v>2025-01</v>
      </c>
      <c r="D586" t="s">
        <v>84</v>
      </c>
      <c r="E586" t="s">
        <v>3637</v>
      </c>
      <c r="F586" t="s">
        <v>3620</v>
      </c>
      <c r="G586" s="1">
        <v>10807729.869999999</v>
      </c>
    </row>
    <row r="587" spans="1:7">
      <c r="A587" t="s">
        <v>682</v>
      </c>
      <c r="B587" s="6">
        <v>45726</v>
      </c>
      <c r="C587" s="6" t="str">
        <f>TEXT(Table3[[#This Row],[transaction_date]], "yyyy-mm")</f>
        <v>2025-03</v>
      </c>
      <c r="D587" t="s">
        <v>73</v>
      </c>
      <c r="E587" t="s">
        <v>3637</v>
      </c>
      <c r="F587" t="s">
        <v>3621</v>
      </c>
      <c r="G587" s="1">
        <v>4494092.18</v>
      </c>
    </row>
    <row r="588" spans="1:7">
      <c r="A588" t="s">
        <v>683</v>
      </c>
      <c r="B588" s="6">
        <v>45926</v>
      </c>
      <c r="C588" s="6" t="str">
        <f>TEXT(Table3[[#This Row],[transaction_date]], "yyyy-mm")</f>
        <v>2025-09</v>
      </c>
      <c r="D588" t="s">
        <v>89</v>
      </c>
      <c r="E588" t="s">
        <v>3636</v>
      </c>
      <c r="F588" t="s">
        <v>3609</v>
      </c>
      <c r="G588" s="1">
        <v>1527677.87</v>
      </c>
    </row>
    <row r="589" spans="1:7">
      <c r="A589" t="s">
        <v>684</v>
      </c>
      <c r="B589" s="6">
        <v>45742</v>
      </c>
      <c r="C589" s="6" t="str">
        <f>TEXT(Table3[[#This Row],[transaction_date]], "yyyy-mm")</f>
        <v>2025-03</v>
      </c>
      <c r="D589" t="s">
        <v>93</v>
      </c>
      <c r="E589" t="s">
        <v>3636</v>
      </c>
      <c r="F589" t="s">
        <v>3610</v>
      </c>
      <c r="G589" s="1">
        <v>4342600.38</v>
      </c>
    </row>
    <row r="590" spans="1:7">
      <c r="A590" t="s">
        <v>685</v>
      </c>
      <c r="B590" s="6">
        <v>45766</v>
      </c>
      <c r="C590" s="6" t="str">
        <f>TEXT(Table3[[#This Row],[transaction_date]], "yyyy-mm")</f>
        <v>2025-04</v>
      </c>
      <c r="D590" t="s">
        <v>78</v>
      </c>
      <c r="E590" t="s">
        <v>3636</v>
      </c>
      <c r="F590" t="s">
        <v>3609</v>
      </c>
      <c r="G590" s="1">
        <v>1090022.99</v>
      </c>
    </row>
    <row r="591" spans="1:7">
      <c r="A591" t="s">
        <v>686</v>
      </c>
      <c r="B591" s="6">
        <v>45746</v>
      </c>
      <c r="C591" s="6" t="str">
        <f>TEXT(Table3[[#This Row],[transaction_date]], "yyyy-mm")</f>
        <v>2025-03</v>
      </c>
      <c r="D591" t="s">
        <v>93</v>
      </c>
      <c r="E591" t="s">
        <v>3637</v>
      </c>
      <c r="F591" t="s">
        <v>3616</v>
      </c>
      <c r="G591" s="1">
        <v>3116244.24</v>
      </c>
    </row>
    <row r="592" spans="1:7">
      <c r="A592" t="s">
        <v>687</v>
      </c>
      <c r="B592" s="6">
        <v>45817</v>
      </c>
      <c r="C592" s="6" t="str">
        <f>TEXT(Table3[[#This Row],[transaction_date]], "yyyy-mm")</f>
        <v>2025-06</v>
      </c>
      <c r="D592" t="s">
        <v>95</v>
      </c>
      <c r="E592" t="s">
        <v>3637</v>
      </c>
      <c r="F592" t="s">
        <v>3621</v>
      </c>
      <c r="G592" s="1">
        <v>10953934.810000001</v>
      </c>
    </row>
    <row r="593" spans="1:7">
      <c r="A593" t="s">
        <v>688</v>
      </c>
      <c r="B593" s="6">
        <v>45779</v>
      </c>
      <c r="C593" s="6" t="str">
        <f>TEXT(Table3[[#This Row],[transaction_date]], "yyyy-mm")</f>
        <v>2025-05</v>
      </c>
      <c r="D593" t="s">
        <v>93</v>
      </c>
      <c r="E593" t="s">
        <v>3637</v>
      </c>
      <c r="F593" t="s">
        <v>3621</v>
      </c>
      <c r="G593" s="1">
        <v>4150736.11</v>
      </c>
    </row>
    <row r="594" spans="1:7">
      <c r="A594" t="s">
        <v>689</v>
      </c>
      <c r="B594" s="6">
        <v>45823</v>
      </c>
      <c r="C594" s="6" t="str">
        <f>TEXT(Table3[[#This Row],[transaction_date]], "yyyy-mm")</f>
        <v>2025-06</v>
      </c>
      <c r="D594" t="s">
        <v>3597</v>
      </c>
      <c r="E594" t="s">
        <v>3637</v>
      </c>
      <c r="F594" t="s">
        <v>3618</v>
      </c>
      <c r="G594" s="1">
        <v>885778.57</v>
      </c>
    </row>
    <row r="595" spans="1:7">
      <c r="A595" t="s">
        <v>690</v>
      </c>
      <c r="B595" s="6">
        <v>45904</v>
      </c>
      <c r="C595" s="6" t="str">
        <f>TEXT(Table3[[#This Row],[transaction_date]], "yyyy-mm")</f>
        <v>2025-09</v>
      </c>
      <c r="D595" t="s">
        <v>75</v>
      </c>
      <c r="E595" t="s">
        <v>3636</v>
      </c>
      <c r="F595" t="s">
        <v>3606</v>
      </c>
      <c r="G595" s="1">
        <v>2428099.25</v>
      </c>
    </row>
    <row r="596" spans="1:7">
      <c r="A596" t="s">
        <v>691</v>
      </c>
      <c r="B596" s="6">
        <v>45757</v>
      </c>
      <c r="C596" s="6" t="str">
        <f>TEXT(Table3[[#This Row],[transaction_date]], "yyyy-mm")</f>
        <v>2025-04</v>
      </c>
      <c r="D596" t="s">
        <v>89</v>
      </c>
      <c r="E596" t="s">
        <v>3636</v>
      </c>
      <c r="F596" t="s">
        <v>3609</v>
      </c>
      <c r="G596" s="1">
        <v>1412921.84</v>
      </c>
    </row>
    <row r="597" spans="1:7">
      <c r="A597" t="s">
        <v>692</v>
      </c>
      <c r="B597" s="6">
        <v>45687</v>
      </c>
      <c r="C597" s="6" t="str">
        <f>TEXT(Table3[[#This Row],[transaction_date]], "yyyy-mm")</f>
        <v>2025-01</v>
      </c>
      <c r="D597" t="s">
        <v>95</v>
      </c>
      <c r="E597" t="s">
        <v>3636</v>
      </c>
      <c r="F597" t="s">
        <v>3610</v>
      </c>
      <c r="G597" s="1">
        <v>251777.54</v>
      </c>
    </row>
    <row r="598" spans="1:7">
      <c r="A598" t="s">
        <v>693</v>
      </c>
      <c r="B598" s="6">
        <v>45740</v>
      </c>
      <c r="C598" s="6" t="str">
        <f>TEXT(Table3[[#This Row],[transaction_date]], "yyyy-mm")</f>
        <v>2025-03</v>
      </c>
      <c r="D598" t="s">
        <v>73</v>
      </c>
      <c r="E598" t="s">
        <v>3637</v>
      </c>
      <c r="F598" t="s">
        <v>3620</v>
      </c>
      <c r="G598" s="1">
        <v>377755.74</v>
      </c>
    </row>
    <row r="599" spans="1:7">
      <c r="A599" t="s">
        <v>694</v>
      </c>
      <c r="B599" s="6">
        <v>45760</v>
      </c>
      <c r="C599" s="6" t="str">
        <f>TEXT(Table3[[#This Row],[transaction_date]], "yyyy-mm")</f>
        <v>2025-04</v>
      </c>
      <c r="D599" t="s">
        <v>78</v>
      </c>
      <c r="E599" t="s">
        <v>3637</v>
      </c>
      <c r="F599" t="s">
        <v>3621</v>
      </c>
      <c r="G599" s="1">
        <v>1481111.13</v>
      </c>
    </row>
    <row r="600" spans="1:7">
      <c r="A600" t="s">
        <v>695</v>
      </c>
      <c r="B600" s="6">
        <v>45956</v>
      </c>
      <c r="C600" s="6" t="str">
        <f>TEXT(Table3[[#This Row],[transaction_date]], "yyyy-mm")</f>
        <v>2025-10</v>
      </c>
      <c r="D600" t="s">
        <v>90</v>
      </c>
      <c r="E600" t="s">
        <v>3636</v>
      </c>
      <c r="F600" t="s">
        <v>3610</v>
      </c>
      <c r="G600" s="1">
        <v>13387186.1</v>
      </c>
    </row>
    <row r="601" spans="1:7">
      <c r="A601" t="s">
        <v>696</v>
      </c>
      <c r="B601" s="6">
        <v>45981</v>
      </c>
      <c r="C601" s="6" t="str">
        <f>TEXT(Table3[[#This Row],[transaction_date]], "yyyy-mm")</f>
        <v>2025-11</v>
      </c>
      <c r="D601" t="s">
        <v>95</v>
      </c>
      <c r="E601" t="s">
        <v>3636</v>
      </c>
      <c r="F601" t="s">
        <v>3608</v>
      </c>
      <c r="G601" s="1">
        <v>20443435.600000001</v>
      </c>
    </row>
    <row r="602" spans="1:7">
      <c r="A602" t="s">
        <v>697</v>
      </c>
      <c r="B602" s="6">
        <v>46008</v>
      </c>
      <c r="C602" s="6" t="str">
        <f>TEXT(Table3[[#This Row],[transaction_date]], "yyyy-mm")</f>
        <v>2025-12</v>
      </c>
      <c r="D602" t="s">
        <v>74</v>
      </c>
      <c r="E602" t="s">
        <v>3636</v>
      </c>
      <c r="F602" t="s">
        <v>3607</v>
      </c>
      <c r="G602" s="1">
        <v>30845.3</v>
      </c>
    </row>
    <row r="603" spans="1:7">
      <c r="A603" t="s">
        <v>698</v>
      </c>
      <c r="B603" s="6">
        <v>45766</v>
      </c>
      <c r="C603" s="6" t="str">
        <f>TEXT(Table3[[#This Row],[transaction_date]], "yyyy-mm")</f>
        <v>2025-04</v>
      </c>
      <c r="D603" t="s">
        <v>89</v>
      </c>
      <c r="E603" t="s">
        <v>3637</v>
      </c>
      <c r="F603" t="s">
        <v>3623</v>
      </c>
      <c r="G603" s="1">
        <v>376595.65</v>
      </c>
    </row>
    <row r="604" spans="1:7">
      <c r="A604" t="s">
        <v>699</v>
      </c>
      <c r="B604" s="6">
        <v>45846</v>
      </c>
      <c r="C604" s="6" t="str">
        <f>TEXT(Table3[[#This Row],[transaction_date]], "yyyy-mm")</f>
        <v>2025-07</v>
      </c>
      <c r="D604" t="s">
        <v>82</v>
      </c>
      <c r="E604" t="s">
        <v>3637</v>
      </c>
      <c r="F604" t="s">
        <v>3623</v>
      </c>
      <c r="G604" s="1">
        <v>10455888.17</v>
      </c>
    </row>
    <row r="605" spans="1:7">
      <c r="A605" t="s">
        <v>700</v>
      </c>
      <c r="B605" s="6">
        <v>45662</v>
      </c>
      <c r="C605" s="6" t="str">
        <f>TEXT(Table3[[#This Row],[transaction_date]], "yyyy-mm")</f>
        <v>2025-01</v>
      </c>
      <c r="D605" t="s">
        <v>93</v>
      </c>
      <c r="E605" t="s">
        <v>3637</v>
      </c>
      <c r="F605" t="s">
        <v>3614</v>
      </c>
      <c r="G605" s="1">
        <v>3918416.77</v>
      </c>
    </row>
    <row r="606" spans="1:7">
      <c r="A606" t="s">
        <v>701</v>
      </c>
      <c r="B606" s="6">
        <v>45780</v>
      </c>
      <c r="C606" s="6" t="str">
        <f>TEXT(Table3[[#This Row],[transaction_date]], "yyyy-mm")</f>
        <v>2025-05</v>
      </c>
      <c r="D606" t="s">
        <v>75</v>
      </c>
      <c r="E606" t="s">
        <v>3637</v>
      </c>
      <c r="F606" t="s">
        <v>3615</v>
      </c>
      <c r="G606" s="1">
        <v>2022739.73</v>
      </c>
    </row>
    <row r="607" spans="1:7">
      <c r="A607" t="s">
        <v>702</v>
      </c>
      <c r="B607" s="6">
        <v>45850</v>
      </c>
      <c r="C607" s="6" t="str">
        <f>TEXT(Table3[[#This Row],[transaction_date]], "yyyy-mm")</f>
        <v>2025-07</v>
      </c>
      <c r="D607" t="s">
        <v>89</v>
      </c>
      <c r="E607" t="s">
        <v>3637</v>
      </c>
      <c r="F607" t="s">
        <v>3623</v>
      </c>
      <c r="G607" s="1">
        <v>681462.03</v>
      </c>
    </row>
    <row r="608" spans="1:7">
      <c r="A608" t="s">
        <v>703</v>
      </c>
      <c r="B608" s="6">
        <v>45974</v>
      </c>
      <c r="C608" s="6" t="str">
        <f>TEXT(Table3[[#This Row],[transaction_date]], "yyyy-mm")</f>
        <v>2025-11</v>
      </c>
      <c r="D608" t="s">
        <v>76</v>
      </c>
      <c r="E608" t="s">
        <v>3637</v>
      </c>
      <c r="F608" t="s">
        <v>3622</v>
      </c>
      <c r="G608" s="1">
        <v>7840591.2400000002</v>
      </c>
    </row>
    <row r="609" spans="1:7">
      <c r="A609" t="s">
        <v>704</v>
      </c>
      <c r="B609" s="6">
        <v>46012</v>
      </c>
      <c r="C609" s="6" t="str">
        <f>TEXT(Table3[[#This Row],[transaction_date]], "yyyy-mm")</f>
        <v>2025-12</v>
      </c>
      <c r="D609" t="s">
        <v>80</v>
      </c>
      <c r="E609" t="s">
        <v>3637</v>
      </c>
      <c r="F609" t="s">
        <v>3623</v>
      </c>
      <c r="G609" s="1">
        <v>1878992.14</v>
      </c>
    </row>
    <row r="610" spans="1:7">
      <c r="A610" t="s">
        <v>705</v>
      </c>
      <c r="B610" s="6">
        <v>45916</v>
      </c>
      <c r="C610" s="6" t="str">
        <f>TEXT(Table3[[#This Row],[transaction_date]], "yyyy-mm")</f>
        <v>2025-09</v>
      </c>
      <c r="D610" t="s">
        <v>77</v>
      </c>
      <c r="E610" t="s">
        <v>3637</v>
      </c>
      <c r="F610" t="s">
        <v>3617</v>
      </c>
      <c r="G610" s="1">
        <v>6831571.8799999999</v>
      </c>
    </row>
    <row r="611" spans="1:7">
      <c r="A611" t="s">
        <v>706</v>
      </c>
      <c r="B611" s="6">
        <v>46009</v>
      </c>
      <c r="C611" s="6" t="str">
        <f>TEXT(Table3[[#This Row],[transaction_date]], "yyyy-mm")</f>
        <v>2025-12</v>
      </c>
      <c r="D611" t="s">
        <v>93</v>
      </c>
      <c r="E611" t="s">
        <v>3636</v>
      </c>
      <c r="F611" t="s">
        <v>3611</v>
      </c>
      <c r="G611" s="1">
        <v>8077750.2999999998</v>
      </c>
    </row>
    <row r="612" spans="1:7">
      <c r="A612" t="s">
        <v>707</v>
      </c>
      <c r="B612" s="6">
        <v>45793</v>
      </c>
      <c r="C612" s="6" t="str">
        <f>TEXT(Table3[[#This Row],[transaction_date]], "yyyy-mm")</f>
        <v>2025-05</v>
      </c>
      <c r="D612" t="s">
        <v>74</v>
      </c>
      <c r="E612" t="s">
        <v>3637</v>
      </c>
      <c r="F612" t="s">
        <v>3618</v>
      </c>
      <c r="G612" s="1">
        <v>344613.62</v>
      </c>
    </row>
    <row r="613" spans="1:7">
      <c r="A613" t="s">
        <v>708</v>
      </c>
      <c r="B613" s="6">
        <v>45832</v>
      </c>
      <c r="C613" s="6" t="str">
        <f>TEXT(Table3[[#This Row],[transaction_date]], "yyyy-mm")</f>
        <v>2025-06</v>
      </c>
      <c r="D613" t="s">
        <v>93</v>
      </c>
      <c r="E613" t="s">
        <v>3636</v>
      </c>
      <c r="F613" t="s">
        <v>3604</v>
      </c>
      <c r="G613" s="1">
        <v>4278884.62</v>
      </c>
    </row>
    <row r="614" spans="1:7">
      <c r="A614" t="s">
        <v>709</v>
      </c>
      <c r="B614" s="6">
        <v>45701</v>
      </c>
      <c r="C614" s="6" t="str">
        <f>TEXT(Table3[[#This Row],[transaction_date]], "yyyy-mm")</f>
        <v>2025-02</v>
      </c>
      <c r="D614" t="s">
        <v>90</v>
      </c>
      <c r="E614" t="s">
        <v>3636</v>
      </c>
      <c r="F614" t="s">
        <v>3604</v>
      </c>
      <c r="G614" s="1">
        <v>4149118.18</v>
      </c>
    </row>
    <row r="615" spans="1:7">
      <c r="A615" t="s">
        <v>710</v>
      </c>
      <c r="B615" s="6">
        <v>45732</v>
      </c>
      <c r="C615" s="6" t="str">
        <f>TEXT(Table3[[#This Row],[transaction_date]], "yyyy-mm")</f>
        <v>2025-03</v>
      </c>
      <c r="D615" t="s">
        <v>84</v>
      </c>
      <c r="E615" t="s">
        <v>3637</v>
      </c>
      <c r="F615" t="s">
        <v>3621</v>
      </c>
      <c r="G615" s="1">
        <v>4327039.29</v>
      </c>
    </row>
    <row r="616" spans="1:7">
      <c r="A616" t="s">
        <v>711</v>
      </c>
      <c r="B616" s="6">
        <v>46001</v>
      </c>
      <c r="C616" s="6" t="str">
        <f>TEXT(Table3[[#This Row],[transaction_date]], "yyyy-mm")</f>
        <v>2025-12</v>
      </c>
      <c r="D616" t="s">
        <v>74</v>
      </c>
      <c r="E616" t="s">
        <v>3637</v>
      </c>
      <c r="F616" t="s">
        <v>3621</v>
      </c>
      <c r="G616" s="1">
        <v>395694.49</v>
      </c>
    </row>
    <row r="617" spans="1:7">
      <c r="A617" t="s">
        <v>712</v>
      </c>
      <c r="B617" s="6">
        <v>45863</v>
      </c>
      <c r="C617" s="6" t="str">
        <f>TEXT(Table3[[#This Row],[transaction_date]], "yyyy-mm")</f>
        <v>2025-07</v>
      </c>
      <c r="D617" t="s">
        <v>77</v>
      </c>
      <c r="E617" t="s">
        <v>3637</v>
      </c>
      <c r="F617" t="s">
        <v>3619</v>
      </c>
      <c r="G617" s="1">
        <v>5514876.71</v>
      </c>
    </row>
    <row r="618" spans="1:7">
      <c r="A618" t="s">
        <v>713</v>
      </c>
      <c r="B618" s="6">
        <v>45763</v>
      </c>
      <c r="C618" s="6" t="str">
        <f>TEXT(Table3[[#This Row],[transaction_date]], "yyyy-mm")</f>
        <v>2025-04</v>
      </c>
      <c r="D618" t="s">
        <v>3597</v>
      </c>
      <c r="E618" t="s">
        <v>3637</v>
      </c>
      <c r="F618" t="s">
        <v>3619</v>
      </c>
      <c r="G618" s="1">
        <v>13080754.960000001</v>
      </c>
    </row>
    <row r="619" spans="1:7">
      <c r="A619" t="s">
        <v>714</v>
      </c>
      <c r="B619" s="6">
        <v>45986</v>
      </c>
      <c r="C619" s="6" t="str">
        <f>TEXT(Table3[[#This Row],[transaction_date]], "yyyy-mm")</f>
        <v>2025-11</v>
      </c>
      <c r="D619" t="s">
        <v>73</v>
      </c>
      <c r="E619" t="s">
        <v>3637</v>
      </c>
      <c r="F619" t="s">
        <v>3616</v>
      </c>
      <c r="G619" s="1">
        <v>1276514.03</v>
      </c>
    </row>
    <row r="620" spans="1:7">
      <c r="A620" t="s">
        <v>715</v>
      </c>
      <c r="B620" s="6">
        <v>46012</v>
      </c>
      <c r="C620" s="6" t="str">
        <f>TEXT(Table3[[#This Row],[transaction_date]], "yyyy-mm")</f>
        <v>2025-12</v>
      </c>
      <c r="D620" t="s">
        <v>78</v>
      </c>
      <c r="E620" t="s">
        <v>3636</v>
      </c>
      <c r="F620" t="s">
        <v>3612</v>
      </c>
      <c r="G620" s="1">
        <v>7394613.04</v>
      </c>
    </row>
    <row r="621" spans="1:7">
      <c r="A621" t="s">
        <v>716</v>
      </c>
      <c r="B621" s="6">
        <v>45725</v>
      </c>
      <c r="C621" s="6" t="str">
        <f>TEXT(Table3[[#This Row],[transaction_date]], "yyyy-mm")</f>
        <v>2025-03</v>
      </c>
      <c r="D621" t="s">
        <v>89</v>
      </c>
      <c r="E621" t="s">
        <v>3637</v>
      </c>
      <c r="F621" t="s">
        <v>3617</v>
      </c>
      <c r="G621" s="1">
        <v>330921.69</v>
      </c>
    </row>
    <row r="622" spans="1:7">
      <c r="A622" t="s">
        <v>717</v>
      </c>
      <c r="B622" s="6">
        <v>45698</v>
      </c>
      <c r="C622" s="6" t="str">
        <f>TEXT(Table3[[#This Row],[transaction_date]], "yyyy-mm")</f>
        <v>2025-02</v>
      </c>
      <c r="D622" t="s">
        <v>85</v>
      </c>
      <c r="E622" t="s">
        <v>3637</v>
      </c>
      <c r="F622" t="s">
        <v>3614</v>
      </c>
      <c r="G622" s="1">
        <v>2923669.95</v>
      </c>
    </row>
    <row r="623" spans="1:7">
      <c r="A623" t="s">
        <v>718</v>
      </c>
      <c r="B623" s="6">
        <v>45906</v>
      </c>
      <c r="C623" s="6" t="str">
        <f>TEXT(Table3[[#This Row],[transaction_date]], "yyyy-mm")</f>
        <v>2025-09</v>
      </c>
      <c r="D623" t="s">
        <v>77</v>
      </c>
      <c r="E623" t="s">
        <v>3636</v>
      </c>
      <c r="F623" t="s">
        <v>3610</v>
      </c>
      <c r="G623" s="1">
        <v>2522745.21</v>
      </c>
    </row>
    <row r="624" spans="1:7">
      <c r="A624" t="s">
        <v>719</v>
      </c>
      <c r="B624" s="6">
        <v>45764</v>
      </c>
      <c r="C624" s="6" t="str">
        <f>TEXT(Table3[[#This Row],[transaction_date]], "yyyy-mm")</f>
        <v>2025-04</v>
      </c>
      <c r="D624" t="s">
        <v>73</v>
      </c>
      <c r="E624" t="s">
        <v>3637</v>
      </c>
      <c r="F624" t="s">
        <v>3619</v>
      </c>
      <c r="G624" s="1">
        <v>801622.85</v>
      </c>
    </row>
    <row r="625" spans="1:7">
      <c r="A625" t="s">
        <v>720</v>
      </c>
      <c r="B625" s="6">
        <v>45910</v>
      </c>
      <c r="C625" s="6" t="str">
        <f>TEXT(Table3[[#This Row],[transaction_date]], "yyyy-mm")</f>
        <v>2025-09</v>
      </c>
      <c r="D625" t="s">
        <v>80</v>
      </c>
      <c r="E625" t="s">
        <v>3636</v>
      </c>
      <c r="F625" t="s">
        <v>3609</v>
      </c>
      <c r="G625" s="1">
        <v>3490708.27</v>
      </c>
    </row>
    <row r="626" spans="1:7">
      <c r="A626" t="s">
        <v>721</v>
      </c>
      <c r="B626" s="6">
        <v>45955</v>
      </c>
      <c r="C626" s="6" t="str">
        <f>TEXT(Table3[[#This Row],[transaction_date]], "yyyy-mm")</f>
        <v>2025-10</v>
      </c>
      <c r="D626" t="s">
        <v>79</v>
      </c>
      <c r="E626" t="s">
        <v>3636</v>
      </c>
      <c r="F626" t="s">
        <v>3613</v>
      </c>
      <c r="G626" s="1">
        <v>854020.33</v>
      </c>
    </row>
    <row r="627" spans="1:7">
      <c r="A627" t="s">
        <v>722</v>
      </c>
      <c r="B627" s="6">
        <v>45796</v>
      </c>
      <c r="C627" s="6" t="str">
        <f>TEXT(Table3[[#This Row],[transaction_date]], "yyyy-mm")</f>
        <v>2025-05</v>
      </c>
      <c r="D627" t="s">
        <v>95</v>
      </c>
      <c r="E627" t="s">
        <v>3637</v>
      </c>
      <c r="F627" t="s">
        <v>3616</v>
      </c>
      <c r="G627" s="1">
        <v>14974965.880000001</v>
      </c>
    </row>
    <row r="628" spans="1:7">
      <c r="A628" t="s">
        <v>723</v>
      </c>
      <c r="B628" s="6">
        <v>45985</v>
      </c>
      <c r="C628" s="6" t="str">
        <f>TEXT(Table3[[#This Row],[transaction_date]], "yyyy-mm")</f>
        <v>2025-11</v>
      </c>
      <c r="D628" t="s">
        <v>82</v>
      </c>
      <c r="E628" t="s">
        <v>3636</v>
      </c>
      <c r="F628" t="s">
        <v>3606</v>
      </c>
      <c r="G628" s="1">
        <v>3981518.23</v>
      </c>
    </row>
    <row r="629" spans="1:7">
      <c r="A629" t="s">
        <v>724</v>
      </c>
      <c r="B629" s="6">
        <v>45776</v>
      </c>
      <c r="C629" s="6" t="str">
        <f>TEXT(Table3[[#This Row],[transaction_date]], "yyyy-mm")</f>
        <v>2025-04</v>
      </c>
      <c r="D629" t="s">
        <v>77</v>
      </c>
      <c r="E629" t="s">
        <v>3636</v>
      </c>
      <c r="F629" t="s">
        <v>3606</v>
      </c>
      <c r="G629" s="1">
        <v>153605.51</v>
      </c>
    </row>
    <row r="630" spans="1:7">
      <c r="A630" t="s">
        <v>725</v>
      </c>
      <c r="B630" s="6">
        <v>45682</v>
      </c>
      <c r="C630" s="6" t="str">
        <f>TEXT(Table3[[#This Row],[transaction_date]], "yyyy-mm")</f>
        <v>2025-01</v>
      </c>
      <c r="D630" t="s">
        <v>75</v>
      </c>
      <c r="E630" t="s">
        <v>3636</v>
      </c>
      <c r="F630" t="s">
        <v>3606</v>
      </c>
      <c r="G630" s="1">
        <v>647243</v>
      </c>
    </row>
    <row r="631" spans="1:7">
      <c r="A631" t="s">
        <v>726</v>
      </c>
      <c r="B631" s="6">
        <v>45697</v>
      </c>
      <c r="C631" s="6" t="str">
        <f>TEXT(Table3[[#This Row],[transaction_date]], "yyyy-mm")</f>
        <v>2025-02</v>
      </c>
      <c r="D631" t="s">
        <v>3597</v>
      </c>
      <c r="E631" t="s">
        <v>3637</v>
      </c>
      <c r="F631" t="s">
        <v>3623</v>
      </c>
      <c r="G631" s="1">
        <v>1156212.98</v>
      </c>
    </row>
    <row r="632" spans="1:7">
      <c r="A632" t="s">
        <v>727</v>
      </c>
      <c r="B632" s="6">
        <v>45687</v>
      </c>
      <c r="C632" s="6" t="str">
        <f>TEXT(Table3[[#This Row],[transaction_date]], "yyyy-mm")</f>
        <v>2025-01</v>
      </c>
      <c r="D632" t="s">
        <v>84</v>
      </c>
      <c r="E632" t="s">
        <v>3636</v>
      </c>
      <c r="F632" t="s">
        <v>3605</v>
      </c>
      <c r="G632" s="1">
        <v>55185.54</v>
      </c>
    </row>
    <row r="633" spans="1:7">
      <c r="A633" t="s">
        <v>728</v>
      </c>
      <c r="B633" s="6">
        <v>45874</v>
      </c>
      <c r="C633" s="6" t="str">
        <f>TEXT(Table3[[#This Row],[transaction_date]], "yyyy-mm")</f>
        <v>2025-08</v>
      </c>
      <c r="D633" t="s">
        <v>79</v>
      </c>
      <c r="E633" t="s">
        <v>3637</v>
      </c>
      <c r="F633" t="s">
        <v>3622</v>
      </c>
      <c r="G633" s="1">
        <v>5640182.1799999997</v>
      </c>
    </row>
    <row r="634" spans="1:7">
      <c r="A634" t="s">
        <v>729</v>
      </c>
      <c r="B634" s="6">
        <v>45781</v>
      </c>
      <c r="C634" s="6" t="str">
        <f>TEXT(Table3[[#This Row],[transaction_date]], "yyyy-mm")</f>
        <v>2025-05</v>
      </c>
      <c r="D634" t="s">
        <v>77</v>
      </c>
      <c r="E634" t="s">
        <v>3637</v>
      </c>
      <c r="F634" t="s">
        <v>3620</v>
      </c>
      <c r="G634" s="1">
        <v>5244096.01</v>
      </c>
    </row>
    <row r="635" spans="1:7">
      <c r="A635" t="s">
        <v>730</v>
      </c>
      <c r="B635" s="6">
        <v>45879</v>
      </c>
      <c r="C635" s="6" t="str">
        <f>TEXT(Table3[[#This Row],[transaction_date]], "yyyy-mm")</f>
        <v>2025-08</v>
      </c>
      <c r="D635" t="s">
        <v>73</v>
      </c>
      <c r="E635" t="s">
        <v>3636</v>
      </c>
      <c r="F635" t="s">
        <v>3605</v>
      </c>
      <c r="G635" s="1">
        <v>1840984.67</v>
      </c>
    </row>
    <row r="636" spans="1:7">
      <c r="A636" t="s">
        <v>731</v>
      </c>
      <c r="B636" s="6">
        <v>45979</v>
      </c>
      <c r="C636" s="6" t="str">
        <f>TEXT(Table3[[#This Row],[transaction_date]], "yyyy-mm")</f>
        <v>2025-11</v>
      </c>
      <c r="D636" t="s">
        <v>90</v>
      </c>
      <c r="E636" t="s">
        <v>3636</v>
      </c>
      <c r="F636" t="s">
        <v>3607</v>
      </c>
      <c r="G636" s="1">
        <v>3948113.48</v>
      </c>
    </row>
    <row r="637" spans="1:7">
      <c r="A637" t="s">
        <v>732</v>
      </c>
      <c r="B637" s="6">
        <v>45892</v>
      </c>
      <c r="C637" s="6" t="str">
        <f>TEXT(Table3[[#This Row],[transaction_date]], "yyyy-mm")</f>
        <v>2025-08</v>
      </c>
      <c r="D637" t="s">
        <v>85</v>
      </c>
      <c r="E637" t="s">
        <v>3637</v>
      </c>
      <c r="F637" t="s">
        <v>3618</v>
      </c>
      <c r="G637" s="1">
        <v>508409.79</v>
      </c>
    </row>
    <row r="638" spans="1:7">
      <c r="A638" t="s">
        <v>733</v>
      </c>
      <c r="B638" s="6">
        <v>45919</v>
      </c>
      <c r="C638" s="6" t="str">
        <f>TEXT(Table3[[#This Row],[transaction_date]], "yyyy-mm")</f>
        <v>2025-09</v>
      </c>
      <c r="D638" t="s">
        <v>78</v>
      </c>
      <c r="E638" t="s">
        <v>3636</v>
      </c>
      <c r="F638" t="s">
        <v>3612</v>
      </c>
      <c r="G638" s="1">
        <v>4986557.07</v>
      </c>
    </row>
    <row r="639" spans="1:7">
      <c r="A639" t="s">
        <v>734</v>
      </c>
      <c r="B639" s="6">
        <v>45728</v>
      </c>
      <c r="C639" s="6" t="str">
        <f>TEXT(Table3[[#This Row],[transaction_date]], "yyyy-mm")</f>
        <v>2025-03</v>
      </c>
      <c r="D639" t="s">
        <v>95</v>
      </c>
      <c r="E639" t="s">
        <v>3637</v>
      </c>
      <c r="F639" t="s">
        <v>3622</v>
      </c>
      <c r="G639" s="1">
        <v>4025015.85</v>
      </c>
    </row>
    <row r="640" spans="1:7">
      <c r="A640" t="s">
        <v>735</v>
      </c>
      <c r="B640" s="6">
        <v>45868</v>
      </c>
      <c r="C640" s="6" t="str">
        <f>TEXT(Table3[[#This Row],[transaction_date]], "yyyy-mm")</f>
        <v>2025-07</v>
      </c>
      <c r="D640" t="s">
        <v>73</v>
      </c>
      <c r="E640" t="s">
        <v>3636</v>
      </c>
      <c r="F640" t="s">
        <v>3612</v>
      </c>
      <c r="G640" s="1">
        <v>2234130.2999999998</v>
      </c>
    </row>
    <row r="641" spans="1:7">
      <c r="A641" t="s">
        <v>736</v>
      </c>
      <c r="B641" s="6">
        <v>45687</v>
      </c>
      <c r="C641" s="6" t="str">
        <f>TEXT(Table3[[#This Row],[transaction_date]], "yyyy-mm")</f>
        <v>2025-01</v>
      </c>
      <c r="D641" t="s">
        <v>73</v>
      </c>
      <c r="E641" t="s">
        <v>3636</v>
      </c>
      <c r="F641" t="s">
        <v>3609</v>
      </c>
      <c r="G641" s="1">
        <v>132958.45000000001</v>
      </c>
    </row>
    <row r="642" spans="1:7">
      <c r="A642" t="s">
        <v>737</v>
      </c>
      <c r="B642" s="6">
        <v>46001</v>
      </c>
      <c r="C642" s="6" t="str">
        <f>TEXT(Table3[[#This Row],[transaction_date]], "yyyy-mm")</f>
        <v>2025-12</v>
      </c>
      <c r="D642" t="s">
        <v>89</v>
      </c>
      <c r="E642" t="s">
        <v>3636</v>
      </c>
      <c r="F642" t="s">
        <v>3609</v>
      </c>
      <c r="G642" s="1">
        <v>1584316.37</v>
      </c>
    </row>
    <row r="643" spans="1:7">
      <c r="A643" t="s">
        <v>738</v>
      </c>
      <c r="B643" s="6">
        <v>45734</v>
      </c>
      <c r="C643" s="6" t="str">
        <f>TEXT(Table3[[#This Row],[transaction_date]], "yyyy-mm")</f>
        <v>2025-03</v>
      </c>
      <c r="D643" t="s">
        <v>73</v>
      </c>
      <c r="E643" t="s">
        <v>3636</v>
      </c>
      <c r="F643" t="s">
        <v>3604</v>
      </c>
      <c r="G643" s="1">
        <v>15259763.380000001</v>
      </c>
    </row>
    <row r="644" spans="1:7">
      <c r="A644" t="s">
        <v>739</v>
      </c>
      <c r="B644" s="6">
        <v>45851</v>
      </c>
      <c r="C644" s="6" t="str">
        <f>TEXT(Table3[[#This Row],[transaction_date]], "yyyy-mm")</f>
        <v>2025-07</v>
      </c>
      <c r="D644" t="s">
        <v>84</v>
      </c>
      <c r="E644" t="s">
        <v>3636</v>
      </c>
      <c r="F644" t="s">
        <v>3613</v>
      </c>
      <c r="G644" s="1">
        <v>26182771.460000001</v>
      </c>
    </row>
    <row r="645" spans="1:7">
      <c r="A645" t="s">
        <v>740</v>
      </c>
      <c r="B645" s="6">
        <v>45900</v>
      </c>
      <c r="C645" s="6" t="str">
        <f>TEXT(Table3[[#This Row],[transaction_date]], "yyyy-mm")</f>
        <v>2025-08</v>
      </c>
      <c r="D645" t="s">
        <v>82</v>
      </c>
      <c r="E645" t="s">
        <v>3636</v>
      </c>
      <c r="F645" t="s">
        <v>3606</v>
      </c>
      <c r="G645" s="1">
        <v>2565146.77</v>
      </c>
    </row>
    <row r="646" spans="1:7">
      <c r="A646" t="s">
        <v>741</v>
      </c>
      <c r="B646" s="6">
        <v>45819</v>
      </c>
      <c r="C646" s="6" t="str">
        <f>TEXT(Table3[[#This Row],[transaction_date]], "yyyy-mm")</f>
        <v>2025-06</v>
      </c>
      <c r="D646" t="s">
        <v>80</v>
      </c>
      <c r="E646" t="s">
        <v>3636</v>
      </c>
      <c r="F646" t="s">
        <v>3607</v>
      </c>
      <c r="G646" s="1">
        <v>3034998.8</v>
      </c>
    </row>
    <row r="647" spans="1:7">
      <c r="A647" t="s">
        <v>742</v>
      </c>
      <c r="B647" s="6">
        <v>45932</v>
      </c>
      <c r="C647" s="6" t="str">
        <f>TEXT(Table3[[#This Row],[transaction_date]], "yyyy-mm")</f>
        <v>2025-10</v>
      </c>
      <c r="D647" t="s">
        <v>93</v>
      </c>
      <c r="E647" t="s">
        <v>3636</v>
      </c>
      <c r="F647" t="s">
        <v>3610</v>
      </c>
      <c r="G647" s="1">
        <v>302843.09999999998</v>
      </c>
    </row>
    <row r="648" spans="1:7">
      <c r="A648" t="s">
        <v>743</v>
      </c>
      <c r="B648" s="6">
        <v>45898</v>
      </c>
      <c r="C648" s="6" t="str">
        <f>TEXT(Table3[[#This Row],[transaction_date]], "yyyy-mm")</f>
        <v>2025-08</v>
      </c>
      <c r="D648" t="s">
        <v>73</v>
      </c>
      <c r="E648" t="s">
        <v>3636</v>
      </c>
      <c r="F648" t="s">
        <v>3610</v>
      </c>
      <c r="G648" s="1">
        <v>174607.48</v>
      </c>
    </row>
    <row r="649" spans="1:7">
      <c r="A649" t="s">
        <v>744</v>
      </c>
      <c r="B649" s="6">
        <v>45774</v>
      </c>
      <c r="C649" s="6" t="str">
        <f>TEXT(Table3[[#This Row],[transaction_date]], "yyyy-mm")</f>
        <v>2025-04</v>
      </c>
      <c r="D649" t="s">
        <v>76</v>
      </c>
      <c r="E649" t="s">
        <v>3636</v>
      </c>
      <c r="F649" t="s">
        <v>3605</v>
      </c>
      <c r="G649" s="1">
        <v>1192965.6200000001</v>
      </c>
    </row>
    <row r="650" spans="1:7">
      <c r="A650" t="s">
        <v>745</v>
      </c>
      <c r="B650" s="6">
        <v>45968</v>
      </c>
      <c r="C650" s="6" t="str">
        <f>TEXT(Table3[[#This Row],[transaction_date]], "yyyy-mm")</f>
        <v>2025-11</v>
      </c>
      <c r="D650" t="s">
        <v>95</v>
      </c>
      <c r="E650" t="s">
        <v>3637</v>
      </c>
      <c r="F650" t="s">
        <v>3623</v>
      </c>
      <c r="G650" s="1">
        <v>17735649.280000001</v>
      </c>
    </row>
    <row r="651" spans="1:7">
      <c r="A651" t="s">
        <v>746</v>
      </c>
      <c r="B651" s="6">
        <v>45947</v>
      </c>
      <c r="C651" s="6" t="str">
        <f>TEXT(Table3[[#This Row],[transaction_date]], "yyyy-mm")</f>
        <v>2025-10</v>
      </c>
      <c r="D651" t="s">
        <v>75</v>
      </c>
      <c r="E651" t="s">
        <v>3637</v>
      </c>
      <c r="F651" t="s">
        <v>3618</v>
      </c>
      <c r="G651" s="1">
        <v>144165.82999999999</v>
      </c>
    </row>
    <row r="652" spans="1:7">
      <c r="A652" t="s">
        <v>747</v>
      </c>
      <c r="B652" s="6">
        <v>45765</v>
      </c>
      <c r="C652" s="6" t="str">
        <f>TEXT(Table3[[#This Row],[transaction_date]], "yyyy-mm")</f>
        <v>2025-04</v>
      </c>
      <c r="D652" t="s">
        <v>77</v>
      </c>
      <c r="E652" t="s">
        <v>3636</v>
      </c>
      <c r="F652" t="s">
        <v>3605</v>
      </c>
      <c r="G652" s="1">
        <v>14805465.5</v>
      </c>
    </row>
    <row r="653" spans="1:7">
      <c r="A653" t="s">
        <v>748</v>
      </c>
      <c r="B653" s="6">
        <v>46001</v>
      </c>
      <c r="C653" s="6" t="str">
        <f>TEXT(Table3[[#This Row],[transaction_date]], "yyyy-mm")</f>
        <v>2025-12</v>
      </c>
      <c r="D653" t="s">
        <v>80</v>
      </c>
      <c r="E653" t="s">
        <v>3637</v>
      </c>
      <c r="F653" t="s">
        <v>3618</v>
      </c>
      <c r="G653" s="1">
        <v>320193.37</v>
      </c>
    </row>
    <row r="654" spans="1:7">
      <c r="A654" t="s">
        <v>749</v>
      </c>
      <c r="B654" s="6">
        <v>45999</v>
      </c>
      <c r="C654" s="6" t="str">
        <f>TEXT(Table3[[#This Row],[transaction_date]], "yyyy-mm")</f>
        <v>2025-12</v>
      </c>
      <c r="D654" t="s">
        <v>82</v>
      </c>
      <c r="E654" t="s">
        <v>3636</v>
      </c>
      <c r="F654" t="s">
        <v>3605</v>
      </c>
      <c r="G654" s="1">
        <v>969297.78</v>
      </c>
    </row>
    <row r="655" spans="1:7">
      <c r="A655" t="s">
        <v>750</v>
      </c>
      <c r="B655" s="6">
        <v>45999</v>
      </c>
      <c r="C655" s="6" t="str">
        <f>TEXT(Table3[[#This Row],[transaction_date]], "yyyy-mm")</f>
        <v>2025-12</v>
      </c>
      <c r="D655" t="s">
        <v>3597</v>
      </c>
      <c r="E655" t="s">
        <v>3637</v>
      </c>
      <c r="F655" t="s">
        <v>3621</v>
      </c>
      <c r="G655" s="1">
        <v>1596120.52</v>
      </c>
    </row>
    <row r="656" spans="1:7">
      <c r="A656" t="s">
        <v>751</v>
      </c>
      <c r="B656" s="6">
        <v>45910</v>
      </c>
      <c r="C656" s="6" t="str">
        <f>TEXT(Table3[[#This Row],[transaction_date]], "yyyy-mm")</f>
        <v>2025-09</v>
      </c>
      <c r="D656" t="s">
        <v>78</v>
      </c>
      <c r="E656" t="s">
        <v>3637</v>
      </c>
      <c r="F656" t="s">
        <v>3618</v>
      </c>
      <c r="G656" s="1">
        <v>1674763.52</v>
      </c>
    </row>
    <row r="657" spans="1:7">
      <c r="A657" t="s">
        <v>752</v>
      </c>
      <c r="B657" s="6">
        <v>45964</v>
      </c>
      <c r="C657" s="6" t="str">
        <f>TEXT(Table3[[#This Row],[transaction_date]], "yyyy-mm")</f>
        <v>2025-11</v>
      </c>
      <c r="D657" t="s">
        <v>73</v>
      </c>
      <c r="E657" t="s">
        <v>3637</v>
      </c>
      <c r="F657" t="s">
        <v>3614</v>
      </c>
      <c r="G657" s="1">
        <v>8308361.5700000003</v>
      </c>
    </row>
    <row r="658" spans="1:7">
      <c r="A658" t="s">
        <v>753</v>
      </c>
      <c r="B658" s="6">
        <v>45658</v>
      </c>
      <c r="C658" s="6" t="str">
        <f>TEXT(Table3[[#This Row],[transaction_date]], "yyyy-mm")</f>
        <v>2025-01</v>
      </c>
      <c r="D658" t="s">
        <v>80</v>
      </c>
      <c r="E658" t="s">
        <v>3636</v>
      </c>
      <c r="F658" t="s">
        <v>3608</v>
      </c>
      <c r="G658" s="1">
        <v>4411446.6100000003</v>
      </c>
    </row>
    <row r="659" spans="1:7">
      <c r="A659" t="s">
        <v>754</v>
      </c>
      <c r="B659" s="6">
        <v>45804</v>
      </c>
      <c r="C659" s="6" t="str">
        <f>TEXT(Table3[[#This Row],[transaction_date]], "yyyy-mm")</f>
        <v>2025-05</v>
      </c>
      <c r="D659" t="s">
        <v>76</v>
      </c>
      <c r="E659" t="s">
        <v>3636</v>
      </c>
      <c r="F659" t="s">
        <v>3605</v>
      </c>
      <c r="G659" s="1">
        <v>9407847.5999999996</v>
      </c>
    </row>
    <row r="660" spans="1:7">
      <c r="A660" t="s">
        <v>755</v>
      </c>
      <c r="B660" s="6">
        <v>45887</v>
      </c>
      <c r="C660" s="6" t="str">
        <f>TEXT(Table3[[#This Row],[transaction_date]], "yyyy-mm")</f>
        <v>2025-08</v>
      </c>
      <c r="D660" t="s">
        <v>74</v>
      </c>
      <c r="E660" t="s">
        <v>3637</v>
      </c>
      <c r="F660" t="s">
        <v>3621</v>
      </c>
      <c r="G660" s="1">
        <v>327683.20000000001</v>
      </c>
    </row>
    <row r="661" spans="1:7">
      <c r="A661" t="s">
        <v>756</v>
      </c>
      <c r="B661" s="6">
        <v>45866</v>
      </c>
      <c r="C661" s="6" t="str">
        <f>TEXT(Table3[[#This Row],[transaction_date]], "yyyy-mm")</f>
        <v>2025-07</v>
      </c>
      <c r="D661" t="s">
        <v>89</v>
      </c>
      <c r="E661" t="s">
        <v>3636</v>
      </c>
      <c r="F661" t="s">
        <v>3607</v>
      </c>
      <c r="G661" s="1">
        <v>734036.89</v>
      </c>
    </row>
    <row r="662" spans="1:7">
      <c r="A662" t="s">
        <v>757</v>
      </c>
      <c r="B662" s="6">
        <v>45866</v>
      </c>
      <c r="C662" s="6" t="str">
        <f>TEXT(Table3[[#This Row],[transaction_date]], "yyyy-mm")</f>
        <v>2025-07</v>
      </c>
      <c r="D662" t="s">
        <v>73</v>
      </c>
      <c r="E662" t="s">
        <v>3637</v>
      </c>
      <c r="F662" t="s">
        <v>3621</v>
      </c>
      <c r="G662" s="1">
        <v>3765026.15</v>
      </c>
    </row>
    <row r="663" spans="1:7">
      <c r="A663" t="s">
        <v>758</v>
      </c>
      <c r="B663" s="6">
        <v>45783</v>
      </c>
      <c r="C663" s="6" t="str">
        <f>TEXT(Table3[[#This Row],[transaction_date]], "yyyy-mm")</f>
        <v>2025-05</v>
      </c>
      <c r="D663" t="s">
        <v>74</v>
      </c>
      <c r="E663" t="s">
        <v>3636</v>
      </c>
      <c r="F663" t="s">
        <v>3606</v>
      </c>
      <c r="G663" s="1">
        <v>481850.12</v>
      </c>
    </row>
    <row r="664" spans="1:7">
      <c r="A664" t="s">
        <v>759</v>
      </c>
      <c r="B664" s="6">
        <v>45965</v>
      </c>
      <c r="C664" s="6" t="str">
        <f>TEXT(Table3[[#This Row],[transaction_date]], "yyyy-mm")</f>
        <v>2025-11</v>
      </c>
      <c r="D664" t="s">
        <v>74</v>
      </c>
      <c r="E664" t="s">
        <v>3637</v>
      </c>
      <c r="F664" t="s">
        <v>3621</v>
      </c>
      <c r="G664" s="1">
        <v>346415.48</v>
      </c>
    </row>
    <row r="665" spans="1:7">
      <c r="A665" t="s">
        <v>760</v>
      </c>
      <c r="B665" s="6">
        <v>45942</v>
      </c>
      <c r="C665" s="6" t="str">
        <f>TEXT(Table3[[#This Row],[transaction_date]], "yyyy-mm")</f>
        <v>2025-10</v>
      </c>
      <c r="D665" t="s">
        <v>75</v>
      </c>
      <c r="E665" t="s">
        <v>3637</v>
      </c>
      <c r="F665" t="s">
        <v>3615</v>
      </c>
      <c r="G665" s="1">
        <v>4006039.26</v>
      </c>
    </row>
    <row r="666" spans="1:7">
      <c r="A666" t="s">
        <v>761</v>
      </c>
      <c r="B666" s="6">
        <v>45833</v>
      </c>
      <c r="C666" s="6" t="str">
        <f>TEXT(Table3[[#This Row],[transaction_date]], "yyyy-mm")</f>
        <v>2025-06</v>
      </c>
      <c r="D666" t="s">
        <v>75</v>
      </c>
      <c r="E666" t="s">
        <v>3636</v>
      </c>
      <c r="F666" t="s">
        <v>3605</v>
      </c>
      <c r="G666" s="1">
        <v>12711860.710000001</v>
      </c>
    </row>
    <row r="667" spans="1:7">
      <c r="A667" t="s">
        <v>762</v>
      </c>
      <c r="B667" s="6">
        <v>45910</v>
      </c>
      <c r="C667" s="6" t="str">
        <f>TEXT(Table3[[#This Row],[transaction_date]], "yyyy-mm")</f>
        <v>2025-09</v>
      </c>
      <c r="D667" t="s">
        <v>73</v>
      </c>
      <c r="E667" t="s">
        <v>3637</v>
      </c>
      <c r="F667" t="s">
        <v>3615</v>
      </c>
      <c r="G667" s="1">
        <v>712169.54</v>
      </c>
    </row>
    <row r="668" spans="1:7">
      <c r="A668" t="s">
        <v>763</v>
      </c>
      <c r="B668" s="6">
        <v>45870</v>
      </c>
      <c r="C668" s="6" t="str">
        <f>TEXT(Table3[[#This Row],[transaction_date]], "yyyy-mm")</f>
        <v>2025-08</v>
      </c>
      <c r="D668" t="s">
        <v>74</v>
      </c>
      <c r="E668" t="s">
        <v>3637</v>
      </c>
      <c r="F668" t="s">
        <v>3621</v>
      </c>
      <c r="G668" s="1">
        <v>271999.09999999998</v>
      </c>
    </row>
    <row r="669" spans="1:7">
      <c r="A669" t="s">
        <v>764</v>
      </c>
      <c r="B669" s="6">
        <v>45995</v>
      </c>
      <c r="C669" s="6" t="str">
        <f>TEXT(Table3[[#This Row],[transaction_date]], "yyyy-mm")</f>
        <v>2025-12</v>
      </c>
      <c r="D669" t="s">
        <v>79</v>
      </c>
      <c r="E669" t="s">
        <v>3636</v>
      </c>
      <c r="F669" t="s">
        <v>3611</v>
      </c>
      <c r="G669" s="1">
        <v>3980838.39</v>
      </c>
    </row>
    <row r="670" spans="1:7">
      <c r="A670" t="s">
        <v>765</v>
      </c>
      <c r="B670" s="6">
        <v>45738</v>
      </c>
      <c r="C670" s="6" t="str">
        <f>TEXT(Table3[[#This Row],[transaction_date]], "yyyy-mm")</f>
        <v>2025-03</v>
      </c>
      <c r="D670" t="s">
        <v>85</v>
      </c>
      <c r="E670" t="s">
        <v>3636</v>
      </c>
      <c r="F670" t="s">
        <v>3607</v>
      </c>
      <c r="G670" s="1">
        <v>4155730.79</v>
      </c>
    </row>
    <row r="671" spans="1:7">
      <c r="A671" t="s">
        <v>766</v>
      </c>
      <c r="B671" s="6">
        <v>45820</v>
      </c>
      <c r="C671" s="6" t="str">
        <f>TEXT(Table3[[#This Row],[transaction_date]], "yyyy-mm")</f>
        <v>2025-06</v>
      </c>
      <c r="D671" t="s">
        <v>73</v>
      </c>
      <c r="E671" t="s">
        <v>3637</v>
      </c>
      <c r="F671" t="s">
        <v>3617</v>
      </c>
      <c r="G671" s="1">
        <v>502064.65</v>
      </c>
    </row>
    <row r="672" spans="1:7">
      <c r="A672" t="s">
        <v>767</v>
      </c>
      <c r="B672" s="6">
        <v>46006</v>
      </c>
      <c r="C672" s="6" t="str">
        <f>TEXT(Table3[[#This Row],[transaction_date]], "yyyy-mm")</f>
        <v>2025-12</v>
      </c>
      <c r="D672" t="s">
        <v>79</v>
      </c>
      <c r="E672" t="s">
        <v>3637</v>
      </c>
      <c r="F672" t="s">
        <v>3618</v>
      </c>
      <c r="G672" s="1">
        <v>1915761.24</v>
      </c>
    </row>
    <row r="673" spans="1:7">
      <c r="A673" t="s">
        <v>768</v>
      </c>
      <c r="B673" s="6">
        <v>45946</v>
      </c>
      <c r="C673" s="6" t="str">
        <f>TEXT(Table3[[#This Row],[transaction_date]], "yyyy-mm")</f>
        <v>2025-10</v>
      </c>
      <c r="D673" t="s">
        <v>80</v>
      </c>
      <c r="E673" t="s">
        <v>3636</v>
      </c>
      <c r="F673" t="s">
        <v>3605</v>
      </c>
      <c r="G673" s="1">
        <v>352674.14</v>
      </c>
    </row>
    <row r="674" spans="1:7">
      <c r="A674" t="s">
        <v>769</v>
      </c>
      <c r="B674" s="6">
        <v>45796</v>
      </c>
      <c r="C674" s="6" t="str">
        <f>TEXT(Table3[[#This Row],[transaction_date]], "yyyy-mm")</f>
        <v>2025-05</v>
      </c>
      <c r="D674" t="s">
        <v>93</v>
      </c>
      <c r="E674" t="s">
        <v>3637</v>
      </c>
      <c r="F674" t="s">
        <v>3614</v>
      </c>
      <c r="G674" s="1">
        <v>2420577.11</v>
      </c>
    </row>
    <row r="675" spans="1:7">
      <c r="A675" t="s">
        <v>770</v>
      </c>
      <c r="B675" s="6">
        <v>45926</v>
      </c>
      <c r="C675" s="6" t="str">
        <f>TEXT(Table3[[#This Row],[transaction_date]], "yyyy-mm")</f>
        <v>2025-09</v>
      </c>
      <c r="D675" t="s">
        <v>73</v>
      </c>
      <c r="E675" t="s">
        <v>3637</v>
      </c>
      <c r="F675" t="s">
        <v>3622</v>
      </c>
      <c r="G675" s="1">
        <v>229307.43</v>
      </c>
    </row>
    <row r="676" spans="1:7">
      <c r="A676" t="s">
        <v>771</v>
      </c>
      <c r="B676" s="6">
        <v>45698</v>
      </c>
      <c r="C676" s="6" t="str">
        <f>TEXT(Table3[[#This Row],[transaction_date]], "yyyy-mm")</f>
        <v>2025-02</v>
      </c>
      <c r="D676" t="s">
        <v>90</v>
      </c>
      <c r="E676" t="s">
        <v>3637</v>
      </c>
      <c r="F676" t="s">
        <v>3617</v>
      </c>
      <c r="G676" s="1">
        <v>19858284.510000002</v>
      </c>
    </row>
    <row r="677" spans="1:7">
      <c r="A677" t="s">
        <v>772</v>
      </c>
      <c r="B677" s="6">
        <v>46004</v>
      </c>
      <c r="C677" s="6" t="str">
        <f>TEXT(Table3[[#This Row],[transaction_date]], "yyyy-mm")</f>
        <v>2025-12</v>
      </c>
      <c r="D677" t="s">
        <v>79</v>
      </c>
      <c r="E677" t="s">
        <v>3636</v>
      </c>
      <c r="F677" t="s">
        <v>3612</v>
      </c>
      <c r="G677" s="1">
        <v>6169250.6399999997</v>
      </c>
    </row>
    <row r="678" spans="1:7">
      <c r="A678" t="s">
        <v>773</v>
      </c>
      <c r="B678" s="6">
        <v>45776</v>
      </c>
      <c r="C678" s="6" t="str">
        <f>TEXT(Table3[[#This Row],[transaction_date]], "yyyy-mm")</f>
        <v>2025-04</v>
      </c>
      <c r="D678" t="s">
        <v>89</v>
      </c>
      <c r="E678" t="s">
        <v>3636</v>
      </c>
      <c r="F678" t="s">
        <v>3604</v>
      </c>
      <c r="G678" s="1">
        <v>2058383.31</v>
      </c>
    </row>
    <row r="679" spans="1:7">
      <c r="A679" t="s">
        <v>774</v>
      </c>
      <c r="B679" s="6">
        <v>45998</v>
      </c>
      <c r="C679" s="6" t="str">
        <f>TEXT(Table3[[#This Row],[transaction_date]], "yyyy-mm")</f>
        <v>2025-12</v>
      </c>
      <c r="D679" t="s">
        <v>93</v>
      </c>
      <c r="E679" t="s">
        <v>3637</v>
      </c>
      <c r="F679" t="s">
        <v>3620</v>
      </c>
      <c r="G679" s="1">
        <v>263714.18</v>
      </c>
    </row>
    <row r="680" spans="1:7">
      <c r="A680" t="s">
        <v>775</v>
      </c>
      <c r="B680" s="6">
        <v>45748</v>
      </c>
      <c r="C680" s="6" t="str">
        <f>TEXT(Table3[[#This Row],[transaction_date]], "yyyy-mm")</f>
        <v>2025-04</v>
      </c>
      <c r="D680" t="s">
        <v>84</v>
      </c>
      <c r="E680" t="s">
        <v>3637</v>
      </c>
      <c r="F680" t="s">
        <v>3621</v>
      </c>
      <c r="G680" s="1">
        <v>9080607.8800000008</v>
      </c>
    </row>
    <row r="681" spans="1:7">
      <c r="A681" t="s">
        <v>776</v>
      </c>
      <c r="B681" s="6">
        <v>45888</v>
      </c>
      <c r="C681" s="6" t="str">
        <f>TEXT(Table3[[#This Row],[transaction_date]], "yyyy-mm")</f>
        <v>2025-08</v>
      </c>
      <c r="D681" t="s">
        <v>85</v>
      </c>
      <c r="E681" t="s">
        <v>3637</v>
      </c>
      <c r="F681" t="s">
        <v>3619</v>
      </c>
      <c r="G681" s="1">
        <v>944579.27</v>
      </c>
    </row>
    <row r="682" spans="1:7">
      <c r="A682" t="s">
        <v>777</v>
      </c>
      <c r="B682" s="6">
        <v>45877</v>
      </c>
      <c r="C682" s="6" t="str">
        <f>TEXT(Table3[[#This Row],[transaction_date]], "yyyy-mm")</f>
        <v>2025-08</v>
      </c>
      <c r="D682" t="s">
        <v>74</v>
      </c>
      <c r="E682" t="s">
        <v>3636</v>
      </c>
      <c r="F682" t="s">
        <v>3607</v>
      </c>
      <c r="G682" s="1">
        <v>115171.7</v>
      </c>
    </row>
    <row r="683" spans="1:7">
      <c r="A683" t="s">
        <v>778</v>
      </c>
      <c r="B683" s="6">
        <v>45893</v>
      </c>
      <c r="C683" s="6" t="str">
        <f>TEXT(Table3[[#This Row],[transaction_date]], "yyyy-mm")</f>
        <v>2025-08</v>
      </c>
      <c r="D683" t="s">
        <v>85</v>
      </c>
      <c r="E683" t="s">
        <v>3636</v>
      </c>
      <c r="F683" t="s">
        <v>3613</v>
      </c>
      <c r="G683" s="1">
        <v>3974276.58</v>
      </c>
    </row>
    <row r="684" spans="1:7">
      <c r="A684" t="s">
        <v>779</v>
      </c>
      <c r="B684" s="6">
        <v>45676</v>
      </c>
      <c r="C684" s="6" t="str">
        <f>TEXT(Table3[[#This Row],[transaction_date]], "yyyy-mm")</f>
        <v>2025-01</v>
      </c>
      <c r="D684" t="s">
        <v>89</v>
      </c>
      <c r="E684" t="s">
        <v>3637</v>
      </c>
      <c r="F684" t="s">
        <v>3616</v>
      </c>
      <c r="G684" s="1">
        <v>4204934.32</v>
      </c>
    </row>
    <row r="685" spans="1:7">
      <c r="A685" t="s">
        <v>780</v>
      </c>
      <c r="B685" s="6">
        <v>45902</v>
      </c>
      <c r="C685" s="6" t="str">
        <f>TEXT(Table3[[#This Row],[transaction_date]], "yyyy-mm")</f>
        <v>2025-09</v>
      </c>
      <c r="D685" t="s">
        <v>74</v>
      </c>
      <c r="E685" t="s">
        <v>3637</v>
      </c>
      <c r="F685" t="s">
        <v>3621</v>
      </c>
      <c r="G685" s="1">
        <v>519577.15</v>
      </c>
    </row>
    <row r="686" spans="1:7">
      <c r="A686" t="s">
        <v>781</v>
      </c>
      <c r="B686" s="6">
        <v>45735</v>
      </c>
      <c r="C686" s="6" t="str">
        <f>TEXT(Table3[[#This Row],[transaction_date]], "yyyy-mm")</f>
        <v>2025-03</v>
      </c>
      <c r="D686" t="s">
        <v>74</v>
      </c>
      <c r="E686" t="s">
        <v>3637</v>
      </c>
      <c r="F686" t="s">
        <v>3620</v>
      </c>
      <c r="G686" s="1">
        <v>235955.71</v>
      </c>
    </row>
    <row r="687" spans="1:7">
      <c r="A687" t="s">
        <v>782</v>
      </c>
      <c r="B687" s="6">
        <v>45989</v>
      </c>
      <c r="C687" s="6" t="str">
        <f>TEXT(Table3[[#This Row],[transaction_date]], "yyyy-mm")</f>
        <v>2025-11</v>
      </c>
      <c r="D687" t="s">
        <v>90</v>
      </c>
      <c r="E687" t="s">
        <v>3637</v>
      </c>
      <c r="F687" t="s">
        <v>3622</v>
      </c>
      <c r="G687" s="1">
        <v>2866319.55</v>
      </c>
    </row>
    <row r="688" spans="1:7">
      <c r="A688" t="s">
        <v>783</v>
      </c>
      <c r="B688" s="6">
        <v>45726</v>
      </c>
      <c r="C688" s="6" t="str">
        <f>TEXT(Table3[[#This Row],[transaction_date]], "yyyy-mm")</f>
        <v>2025-03</v>
      </c>
      <c r="D688" t="s">
        <v>79</v>
      </c>
      <c r="E688" t="s">
        <v>3637</v>
      </c>
      <c r="F688" t="s">
        <v>3618</v>
      </c>
      <c r="G688" s="1">
        <v>2186756.13</v>
      </c>
    </row>
    <row r="689" spans="1:7">
      <c r="A689" t="s">
        <v>784</v>
      </c>
      <c r="B689" s="6">
        <v>45765</v>
      </c>
      <c r="C689" s="6" t="str">
        <f>TEXT(Table3[[#This Row],[transaction_date]], "yyyy-mm")</f>
        <v>2025-04</v>
      </c>
      <c r="D689" t="s">
        <v>75</v>
      </c>
      <c r="E689" t="s">
        <v>3637</v>
      </c>
      <c r="F689" t="s">
        <v>3617</v>
      </c>
      <c r="G689" s="1">
        <v>1880895.2</v>
      </c>
    </row>
    <row r="690" spans="1:7">
      <c r="A690" t="s">
        <v>785</v>
      </c>
      <c r="B690" s="6">
        <v>45882</v>
      </c>
      <c r="C690" s="6" t="str">
        <f>TEXT(Table3[[#This Row],[transaction_date]], "yyyy-mm")</f>
        <v>2025-08</v>
      </c>
      <c r="D690" t="s">
        <v>3597</v>
      </c>
      <c r="E690" t="s">
        <v>3636</v>
      </c>
      <c r="F690" t="s">
        <v>3604</v>
      </c>
      <c r="G690" s="1">
        <v>2785073.8</v>
      </c>
    </row>
    <row r="691" spans="1:7">
      <c r="A691" t="s">
        <v>786</v>
      </c>
      <c r="B691" s="6">
        <v>45889</v>
      </c>
      <c r="C691" s="6" t="str">
        <f>TEXT(Table3[[#This Row],[transaction_date]], "yyyy-mm")</f>
        <v>2025-08</v>
      </c>
      <c r="D691" t="s">
        <v>77</v>
      </c>
      <c r="E691" t="s">
        <v>3637</v>
      </c>
      <c r="F691" t="s">
        <v>3617</v>
      </c>
      <c r="G691" s="1">
        <v>6262580.5300000003</v>
      </c>
    </row>
    <row r="692" spans="1:7">
      <c r="A692" t="s">
        <v>787</v>
      </c>
      <c r="B692" s="6">
        <v>45809</v>
      </c>
      <c r="C692" s="6" t="str">
        <f>TEXT(Table3[[#This Row],[transaction_date]], "yyyy-mm")</f>
        <v>2025-06</v>
      </c>
      <c r="D692" t="s">
        <v>84</v>
      </c>
      <c r="E692" t="s">
        <v>3637</v>
      </c>
      <c r="F692" t="s">
        <v>3619</v>
      </c>
      <c r="G692" s="1">
        <v>8096991.9100000001</v>
      </c>
    </row>
    <row r="693" spans="1:7">
      <c r="A693" t="s">
        <v>788</v>
      </c>
      <c r="B693" s="6">
        <v>45755</v>
      </c>
      <c r="C693" s="6" t="str">
        <f>TEXT(Table3[[#This Row],[transaction_date]], "yyyy-mm")</f>
        <v>2025-04</v>
      </c>
      <c r="D693" t="s">
        <v>79</v>
      </c>
      <c r="E693" t="s">
        <v>3637</v>
      </c>
      <c r="F693" t="s">
        <v>3619</v>
      </c>
      <c r="G693" s="1">
        <v>328742.15999999997</v>
      </c>
    </row>
    <row r="694" spans="1:7">
      <c r="A694" t="s">
        <v>789</v>
      </c>
      <c r="B694" s="6">
        <v>45720</v>
      </c>
      <c r="C694" s="6" t="str">
        <f>TEXT(Table3[[#This Row],[transaction_date]], "yyyy-mm")</f>
        <v>2025-03</v>
      </c>
      <c r="D694" t="s">
        <v>79</v>
      </c>
      <c r="E694" t="s">
        <v>3637</v>
      </c>
      <c r="F694" t="s">
        <v>3619</v>
      </c>
      <c r="G694" s="1">
        <v>876196.88</v>
      </c>
    </row>
    <row r="695" spans="1:7">
      <c r="A695" t="s">
        <v>790</v>
      </c>
      <c r="B695" s="6">
        <v>45930</v>
      </c>
      <c r="C695" s="6" t="str">
        <f>TEXT(Table3[[#This Row],[transaction_date]], "yyyy-mm")</f>
        <v>2025-09</v>
      </c>
      <c r="D695" t="s">
        <v>3597</v>
      </c>
      <c r="E695" t="s">
        <v>3636</v>
      </c>
      <c r="F695" t="s">
        <v>3605</v>
      </c>
      <c r="G695" s="1">
        <v>1633220.14</v>
      </c>
    </row>
    <row r="696" spans="1:7">
      <c r="A696" t="s">
        <v>791</v>
      </c>
      <c r="B696" s="6">
        <v>45878</v>
      </c>
      <c r="C696" s="6" t="str">
        <f>TEXT(Table3[[#This Row],[transaction_date]], "yyyy-mm")</f>
        <v>2025-08</v>
      </c>
      <c r="D696" t="s">
        <v>3597</v>
      </c>
      <c r="E696" t="s">
        <v>3637</v>
      </c>
      <c r="F696" t="s">
        <v>3620</v>
      </c>
      <c r="G696" s="1">
        <v>3447465.04</v>
      </c>
    </row>
    <row r="697" spans="1:7">
      <c r="A697" t="s">
        <v>792</v>
      </c>
      <c r="B697" s="6">
        <v>45872</v>
      </c>
      <c r="C697" s="6" t="str">
        <f>TEXT(Table3[[#This Row],[transaction_date]], "yyyy-mm")</f>
        <v>2025-08</v>
      </c>
      <c r="D697" t="s">
        <v>73</v>
      </c>
      <c r="E697" t="s">
        <v>3637</v>
      </c>
      <c r="F697" t="s">
        <v>3621</v>
      </c>
      <c r="G697" s="1">
        <v>607670.43000000005</v>
      </c>
    </row>
    <row r="698" spans="1:7">
      <c r="A698" t="s">
        <v>793</v>
      </c>
      <c r="B698" s="6">
        <v>45949</v>
      </c>
      <c r="C698" s="6" t="str">
        <f>TEXT(Table3[[#This Row],[transaction_date]], "yyyy-mm")</f>
        <v>2025-10</v>
      </c>
      <c r="D698" t="s">
        <v>77</v>
      </c>
      <c r="E698" t="s">
        <v>3637</v>
      </c>
      <c r="F698" t="s">
        <v>3620</v>
      </c>
      <c r="G698" s="1">
        <v>2634656.62</v>
      </c>
    </row>
    <row r="699" spans="1:7">
      <c r="A699" t="s">
        <v>794</v>
      </c>
      <c r="B699" s="6">
        <v>45660</v>
      </c>
      <c r="C699" s="6" t="str">
        <f>TEXT(Table3[[#This Row],[transaction_date]], "yyyy-mm")</f>
        <v>2025-01</v>
      </c>
      <c r="D699" t="s">
        <v>73</v>
      </c>
      <c r="E699" t="s">
        <v>3637</v>
      </c>
      <c r="F699" t="s">
        <v>3619</v>
      </c>
      <c r="G699" s="1">
        <v>4459830.88</v>
      </c>
    </row>
    <row r="700" spans="1:7">
      <c r="A700" t="s">
        <v>795</v>
      </c>
      <c r="B700" s="6">
        <v>45888</v>
      </c>
      <c r="C700" s="6" t="str">
        <f>TEXT(Table3[[#This Row],[transaction_date]], "yyyy-mm")</f>
        <v>2025-08</v>
      </c>
      <c r="D700" t="s">
        <v>95</v>
      </c>
      <c r="E700" t="s">
        <v>3637</v>
      </c>
      <c r="F700" t="s">
        <v>3616</v>
      </c>
      <c r="G700" s="1">
        <v>6479954.9800000004</v>
      </c>
    </row>
    <row r="701" spans="1:7">
      <c r="A701" t="s">
        <v>796</v>
      </c>
      <c r="B701" s="6">
        <v>45972</v>
      </c>
      <c r="C701" s="6" t="str">
        <f>TEXT(Table3[[#This Row],[transaction_date]], "yyyy-mm")</f>
        <v>2025-11</v>
      </c>
      <c r="D701" t="s">
        <v>78</v>
      </c>
      <c r="E701" t="s">
        <v>3637</v>
      </c>
      <c r="F701" t="s">
        <v>3622</v>
      </c>
      <c r="G701" s="1">
        <v>6331896.6299999999</v>
      </c>
    </row>
    <row r="702" spans="1:7">
      <c r="A702" t="s">
        <v>797</v>
      </c>
      <c r="B702" s="6">
        <v>45795</v>
      </c>
      <c r="C702" s="6" t="str">
        <f>TEXT(Table3[[#This Row],[transaction_date]], "yyyy-mm")</f>
        <v>2025-05</v>
      </c>
      <c r="D702" t="s">
        <v>80</v>
      </c>
      <c r="E702" t="s">
        <v>3637</v>
      </c>
      <c r="F702" t="s">
        <v>3623</v>
      </c>
      <c r="G702" s="1">
        <v>2358769.9900000002</v>
      </c>
    </row>
    <row r="703" spans="1:7">
      <c r="A703" t="s">
        <v>798</v>
      </c>
      <c r="B703" s="6">
        <v>45761</v>
      </c>
      <c r="C703" s="6" t="str">
        <f>TEXT(Table3[[#This Row],[transaction_date]], "yyyy-mm")</f>
        <v>2025-04</v>
      </c>
      <c r="D703" t="s">
        <v>93</v>
      </c>
      <c r="E703" t="s">
        <v>3637</v>
      </c>
      <c r="F703" t="s">
        <v>3623</v>
      </c>
      <c r="G703" s="1">
        <v>4391933.4000000004</v>
      </c>
    </row>
    <row r="704" spans="1:7">
      <c r="A704" t="s">
        <v>799</v>
      </c>
      <c r="B704" s="6">
        <v>45712</v>
      </c>
      <c r="C704" s="6" t="str">
        <f>TEXT(Table3[[#This Row],[transaction_date]], "yyyy-mm")</f>
        <v>2025-02</v>
      </c>
      <c r="D704" t="s">
        <v>84</v>
      </c>
      <c r="E704" t="s">
        <v>3636</v>
      </c>
      <c r="F704" t="s">
        <v>3604</v>
      </c>
      <c r="G704" s="1">
        <v>14879761.23</v>
      </c>
    </row>
    <row r="705" spans="1:7">
      <c r="A705" t="s">
        <v>800</v>
      </c>
      <c r="B705" s="6">
        <v>45695</v>
      </c>
      <c r="C705" s="6" t="str">
        <f>TEXT(Table3[[#This Row],[transaction_date]], "yyyy-mm")</f>
        <v>2025-02</v>
      </c>
      <c r="D705" t="s">
        <v>85</v>
      </c>
      <c r="E705" t="s">
        <v>3637</v>
      </c>
      <c r="F705" t="s">
        <v>3623</v>
      </c>
      <c r="G705" s="1">
        <v>1009012.55</v>
      </c>
    </row>
    <row r="706" spans="1:7">
      <c r="A706" t="s">
        <v>801</v>
      </c>
      <c r="B706" s="6">
        <v>45737</v>
      </c>
      <c r="C706" s="6" t="str">
        <f>TEXT(Table3[[#This Row],[transaction_date]], "yyyy-mm")</f>
        <v>2025-03</v>
      </c>
      <c r="D706" t="s">
        <v>75</v>
      </c>
      <c r="E706" t="s">
        <v>3637</v>
      </c>
      <c r="F706" t="s">
        <v>3614</v>
      </c>
      <c r="G706" s="1">
        <v>22547673.25</v>
      </c>
    </row>
    <row r="707" spans="1:7">
      <c r="A707" t="s">
        <v>802</v>
      </c>
      <c r="B707" s="6">
        <v>45954</v>
      </c>
      <c r="C707" s="6" t="str">
        <f>TEXT(Table3[[#This Row],[transaction_date]], "yyyy-mm")</f>
        <v>2025-10</v>
      </c>
      <c r="D707" t="s">
        <v>73</v>
      </c>
      <c r="E707" t="s">
        <v>3637</v>
      </c>
      <c r="F707" t="s">
        <v>3614</v>
      </c>
      <c r="G707" s="1">
        <v>10741355.869999999</v>
      </c>
    </row>
    <row r="708" spans="1:7">
      <c r="A708" t="s">
        <v>803</v>
      </c>
      <c r="B708" s="6">
        <v>45733</v>
      </c>
      <c r="C708" s="6" t="str">
        <f>TEXT(Table3[[#This Row],[transaction_date]], "yyyy-mm")</f>
        <v>2025-03</v>
      </c>
      <c r="D708" t="s">
        <v>73</v>
      </c>
      <c r="E708" t="s">
        <v>3636</v>
      </c>
      <c r="F708" t="s">
        <v>3610</v>
      </c>
      <c r="G708" s="1">
        <v>5606986.3600000003</v>
      </c>
    </row>
    <row r="709" spans="1:7">
      <c r="A709" t="s">
        <v>804</v>
      </c>
      <c r="B709" s="6">
        <v>45894</v>
      </c>
      <c r="C709" s="6" t="str">
        <f>TEXT(Table3[[#This Row],[transaction_date]], "yyyy-mm")</f>
        <v>2025-08</v>
      </c>
      <c r="D709" t="s">
        <v>79</v>
      </c>
      <c r="E709" t="s">
        <v>3636</v>
      </c>
      <c r="F709" t="s">
        <v>3613</v>
      </c>
      <c r="G709" s="1">
        <v>208250.77</v>
      </c>
    </row>
    <row r="710" spans="1:7">
      <c r="A710" t="s">
        <v>805</v>
      </c>
      <c r="B710" s="6">
        <v>45731</v>
      </c>
      <c r="C710" s="6" t="str">
        <f>TEXT(Table3[[#This Row],[transaction_date]], "yyyy-mm")</f>
        <v>2025-03</v>
      </c>
      <c r="D710" t="s">
        <v>78</v>
      </c>
      <c r="E710" t="s">
        <v>3637</v>
      </c>
      <c r="F710" t="s">
        <v>3621</v>
      </c>
      <c r="G710" s="1">
        <v>3144476.15</v>
      </c>
    </row>
    <row r="711" spans="1:7">
      <c r="A711" t="s">
        <v>806</v>
      </c>
      <c r="B711" s="6">
        <v>45862</v>
      </c>
      <c r="C711" s="6" t="str">
        <f>TEXT(Table3[[#This Row],[transaction_date]], "yyyy-mm")</f>
        <v>2025-07</v>
      </c>
      <c r="D711" t="s">
        <v>93</v>
      </c>
      <c r="E711" t="s">
        <v>3636</v>
      </c>
      <c r="F711" t="s">
        <v>3612</v>
      </c>
      <c r="G711" s="1">
        <v>1289734.0900000001</v>
      </c>
    </row>
    <row r="712" spans="1:7">
      <c r="A712" t="s">
        <v>807</v>
      </c>
      <c r="B712" s="6">
        <v>45745</v>
      </c>
      <c r="C712" s="6" t="str">
        <f>TEXT(Table3[[#This Row],[transaction_date]], "yyyy-mm")</f>
        <v>2025-03</v>
      </c>
      <c r="D712" t="s">
        <v>95</v>
      </c>
      <c r="E712" t="s">
        <v>3636</v>
      </c>
      <c r="F712" t="s">
        <v>3606</v>
      </c>
      <c r="G712" s="1">
        <v>11209213.300000001</v>
      </c>
    </row>
    <row r="713" spans="1:7">
      <c r="A713" t="s">
        <v>808</v>
      </c>
      <c r="B713" s="6">
        <v>45972</v>
      </c>
      <c r="C713" s="6" t="str">
        <f>TEXT(Table3[[#This Row],[transaction_date]], "yyyy-mm")</f>
        <v>2025-11</v>
      </c>
      <c r="D713" t="s">
        <v>75</v>
      </c>
      <c r="E713" t="s">
        <v>3637</v>
      </c>
      <c r="F713" t="s">
        <v>3614</v>
      </c>
      <c r="G713" s="1">
        <v>2879624.07</v>
      </c>
    </row>
    <row r="714" spans="1:7">
      <c r="A714" t="s">
        <v>809</v>
      </c>
      <c r="B714" s="6">
        <v>45963</v>
      </c>
      <c r="C714" s="6" t="str">
        <f>TEXT(Table3[[#This Row],[transaction_date]], "yyyy-mm")</f>
        <v>2025-11</v>
      </c>
      <c r="D714" t="s">
        <v>74</v>
      </c>
      <c r="E714" t="s">
        <v>3636</v>
      </c>
      <c r="F714" t="s">
        <v>3612</v>
      </c>
      <c r="G714" s="1">
        <v>800012.92</v>
      </c>
    </row>
    <row r="715" spans="1:7">
      <c r="A715" t="s">
        <v>810</v>
      </c>
      <c r="B715" s="6">
        <v>45947</v>
      </c>
      <c r="C715" s="6" t="str">
        <f>TEXT(Table3[[#This Row],[transaction_date]], "yyyy-mm")</f>
        <v>2025-10</v>
      </c>
      <c r="D715" t="s">
        <v>3597</v>
      </c>
      <c r="E715" t="s">
        <v>3637</v>
      </c>
      <c r="F715" t="s">
        <v>3621</v>
      </c>
      <c r="G715" s="1">
        <v>905370.94</v>
      </c>
    </row>
    <row r="716" spans="1:7">
      <c r="A716" t="s">
        <v>811</v>
      </c>
      <c r="B716" s="6">
        <v>45783</v>
      </c>
      <c r="C716" s="6" t="str">
        <f>TEXT(Table3[[#This Row],[transaction_date]], "yyyy-mm")</f>
        <v>2025-05</v>
      </c>
      <c r="D716" t="s">
        <v>73</v>
      </c>
      <c r="E716" t="s">
        <v>3637</v>
      </c>
      <c r="F716" t="s">
        <v>3623</v>
      </c>
      <c r="G716" s="1">
        <v>1142839.98</v>
      </c>
    </row>
    <row r="717" spans="1:7">
      <c r="A717" t="s">
        <v>812</v>
      </c>
      <c r="B717" s="6">
        <v>45816</v>
      </c>
      <c r="C717" s="6" t="str">
        <f>TEXT(Table3[[#This Row],[transaction_date]], "yyyy-mm")</f>
        <v>2025-06</v>
      </c>
      <c r="D717" t="s">
        <v>77</v>
      </c>
      <c r="E717" t="s">
        <v>3637</v>
      </c>
      <c r="F717" t="s">
        <v>3620</v>
      </c>
      <c r="G717" s="1">
        <v>5507492.6299999999</v>
      </c>
    </row>
    <row r="718" spans="1:7">
      <c r="A718" t="s">
        <v>813</v>
      </c>
      <c r="B718" s="6">
        <v>45662</v>
      </c>
      <c r="C718" s="6" t="str">
        <f>TEXT(Table3[[#This Row],[transaction_date]], "yyyy-mm")</f>
        <v>2025-01</v>
      </c>
      <c r="D718" t="s">
        <v>85</v>
      </c>
      <c r="E718" t="s">
        <v>3637</v>
      </c>
      <c r="F718" t="s">
        <v>3614</v>
      </c>
      <c r="G718" s="1">
        <v>489882.49</v>
      </c>
    </row>
    <row r="719" spans="1:7">
      <c r="A719" t="s">
        <v>814</v>
      </c>
      <c r="B719" s="6">
        <v>45679</v>
      </c>
      <c r="C719" s="6" t="str">
        <f>TEXT(Table3[[#This Row],[transaction_date]], "yyyy-mm")</f>
        <v>2025-01</v>
      </c>
      <c r="D719" t="s">
        <v>76</v>
      </c>
      <c r="E719" t="s">
        <v>3636</v>
      </c>
      <c r="F719" t="s">
        <v>3609</v>
      </c>
      <c r="G719" s="1">
        <v>33546074.77</v>
      </c>
    </row>
    <row r="720" spans="1:7">
      <c r="A720" t="s">
        <v>815</v>
      </c>
      <c r="B720" s="6">
        <v>45720</v>
      </c>
      <c r="C720" s="6" t="str">
        <f>TEXT(Table3[[#This Row],[transaction_date]], "yyyy-mm")</f>
        <v>2025-03</v>
      </c>
      <c r="D720" t="s">
        <v>90</v>
      </c>
      <c r="E720" t="s">
        <v>3637</v>
      </c>
      <c r="F720" t="s">
        <v>3615</v>
      </c>
      <c r="G720" s="1">
        <v>2384590.48</v>
      </c>
    </row>
    <row r="721" spans="1:7">
      <c r="A721" t="s">
        <v>816</v>
      </c>
      <c r="B721" s="6">
        <v>45807</v>
      </c>
      <c r="C721" s="6" t="str">
        <f>TEXT(Table3[[#This Row],[transaction_date]], "yyyy-mm")</f>
        <v>2025-05</v>
      </c>
      <c r="D721" t="s">
        <v>73</v>
      </c>
      <c r="E721" t="s">
        <v>3637</v>
      </c>
      <c r="F721" t="s">
        <v>3621</v>
      </c>
      <c r="G721" s="1">
        <v>6834625.1399999997</v>
      </c>
    </row>
    <row r="722" spans="1:7">
      <c r="A722" t="s">
        <v>817</v>
      </c>
      <c r="B722" s="6">
        <v>45927</v>
      </c>
      <c r="C722" s="6" t="str">
        <f>TEXT(Table3[[#This Row],[transaction_date]], "yyyy-mm")</f>
        <v>2025-09</v>
      </c>
      <c r="D722" t="s">
        <v>90</v>
      </c>
      <c r="E722" t="s">
        <v>3637</v>
      </c>
      <c r="F722" t="s">
        <v>3615</v>
      </c>
      <c r="G722" s="1">
        <v>4656425.59</v>
      </c>
    </row>
    <row r="723" spans="1:7">
      <c r="A723" t="s">
        <v>818</v>
      </c>
      <c r="B723" s="6">
        <v>45734</v>
      </c>
      <c r="C723" s="6" t="str">
        <f>TEXT(Table3[[#This Row],[transaction_date]], "yyyy-mm")</f>
        <v>2025-03</v>
      </c>
      <c r="D723" t="s">
        <v>89</v>
      </c>
      <c r="E723" t="s">
        <v>3636</v>
      </c>
      <c r="F723" t="s">
        <v>3612</v>
      </c>
      <c r="G723" s="1">
        <v>1925873.45</v>
      </c>
    </row>
    <row r="724" spans="1:7">
      <c r="A724" t="s">
        <v>819</v>
      </c>
      <c r="B724" s="6">
        <v>45940</v>
      </c>
      <c r="C724" s="6" t="str">
        <f>TEXT(Table3[[#This Row],[transaction_date]], "yyyy-mm")</f>
        <v>2025-10</v>
      </c>
      <c r="D724" t="s">
        <v>76</v>
      </c>
      <c r="E724" t="s">
        <v>3637</v>
      </c>
      <c r="F724" t="s">
        <v>3620</v>
      </c>
      <c r="G724" s="1">
        <v>1592821.09</v>
      </c>
    </row>
    <row r="725" spans="1:7">
      <c r="A725" t="s">
        <v>820</v>
      </c>
      <c r="B725" s="6">
        <v>45926</v>
      </c>
      <c r="C725" s="6" t="str">
        <f>TEXT(Table3[[#This Row],[transaction_date]], "yyyy-mm")</f>
        <v>2025-09</v>
      </c>
      <c r="D725" t="s">
        <v>77</v>
      </c>
      <c r="E725" t="s">
        <v>3636</v>
      </c>
      <c r="F725" t="s">
        <v>3606</v>
      </c>
      <c r="G725" s="1">
        <v>108437.4</v>
      </c>
    </row>
    <row r="726" spans="1:7">
      <c r="A726" t="s">
        <v>821</v>
      </c>
      <c r="B726" s="6">
        <v>45721</v>
      </c>
      <c r="C726" s="6" t="str">
        <f>TEXT(Table3[[#This Row],[transaction_date]], "yyyy-mm")</f>
        <v>2025-03</v>
      </c>
      <c r="D726" t="s">
        <v>90</v>
      </c>
      <c r="E726" t="s">
        <v>3637</v>
      </c>
      <c r="F726" t="s">
        <v>3621</v>
      </c>
      <c r="G726" s="1">
        <v>6055123.7599999998</v>
      </c>
    </row>
    <row r="727" spans="1:7">
      <c r="A727" t="s">
        <v>822</v>
      </c>
      <c r="B727" s="6">
        <v>45689</v>
      </c>
      <c r="C727" s="6" t="str">
        <f>TEXT(Table3[[#This Row],[transaction_date]], "yyyy-mm")</f>
        <v>2025-02</v>
      </c>
      <c r="D727" t="s">
        <v>73</v>
      </c>
      <c r="E727" t="s">
        <v>3637</v>
      </c>
      <c r="F727" t="s">
        <v>3623</v>
      </c>
      <c r="G727" s="1">
        <v>3721856.61</v>
      </c>
    </row>
    <row r="728" spans="1:7">
      <c r="A728" t="s">
        <v>823</v>
      </c>
      <c r="B728" s="6">
        <v>45726</v>
      </c>
      <c r="C728" s="6" t="str">
        <f>TEXT(Table3[[#This Row],[transaction_date]], "yyyy-mm")</f>
        <v>2025-03</v>
      </c>
      <c r="D728" t="s">
        <v>85</v>
      </c>
      <c r="E728" t="s">
        <v>3636</v>
      </c>
      <c r="F728" t="s">
        <v>3611</v>
      </c>
      <c r="G728" s="1">
        <v>747403.32</v>
      </c>
    </row>
    <row r="729" spans="1:7">
      <c r="A729" t="s">
        <v>824</v>
      </c>
      <c r="B729" s="6">
        <v>45711</v>
      </c>
      <c r="C729" s="6" t="str">
        <f>TEXT(Table3[[#This Row],[transaction_date]], "yyyy-mm")</f>
        <v>2025-02</v>
      </c>
      <c r="D729" t="s">
        <v>76</v>
      </c>
      <c r="E729" t="s">
        <v>3636</v>
      </c>
      <c r="F729" t="s">
        <v>3611</v>
      </c>
      <c r="G729" s="1">
        <v>13287407.74</v>
      </c>
    </row>
    <row r="730" spans="1:7">
      <c r="A730" t="s">
        <v>825</v>
      </c>
      <c r="B730" s="6">
        <v>45796</v>
      </c>
      <c r="C730" s="6" t="str">
        <f>TEXT(Table3[[#This Row],[transaction_date]], "yyyy-mm")</f>
        <v>2025-05</v>
      </c>
      <c r="D730" t="s">
        <v>73</v>
      </c>
      <c r="E730" t="s">
        <v>3637</v>
      </c>
      <c r="F730" t="s">
        <v>3617</v>
      </c>
      <c r="G730" s="1">
        <v>105374.8</v>
      </c>
    </row>
    <row r="731" spans="1:7">
      <c r="A731" t="s">
        <v>826</v>
      </c>
      <c r="B731" s="6">
        <v>45730</v>
      </c>
      <c r="C731" s="6" t="str">
        <f>TEXT(Table3[[#This Row],[transaction_date]], "yyyy-mm")</f>
        <v>2025-03</v>
      </c>
      <c r="D731" t="s">
        <v>77</v>
      </c>
      <c r="E731" t="s">
        <v>3637</v>
      </c>
      <c r="F731" t="s">
        <v>3617</v>
      </c>
      <c r="G731" s="1">
        <v>5122062.68</v>
      </c>
    </row>
    <row r="732" spans="1:7">
      <c r="A732" t="s">
        <v>827</v>
      </c>
      <c r="B732" s="6">
        <v>45805</v>
      </c>
      <c r="C732" s="6" t="str">
        <f>TEXT(Table3[[#This Row],[transaction_date]], "yyyy-mm")</f>
        <v>2025-05</v>
      </c>
      <c r="D732" t="s">
        <v>73</v>
      </c>
      <c r="E732" t="s">
        <v>3636</v>
      </c>
      <c r="F732" t="s">
        <v>3609</v>
      </c>
      <c r="G732" s="1">
        <v>161087.98000000001</v>
      </c>
    </row>
    <row r="733" spans="1:7">
      <c r="A733" t="s">
        <v>828</v>
      </c>
      <c r="B733" s="6">
        <v>46008</v>
      </c>
      <c r="C733" s="6" t="str">
        <f>TEXT(Table3[[#This Row],[transaction_date]], "yyyy-mm")</f>
        <v>2025-12</v>
      </c>
      <c r="D733" t="s">
        <v>82</v>
      </c>
      <c r="E733" t="s">
        <v>3636</v>
      </c>
      <c r="F733" t="s">
        <v>3606</v>
      </c>
      <c r="G733" s="1">
        <v>3915304.65</v>
      </c>
    </row>
    <row r="734" spans="1:7">
      <c r="A734" t="s">
        <v>829</v>
      </c>
      <c r="B734" s="6">
        <v>45760</v>
      </c>
      <c r="C734" s="6" t="str">
        <f>TEXT(Table3[[#This Row],[transaction_date]], "yyyy-mm")</f>
        <v>2025-04</v>
      </c>
      <c r="D734" t="s">
        <v>74</v>
      </c>
      <c r="E734" t="s">
        <v>3636</v>
      </c>
      <c r="F734" t="s">
        <v>3613</v>
      </c>
      <c r="G734" s="1">
        <v>1507256.38</v>
      </c>
    </row>
    <row r="735" spans="1:7">
      <c r="A735" t="s">
        <v>830</v>
      </c>
      <c r="B735" s="6">
        <v>45815</v>
      </c>
      <c r="C735" s="6" t="str">
        <f>TEXT(Table3[[#This Row],[transaction_date]], "yyyy-mm")</f>
        <v>2025-06</v>
      </c>
      <c r="D735" t="s">
        <v>77</v>
      </c>
      <c r="E735" t="s">
        <v>3637</v>
      </c>
      <c r="F735" t="s">
        <v>3622</v>
      </c>
      <c r="G735" s="1">
        <v>5070382.9800000004</v>
      </c>
    </row>
    <row r="736" spans="1:7">
      <c r="A736" t="s">
        <v>831</v>
      </c>
      <c r="B736" s="6">
        <v>45912</v>
      </c>
      <c r="C736" s="6" t="str">
        <f>TEXT(Table3[[#This Row],[transaction_date]], "yyyy-mm")</f>
        <v>2025-09</v>
      </c>
      <c r="D736" t="s">
        <v>84</v>
      </c>
      <c r="E736" t="s">
        <v>3636</v>
      </c>
      <c r="F736" t="s">
        <v>3606</v>
      </c>
      <c r="G736" s="1">
        <v>18030527.52</v>
      </c>
    </row>
    <row r="737" spans="1:7">
      <c r="A737" t="s">
        <v>832</v>
      </c>
      <c r="B737" s="6">
        <v>45842</v>
      </c>
      <c r="C737" s="6" t="str">
        <f>TEXT(Table3[[#This Row],[transaction_date]], "yyyy-mm")</f>
        <v>2025-07</v>
      </c>
      <c r="D737" t="s">
        <v>93</v>
      </c>
      <c r="E737" t="s">
        <v>3637</v>
      </c>
      <c r="F737" t="s">
        <v>3621</v>
      </c>
      <c r="G737" s="1">
        <v>6852459.96</v>
      </c>
    </row>
    <row r="738" spans="1:7">
      <c r="A738" t="s">
        <v>833</v>
      </c>
      <c r="B738" s="6">
        <v>45861</v>
      </c>
      <c r="C738" s="6" t="str">
        <f>TEXT(Table3[[#This Row],[transaction_date]], "yyyy-mm")</f>
        <v>2025-07</v>
      </c>
      <c r="D738" t="s">
        <v>89</v>
      </c>
      <c r="E738" t="s">
        <v>3637</v>
      </c>
      <c r="F738" t="s">
        <v>3617</v>
      </c>
      <c r="G738" s="1">
        <v>1768826.82</v>
      </c>
    </row>
    <row r="739" spans="1:7">
      <c r="A739" t="s">
        <v>834</v>
      </c>
      <c r="B739" s="6">
        <v>45949</v>
      </c>
      <c r="C739" s="6" t="str">
        <f>TEXT(Table3[[#This Row],[transaction_date]], "yyyy-mm")</f>
        <v>2025-10</v>
      </c>
      <c r="D739" t="s">
        <v>74</v>
      </c>
      <c r="E739" t="s">
        <v>3636</v>
      </c>
      <c r="F739" t="s">
        <v>3612</v>
      </c>
      <c r="G739" s="1">
        <v>284930.95</v>
      </c>
    </row>
    <row r="740" spans="1:7">
      <c r="A740" t="s">
        <v>835</v>
      </c>
      <c r="B740" s="6">
        <v>45971</v>
      </c>
      <c r="C740" s="6" t="str">
        <f>TEXT(Table3[[#This Row],[transaction_date]], "yyyy-mm")</f>
        <v>2025-11</v>
      </c>
      <c r="D740" t="s">
        <v>76</v>
      </c>
      <c r="E740" t="s">
        <v>3637</v>
      </c>
      <c r="F740" t="s">
        <v>3618</v>
      </c>
      <c r="G740" s="1">
        <v>10640150</v>
      </c>
    </row>
    <row r="741" spans="1:7">
      <c r="A741" t="s">
        <v>836</v>
      </c>
      <c r="B741" s="6">
        <v>45991</v>
      </c>
      <c r="C741" s="6" t="str">
        <f>TEXT(Table3[[#This Row],[transaction_date]], "yyyy-mm")</f>
        <v>2025-11</v>
      </c>
      <c r="D741" t="s">
        <v>3597</v>
      </c>
      <c r="E741" t="s">
        <v>3636</v>
      </c>
      <c r="F741" t="s">
        <v>3604</v>
      </c>
      <c r="G741" s="1">
        <v>5659806.0099999998</v>
      </c>
    </row>
    <row r="742" spans="1:7">
      <c r="A742" t="s">
        <v>837</v>
      </c>
      <c r="B742" s="6">
        <v>45775</v>
      </c>
      <c r="C742" s="6" t="str">
        <f>TEXT(Table3[[#This Row],[transaction_date]], "yyyy-mm")</f>
        <v>2025-04</v>
      </c>
      <c r="D742" t="s">
        <v>78</v>
      </c>
      <c r="E742" t="s">
        <v>3636</v>
      </c>
      <c r="F742" t="s">
        <v>3612</v>
      </c>
      <c r="G742" s="1">
        <v>8324648.9199999999</v>
      </c>
    </row>
    <row r="743" spans="1:7">
      <c r="A743" t="s">
        <v>838</v>
      </c>
      <c r="B743" s="6">
        <v>45787</v>
      </c>
      <c r="C743" s="6" t="str">
        <f>TEXT(Table3[[#This Row],[transaction_date]], "yyyy-mm")</f>
        <v>2025-05</v>
      </c>
      <c r="D743" t="s">
        <v>74</v>
      </c>
      <c r="E743" t="s">
        <v>3637</v>
      </c>
      <c r="F743" t="s">
        <v>3621</v>
      </c>
      <c r="G743" s="1">
        <v>28476.28</v>
      </c>
    </row>
    <row r="744" spans="1:7">
      <c r="A744" t="s">
        <v>839</v>
      </c>
      <c r="B744" s="6">
        <v>45863</v>
      </c>
      <c r="C744" s="6" t="str">
        <f>TEXT(Table3[[#This Row],[transaction_date]], "yyyy-mm")</f>
        <v>2025-07</v>
      </c>
      <c r="D744" t="s">
        <v>78</v>
      </c>
      <c r="E744" t="s">
        <v>3636</v>
      </c>
      <c r="F744" t="s">
        <v>3608</v>
      </c>
      <c r="G744" s="1">
        <v>1034907.93</v>
      </c>
    </row>
    <row r="745" spans="1:7">
      <c r="A745" t="s">
        <v>840</v>
      </c>
      <c r="B745" s="6">
        <v>45868</v>
      </c>
      <c r="C745" s="6" t="str">
        <f>TEXT(Table3[[#This Row],[transaction_date]], "yyyy-mm")</f>
        <v>2025-07</v>
      </c>
      <c r="D745" t="s">
        <v>84</v>
      </c>
      <c r="E745" t="s">
        <v>3637</v>
      </c>
      <c r="F745" t="s">
        <v>3619</v>
      </c>
      <c r="G745" s="1">
        <v>4036190.96</v>
      </c>
    </row>
    <row r="746" spans="1:7">
      <c r="A746" t="s">
        <v>841</v>
      </c>
      <c r="B746" s="6">
        <v>45974</v>
      </c>
      <c r="C746" s="6" t="str">
        <f>TEXT(Table3[[#This Row],[transaction_date]], "yyyy-mm")</f>
        <v>2025-11</v>
      </c>
      <c r="D746" t="s">
        <v>89</v>
      </c>
      <c r="E746" t="s">
        <v>3636</v>
      </c>
      <c r="F746" t="s">
        <v>3611</v>
      </c>
      <c r="G746" s="1">
        <v>2618239.48</v>
      </c>
    </row>
    <row r="747" spans="1:7">
      <c r="A747" t="s">
        <v>842</v>
      </c>
      <c r="B747" s="6">
        <v>46001</v>
      </c>
      <c r="C747" s="6" t="str">
        <f>TEXT(Table3[[#This Row],[transaction_date]], "yyyy-mm")</f>
        <v>2025-12</v>
      </c>
      <c r="D747" t="s">
        <v>82</v>
      </c>
      <c r="E747" t="s">
        <v>3636</v>
      </c>
      <c r="F747" t="s">
        <v>3606</v>
      </c>
      <c r="G747" s="1">
        <v>5072382.0999999996</v>
      </c>
    </row>
    <row r="748" spans="1:7">
      <c r="A748" t="s">
        <v>843</v>
      </c>
      <c r="B748" s="6">
        <v>45976</v>
      </c>
      <c r="C748" s="6" t="str">
        <f>TEXT(Table3[[#This Row],[transaction_date]], "yyyy-mm")</f>
        <v>2025-11</v>
      </c>
      <c r="D748" t="s">
        <v>85</v>
      </c>
      <c r="E748" t="s">
        <v>3637</v>
      </c>
      <c r="F748" t="s">
        <v>3616</v>
      </c>
      <c r="G748" s="1">
        <v>1899622.6</v>
      </c>
    </row>
    <row r="749" spans="1:7">
      <c r="A749" t="s">
        <v>844</v>
      </c>
      <c r="B749" s="6">
        <v>45808</v>
      </c>
      <c r="C749" s="6" t="str">
        <f>TEXT(Table3[[#This Row],[transaction_date]], "yyyy-mm")</f>
        <v>2025-05</v>
      </c>
      <c r="D749" t="s">
        <v>84</v>
      </c>
      <c r="E749" t="s">
        <v>3637</v>
      </c>
      <c r="F749" t="s">
        <v>3616</v>
      </c>
      <c r="G749" s="1">
        <v>17002563.920000002</v>
      </c>
    </row>
    <row r="750" spans="1:7">
      <c r="A750" t="s">
        <v>845</v>
      </c>
      <c r="B750" s="6">
        <v>45812</v>
      </c>
      <c r="C750" s="6" t="str">
        <f>TEXT(Table3[[#This Row],[transaction_date]], "yyyy-mm")</f>
        <v>2025-06</v>
      </c>
      <c r="D750" t="s">
        <v>77</v>
      </c>
      <c r="E750" t="s">
        <v>3637</v>
      </c>
      <c r="F750" t="s">
        <v>3615</v>
      </c>
      <c r="G750" s="1">
        <v>14017305.34</v>
      </c>
    </row>
    <row r="751" spans="1:7">
      <c r="A751" t="s">
        <v>846</v>
      </c>
      <c r="B751" s="6">
        <v>45765</v>
      </c>
      <c r="C751" s="6" t="str">
        <f>TEXT(Table3[[#This Row],[transaction_date]], "yyyy-mm")</f>
        <v>2025-04</v>
      </c>
      <c r="D751" t="s">
        <v>74</v>
      </c>
      <c r="E751" t="s">
        <v>3637</v>
      </c>
      <c r="F751" t="s">
        <v>3615</v>
      </c>
      <c r="G751" s="1">
        <v>2497439.84</v>
      </c>
    </row>
    <row r="752" spans="1:7">
      <c r="A752" t="s">
        <v>847</v>
      </c>
      <c r="B752" s="6">
        <v>45807</v>
      </c>
      <c r="C752" s="6" t="str">
        <f>TEXT(Table3[[#This Row],[transaction_date]], "yyyy-mm")</f>
        <v>2025-05</v>
      </c>
      <c r="D752" t="s">
        <v>79</v>
      </c>
      <c r="E752" t="s">
        <v>3636</v>
      </c>
      <c r="F752" t="s">
        <v>3612</v>
      </c>
      <c r="G752" s="1">
        <v>4399980.1399999997</v>
      </c>
    </row>
    <row r="753" spans="1:7">
      <c r="A753" t="s">
        <v>848</v>
      </c>
      <c r="B753" s="6">
        <v>45936</v>
      </c>
      <c r="C753" s="6" t="str">
        <f>TEXT(Table3[[#This Row],[transaction_date]], "yyyy-mm")</f>
        <v>2025-10</v>
      </c>
      <c r="D753" t="s">
        <v>77</v>
      </c>
      <c r="E753" t="s">
        <v>3637</v>
      </c>
      <c r="F753" t="s">
        <v>3619</v>
      </c>
      <c r="G753" s="1">
        <v>3426966.89</v>
      </c>
    </row>
    <row r="754" spans="1:7">
      <c r="A754" t="s">
        <v>849</v>
      </c>
      <c r="B754" s="6">
        <v>45711</v>
      </c>
      <c r="C754" s="6" t="str">
        <f>TEXT(Table3[[#This Row],[transaction_date]], "yyyy-mm")</f>
        <v>2025-02</v>
      </c>
      <c r="D754" t="s">
        <v>79</v>
      </c>
      <c r="E754" t="s">
        <v>3637</v>
      </c>
      <c r="F754" t="s">
        <v>3617</v>
      </c>
      <c r="G754" s="1">
        <v>3515695.16</v>
      </c>
    </row>
    <row r="755" spans="1:7">
      <c r="A755" t="s">
        <v>850</v>
      </c>
      <c r="B755" s="6">
        <v>45750</v>
      </c>
      <c r="C755" s="6" t="str">
        <f>TEXT(Table3[[#This Row],[transaction_date]], "yyyy-mm")</f>
        <v>2025-04</v>
      </c>
      <c r="D755" t="s">
        <v>77</v>
      </c>
      <c r="E755" t="s">
        <v>3637</v>
      </c>
      <c r="F755" t="s">
        <v>3622</v>
      </c>
      <c r="G755" s="1">
        <v>9377376.2400000002</v>
      </c>
    </row>
    <row r="756" spans="1:7">
      <c r="A756" t="s">
        <v>851</v>
      </c>
      <c r="B756" s="6">
        <v>46016</v>
      </c>
      <c r="C756" s="6" t="str">
        <f>TEXT(Table3[[#This Row],[transaction_date]], "yyyy-mm")</f>
        <v>2025-12</v>
      </c>
      <c r="D756" t="s">
        <v>79</v>
      </c>
      <c r="E756" t="s">
        <v>3637</v>
      </c>
      <c r="F756" t="s">
        <v>3618</v>
      </c>
      <c r="G756" s="1">
        <v>2771775.59</v>
      </c>
    </row>
    <row r="757" spans="1:7">
      <c r="A757" t="s">
        <v>852</v>
      </c>
      <c r="B757" s="6">
        <v>45892</v>
      </c>
      <c r="C757" s="6" t="str">
        <f>TEXT(Table3[[#This Row],[transaction_date]], "yyyy-mm")</f>
        <v>2025-08</v>
      </c>
      <c r="D757" t="s">
        <v>90</v>
      </c>
      <c r="E757" t="s">
        <v>3637</v>
      </c>
      <c r="F757" t="s">
        <v>3617</v>
      </c>
      <c r="G757" s="1">
        <v>13536218.34</v>
      </c>
    </row>
    <row r="758" spans="1:7">
      <c r="A758" t="s">
        <v>853</v>
      </c>
      <c r="B758" s="6">
        <v>45792</v>
      </c>
      <c r="C758" s="6" t="str">
        <f>TEXT(Table3[[#This Row],[transaction_date]], "yyyy-mm")</f>
        <v>2025-05</v>
      </c>
      <c r="D758" t="s">
        <v>80</v>
      </c>
      <c r="E758" t="s">
        <v>3636</v>
      </c>
      <c r="F758" t="s">
        <v>3610</v>
      </c>
      <c r="G758" s="1">
        <v>610627.05000000005</v>
      </c>
    </row>
    <row r="759" spans="1:7">
      <c r="A759" t="s">
        <v>854</v>
      </c>
      <c r="B759" s="6">
        <v>45933</v>
      </c>
      <c r="C759" s="6" t="str">
        <f>TEXT(Table3[[#This Row],[transaction_date]], "yyyy-mm")</f>
        <v>2025-10</v>
      </c>
      <c r="D759" t="s">
        <v>76</v>
      </c>
      <c r="E759" t="s">
        <v>3637</v>
      </c>
      <c r="F759" t="s">
        <v>3620</v>
      </c>
      <c r="G759" s="1">
        <v>6962677.4500000002</v>
      </c>
    </row>
    <row r="760" spans="1:7">
      <c r="A760" t="s">
        <v>855</v>
      </c>
      <c r="B760" s="6">
        <v>45879</v>
      </c>
      <c r="C760" s="6" t="str">
        <f>TEXT(Table3[[#This Row],[transaction_date]], "yyyy-mm")</f>
        <v>2025-08</v>
      </c>
      <c r="D760" t="s">
        <v>95</v>
      </c>
      <c r="E760" t="s">
        <v>3637</v>
      </c>
      <c r="F760" t="s">
        <v>3621</v>
      </c>
      <c r="G760" s="1">
        <v>8219729.8899999997</v>
      </c>
    </row>
    <row r="761" spans="1:7">
      <c r="A761" t="s">
        <v>856</v>
      </c>
      <c r="B761" s="6">
        <v>45825</v>
      </c>
      <c r="C761" s="6" t="str">
        <f>TEXT(Table3[[#This Row],[transaction_date]], "yyyy-mm")</f>
        <v>2025-06</v>
      </c>
      <c r="D761" t="s">
        <v>90</v>
      </c>
      <c r="E761" t="s">
        <v>3636</v>
      </c>
      <c r="F761" t="s">
        <v>3610</v>
      </c>
      <c r="G761" s="1">
        <v>8144519.2300000004</v>
      </c>
    </row>
    <row r="762" spans="1:7">
      <c r="A762" t="s">
        <v>857</v>
      </c>
      <c r="B762" s="6">
        <v>45921</v>
      </c>
      <c r="C762" s="6" t="str">
        <f>TEXT(Table3[[#This Row],[transaction_date]], "yyyy-mm")</f>
        <v>2025-09</v>
      </c>
      <c r="D762" t="s">
        <v>80</v>
      </c>
      <c r="E762" t="s">
        <v>3636</v>
      </c>
      <c r="F762" t="s">
        <v>3605</v>
      </c>
      <c r="G762" s="1">
        <v>1679655.64</v>
      </c>
    </row>
    <row r="763" spans="1:7">
      <c r="A763" t="s">
        <v>858</v>
      </c>
      <c r="B763" s="6">
        <v>45782</v>
      </c>
      <c r="C763" s="6" t="str">
        <f>TEXT(Table3[[#This Row],[transaction_date]], "yyyy-mm")</f>
        <v>2025-05</v>
      </c>
      <c r="D763" t="s">
        <v>90</v>
      </c>
      <c r="E763" t="s">
        <v>3636</v>
      </c>
      <c r="F763" t="s">
        <v>3604</v>
      </c>
      <c r="G763" s="1">
        <v>2704355.14</v>
      </c>
    </row>
    <row r="764" spans="1:7">
      <c r="A764" t="s">
        <v>859</v>
      </c>
      <c r="B764" s="6">
        <v>45981</v>
      </c>
      <c r="C764" s="6" t="str">
        <f>TEXT(Table3[[#This Row],[transaction_date]], "yyyy-mm")</f>
        <v>2025-11</v>
      </c>
      <c r="D764" t="s">
        <v>89</v>
      </c>
      <c r="E764" t="s">
        <v>3636</v>
      </c>
      <c r="F764" t="s">
        <v>3613</v>
      </c>
      <c r="G764" s="1">
        <v>331516.57</v>
      </c>
    </row>
    <row r="765" spans="1:7">
      <c r="A765" t="s">
        <v>860</v>
      </c>
      <c r="B765" s="6">
        <v>45919</v>
      </c>
      <c r="C765" s="6" t="str">
        <f>TEXT(Table3[[#This Row],[transaction_date]], "yyyy-mm")</f>
        <v>2025-09</v>
      </c>
      <c r="D765" t="s">
        <v>80</v>
      </c>
      <c r="E765" t="s">
        <v>3636</v>
      </c>
      <c r="F765" t="s">
        <v>3611</v>
      </c>
      <c r="G765" s="1">
        <v>1567919.64</v>
      </c>
    </row>
    <row r="766" spans="1:7">
      <c r="A766" t="s">
        <v>861</v>
      </c>
      <c r="B766" s="6">
        <v>45770</v>
      </c>
      <c r="C766" s="6" t="str">
        <f>TEXT(Table3[[#This Row],[transaction_date]], "yyyy-mm")</f>
        <v>2025-04</v>
      </c>
      <c r="D766" t="s">
        <v>73</v>
      </c>
      <c r="E766" t="s">
        <v>3636</v>
      </c>
      <c r="F766" t="s">
        <v>3604</v>
      </c>
      <c r="G766" s="1">
        <v>433614.36</v>
      </c>
    </row>
    <row r="767" spans="1:7">
      <c r="A767" t="s">
        <v>862</v>
      </c>
      <c r="B767" s="6">
        <v>45889</v>
      </c>
      <c r="C767" s="6" t="str">
        <f>TEXT(Table3[[#This Row],[transaction_date]], "yyyy-mm")</f>
        <v>2025-08</v>
      </c>
      <c r="D767" t="s">
        <v>79</v>
      </c>
      <c r="E767" t="s">
        <v>3636</v>
      </c>
      <c r="F767" t="s">
        <v>3606</v>
      </c>
      <c r="G767" s="1">
        <v>5516654.21</v>
      </c>
    </row>
    <row r="768" spans="1:7">
      <c r="A768" t="s">
        <v>863</v>
      </c>
      <c r="B768" s="6">
        <v>45754</v>
      </c>
      <c r="C768" s="6" t="str">
        <f>TEXT(Table3[[#This Row],[transaction_date]], "yyyy-mm")</f>
        <v>2025-04</v>
      </c>
      <c r="D768" t="s">
        <v>95</v>
      </c>
      <c r="E768" t="s">
        <v>3637</v>
      </c>
      <c r="F768" t="s">
        <v>3620</v>
      </c>
      <c r="G768" s="1">
        <v>4494279.29</v>
      </c>
    </row>
    <row r="769" spans="1:7">
      <c r="A769" t="s">
        <v>864</v>
      </c>
      <c r="B769" s="6">
        <v>45920</v>
      </c>
      <c r="C769" s="6" t="str">
        <f>TEXT(Table3[[#This Row],[transaction_date]], "yyyy-mm")</f>
        <v>2025-09</v>
      </c>
      <c r="D769" t="s">
        <v>90</v>
      </c>
      <c r="E769" t="s">
        <v>3636</v>
      </c>
      <c r="F769" t="s">
        <v>3604</v>
      </c>
      <c r="G769" s="1">
        <v>3004247.8</v>
      </c>
    </row>
    <row r="770" spans="1:7">
      <c r="A770" t="s">
        <v>865</v>
      </c>
      <c r="B770" s="6">
        <v>45850</v>
      </c>
      <c r="C770" s="6" t="str">
        <f>TEXT(Table3[[#This Row],[transaction_date]], "yyyy-mm")</f>
        <v>2025-07</v>
      </c>
      <c r="D770" t="s">
        <v>78</v>
      </c>
      <c r="E770" t="s">
        <v>3637</v>
      </c>
      <c r="F770" t="s">
        <v>3622</v>
      </c>
      <c r="G770" s="1">
        <v>3575463.86</v>
      </c>
    </row>
    <row r="771" spans="1:7">
      <c r="A771" t="s">
        <v>866</v>
      </c>
      <c r="B771" s="6">
        <v>45975</v>
      </c>
      <c r="C771" s="6" t="str">
        <f>TEXT(Table3[[#This Row],[transaction_date]], "yyyy-mm")</f>
        <v>2025-11</v>
      </c>
      <c r="D771" t="s">
        <v>79</v>
      </c>
      <c r="E771" t="s">
        <v>3637</v>
      </c>
      <c r="F771" t="s">
        <v>3617</v>
      </c>
      <c r="G771" s="1">
        <v>263738.09000000003</v>
      </c>
    </row>
    <row r="772" spans="1:7">
      <c r="A772" t="s">
        <v>867</v>
      </c>
      <c r="B772" s="6">
        <v>45994</v>
      </c>
      <c r="C772" s="6" t="str">
        <f>TEXT(Table3[[#This Row],[transaction_date]], "yyyy-mm")</f>
        <v>2025-12</v>
      </c>
      <c r="D772" t="s">
        <v>77</v>
      </c>
      <c r="E772" t="s">
        <v>3637</v>
      </c>
      <c r="F772" t="s">
        <v>3619</v>
      </c>
      <c r="G772" s="1">
        <v>1821657.32</v>
      </c>
    </row>
    <row r="773" spans="1:7">
      <c r="A773" t="s">
        <v>868</v>
      </c>
      <c r="B773" s="6">
        <v>45904</v>
      </c>
      <c r="C773" s="6" t="str">
        <f>TEXT(Table3[[#This Row],[transaction_date]], "yyyy-mm")</f>
        <v>2025-09</v>
      </c>
      <c r="D773" t="s">
        <v>77</v>
      </c>
      <c r="E773" t="s">
        <v>3636</v>
      </c>
      <c r="F773" t="s">
        <v>3610</v>
      </c>
      <c r="G773" s="1">
        <v>2378213.37</v>
      </c>
    </row>
    <row r="774" spans="1:7">
      <c r="A774" t="s">
        <v>869</v>
      </c>
      <c r="B774" s="6">
        <v>45664</v>
      </c>
      <c r="C774" s="6" t="str">
        <f>TEXT(Table3[[#This Row],[transaction_date]], "yyyy-mm")</f>
        <v>2025-01</v>
      </c>
      <c r="D774" t="s">
        <v>73</v>
      </c>
      <c r="E774" t="s">
        <v>3636</v>
      </c>
      <c r="F774" t="s">
        <v>3613</v>
      </c>
      <c r="G774" s="1">
        <v>1167126.3500000001</v>
      </c>
    </row>
    <row r="775" spans="1:7">
      <c r="A775" t="s">
        <v>870</v>
      </c>
      <c r="B775" s="6">
        <v>46020</v>
      </c>
      <c r="C775" s="6" t="str">
        <f>TEXT(Table3[[#This Row],[transaction_date]], "yyyy-mm")</f>
        <v>2025-12</v>
      </c>
      <c r="D775" t="s">
        <v>73</v>
      </c>
      <c r="E775" t="s">
        <v>3637</v>
      </c>
      <c r="F775" t="s">
        <v>3623</v>
      </c>
      <c r="G775" s="1">
        <v>6158556.0300000003</v>
      </c>
    </row>
    <row r="776" spans="1:7">
      <c r="A776" t="s">
        <v>871</v>
      </c>
      <c r="B776" s="6">
        <v>45705</v>
      </c>
      <c r="C776" s="6" t="str">
        <f>TEXT(Table3[[#This Row],[transaction_date]], "yyyy-mm")</f>
        <v>2025-02</v>
      </c>
      <c r="D776" t="s">
        <v>3597</v>
      </c>
      <c r="E776" t="s">
        <v>3636</v>
      </c>
      <c r="F776" t="s">
        <v>3606</v>
      </c>
      <c r="G776" s="1">
        <v>2212857.4700000002</v>
      </c>
    </row>
    <row r="777" spans="1:7">
      <c r="A777" t="s">
        <v>872</v>
      </c>
      <c r="B777" s="6">
        <v>45873</v>
      </c>
      <c r="C777" s="6" t="str">
        <f>TEXT(Table3[[#This Row],[transaction_date]], "yyyy-mm")</f>
        <v>2025-08</v>
      </c>
      <c r="D777" t="s">
        <v>90</v>
      </c>
      <c r="E777" t="s">
        <v>3636</v>
      </c>
      <c r="F777" t="s">
        <v>3609</v>
      </c>
      <c r="G777" s="1">
        <v>23782618.879999999</v>
      </c>
    </row>
    <row r="778" spans="1:7">
      <c r="A778" t="s">
        <v>873</v>
      </c>
      <c r="B778" s="6">
        <v>45798</v>
      </c>
      <c r="C778" s="6" t="str">
        <f>TEXT(Table3[[#This Row],[transaction_date]], "yyyy-mm")</f>
        <v>2025-05</v>
      </c>
      <c r="D778" t="s">
        <v>78</v>
      </c>
      <c r="E778" t="s">
        <v>3637</v>
      </c>
      <c r="F778" t="s">
        <v>3614</v>
      </c>
      <c r="G778" s="1">
        <v>4808381.9800000004</v>
      </c>
    </row>
    <row r="779" spans="1:7">
      <c r="A779" t="s">
        <v>874</v>
      </c>
      <c r="B779" s="6">
        <v>45776</v>
      </c>
      <c r="C779" s="6" t="str">
        <f>TEXT(Table3[[#This Row],[transaction_date]], "yyyy-mm")</f>
        <v>2025-04</v>
      </c>
      <c r="D779" t="s">
        <v>90</v>
      </c>
      <c r="E779" t="s">
        <v>3637</v>
      </c>
      <c r="F779" t="s">
        <v>3617</v>
      </c>
      <c r="G779" s="1">
        <v>15376731.76</v>
      </c>
    </row>
    <row r="780" spans="1:7">
      <c r="A780" t="s">
        <v>875</v>
      </c>
      <c r="B780" s="6">
        <v>45890</v>
      </c>
      <c r="C780" s="6" t="str">
        <f>TEXT(Table3[[#This Row],[transaction_date]], "yyyy-mm")</f>
        <v>2025-08</v>
      </c>
      <c r="D780" t="s">
        <v>79</v>
      </c>
      <c r="E780" t="s">
        <v>3637</v>
      </c>
      <c r="F780" t="s">
        <v>3623</v>
      </c>
      <c r="G780" s="1">
        <v>362781.59</v>
      </c>
    </row>
    <row r="781" spans="1:7">
      <c r="A781" t="s">
        <v>876</v>
      </c>
      <c r="B781" s="6">
        <v>45961</v>
      </c>
      <c r="C781" s="6" t="str">
        <f>TEXT(Table3[[#This Row],[transaction_date]], "yyyy-mm")</f>
        <v>2025-10</v>
      </c>
      <c r="D781" t="s">
        <v>93</v>
      </c>
      <c r="E781" t="s">
        <v>3637</v>
      </c>
      <c r="F781" t="s">
        <v>3616</v>
      </c>
      <c r="G781" s="1">
        <v>13333233.82</v>
      </c>
    </row>
    <row r="782" spans="1:7">
      <c r="A782" t="s">
        <v>877</v>
      </c>
      <c r="B782" s="6">
        <v>45835</v>
      </c>
      <c r="C782" s="6" t="str">
        <f>TEXT(Table3[[#This Row],[transaction_date]], "yyyy-mm")</f>
        <v>2025-06</v>
      </c>
      <c r="D782" t="s">
        <v>73</v>
      </c>
      <c r="E782" t="s">
        <v>3637</v>
      </c>
      <c r="F782" t="s">
        <v>3623</v>
      </c>
      <c r="G782" s="1">
        <v>984092.88</v>
      </c>
    </row>
    <row r="783" spans="1:7">
      <c r="A783" t="s">
        <v>878</v>
      </c>
      <c r="B783" s="6">
        <v>45981</v>
      </c>
      <c r="C783" s="6" t="str">
        <f>TEXT(Table3[[#This Row],[transaction_date]], "yyyy-mm")</f>
        <v>2025-11</v>
      </c>
      <c r="D783" t="s">
        <v>95</v>
      </c>
      <c r="E783" t="s">
        <v>3636</v>
      </c>
      <c r="F783" t="s">
        <v>3612</v>
      </c>
      <c r="G783" s="1">
        <v>399631.71</v>
      </c>
    </row>
    <row r="784" spans="1:7">
      <c r="A784" t="s">
        <v>879</v>
      </c>
      <c r="B784" s="6">
        <v>46003</v>
      </c>
      <c r="C784" s="6" t="str">
        <f>TEXT(Table3[[#This Row],[transaction_date]], "yyyy-mm")</f>
        <v>2025-12</v>
      </c>
      <c r="D784" t="s">
        <v>73</v>
      </c>
      <c r="E784" t="s">
        <v>3637</v>
      </c>
      <c r="F784" t="s">
        <v>3614</v>
      </c>
      <c r="G784" s="1">
        <v>3920908.53</v>
      </c>
    </row>
    <row r="785" spans="1:7">
      <c r="A785" t="s">
        <v>880</v>
      </c>
      <c r="B785" s="6">
        <v>45796</v>
      </c>
      <c r="C785" s="6" t="str">
        <f>TEXT(Table3[[#This Row],[transaction_date]], "yyyy-mm")</f>
        <v>2025-05</v>
      </c>
      <c r="D785" t="s">
        <v>80</v>
      </c>
      <c r="E785" t="s">
        <v>3637</v>
      </c>
      <c r="F785" t="s">
        <v>3615</v>
      </c>
      <c r="G785" s="1">
        <v>532726.38</v>
      </c>
    </row>
    <row r="786" spans="1:7">
      <c r="A786" t="s">
        <v>881</v>
      </c>
      <c r="B786" s="6">
        <v>45998</v>
      </c>
      <c r="C786" s="6" t="str">
        <f>TEXT(Table3[[#This Row],[transaction_date]], "yyyy-mm")</f>
        <v>2025-12</v>
      </c>
      <c r="D786" t="s">
        <v>85</v>
      </c>
      <c r="E786" t="s">
        <v>3636</v>
      </c>
      <c r="F786" t="s">
        <v>3613</v>
      </c>
      <c r="G786" s="1">
        <v>1460480.52</v>
      </c>
    </row>
    <row r="787" spans="1:7">
      <c r="A787" t="s">
        <v>882</v>
      </c>
      <c r="B787" s="6">
        <v>45661</v>
      </c>
      <c r="C787" s="6" t="str">
        <f>TEXT(Table3[[#This Row],[transaction_date]], "yyyy-mm")</f>
        <v>2025-01</v>
      </c>
      <c r="D787" t="s">
        <v>78</v>
      </c>
      <c r="E787" t="s">
        <v>3636</v>
      </c>
      <c r="F787" t="s">
        <v>3610</v>
      </c>
      <c r="G787" s="1">
        <v>333703.87</v>
      </c>
    </row>
    <row r="788" spans="1:7">
      <c r="A788" t="s">
        <v>883</v>
      </c>
      <c r="B788" s="6">
        <v>45873</v>
      </c>
      <c r="C788" s="6" t="str">
        <f>TEXT(Table3[[#This Row],[transaction_date]], "yyyy-mm")</f>
        <v>2025-08</v>
      </c>
      <c r="D788" t="s">
        <v>74</v>
      </c>
      <c r="E788" t="s">
        <v>3637</v>
      </c>
      <c r="F788" t="s">
        <v>3621</v>
      </c>
      <c r="G788" s="1">
        <v>268818.83</v>
      </c>
    </row>
    <row r="789" spans="1:7">
      <c r="A789" t="s">
        <v>884</v>
      </c>
      <c r="B789" s="6">
        <v>45861</v>
      </c>
      <c r="C789" s="6" t="str">
        <f>TEXT(Table3[[#This Row],[transaction_date]], "yyyy-mm")</f>
        <v>2025-07</v>
      </c>
      <c r="D789" t="s">
        <v>78</v>
      </c>
      <c r="E789" t="s">
        <v>3637</v>
      </c>
      <c r="F789" t="s">
        <v>3614</v>
      </c>
      <c r="G789" s="1">
        <v>1290617.1499999999</v>
      </c>
    </row>
    <row r="790" spans="1:7">
      <c r="A790" t="s">
        <v>885</v>
      </c>
      <c r="B790" s="6">
        <v>45981</v>
      </c>
      <c r="C790" s="6" t="str">
        <f>TEXT(Table3[[#This Row],[transaction_date]], "yyyy-mm")</f>
        <v>2025-11</v>
      </c>
      <c r="D790" t="s">
        <v>82</v>
      </c>
      <c r="E790" t="s">
        <v>3637</v>
      </c>
      <c r="F790" t="s">
        <v>3618</v>
      </c>
      <c r="G790" s="1">
        <v>2573003.6</v>
      </c>
    </row>
    <row r="791" spans="1:7">
      <c r="A791" t="s">
        <v>886</v>
      </c>
      <c r="B791" s="6">
        <v>45920</v>
      </c>
      <c r="C791" s="6" t="str">
        <f>TEXT(Table3[[#This Row],[transaction_date]], "yyyy-mm")</f>
        <v>2025-09</v>
      </c>
      <c r="D791" t="s">
        <v>73</v>
      </c>
      <c r="E791" t="s">
        <v>3636</v>
      </c>
      <c r="F791" t="s">
        <v>3605</v>
      </c>
      <c r="G791" s="1">
        <v>1690013.22</v>
      </c>
    </row>
    <row r="792" spans="1:7">
      <c r="A792" t="s">
        <v>887</v>
      </c>
      <c r="B792" s="6">
        <v>45658</v>
      </c>
      <c r="C792" s="6" t="str">
        <f>TEXT(Table3[[#This Row],[transaction_date]], "yyyy-mm")</f>
        <v>2025-01</v>
      </c>
      <c r="D792" t="s">
        <v>78</v>
      </c>
      <c r="E792" t="s">
        <v>3636</v>
      </c>
      <c r="F792" t="s">
        <v>3608</v>
      </c>
      <c r="G792" s="1">
        <v>2397175.67</v>
      </c>
    </row>
    <row r="793" spans="1:7">
      <c r="A793" t="s">
        <v>888</v>
      </c>
      <c r="B793" s="6">
        <v>45748</v>
      </c>
      <c r="C793" s="6" t="str">
        <f>TEXT(Table3[[#This Row],[transaction_date]], "yyyy-mm")</f>
        <v>2025-04</v>
      </c>
      <c r="D793" t="s">
        <v>73</v>
      </c>
      <c r="E793" t="s">
        <v>3637</v>
      </c>
      <c r="F793" t="s">
        <v>3623</v>
      </c>
      <c r="G793" s="1">
        <v>3033844.91</v>
      </c>
    </row>
    <row r="794" spans="1:7">
      <c r="A794" t="s">
        <v>889</v>
      </c>
      <c r="B794" s="6">
        <v>45756</v>
      </c>
      <c r="C794" s="6" t="str">
        <f>TEXT(Table3[[#This Row],[transaction_date]], "yyyy-mm")</f>
        <v>2025-04</v>
      </c>
      <c r="D794" t="s">
        <v>89</v>
      </c>
      <c r="E794" t="s">
        <v>3637</v>
      </c>
      <c r="F794" t="s">
        <v>3617</v>
      </c>
      <c r="G794" s="1">
        <v>2002024.07</v>
      </c>
    </row>
    <row r="795" spans="1:7">
      <c r="A795" t="s">
        <v>890</v>
      </c>
      <c r="B795" s="6">
        <v>45924</v>
      </c>
      <c r="C795" s="6" t="str">
        <f>TEXT(Table3[[#This Row],[transaction_date]], "yyyy-mm")</f>
        <v>2025-09</v>
      </c>
      <c r="D795" t="s">
        <v>84</v>
      </c>
      <c r="E795" t="s">
        <v>3637</v>
      </c>
      <c r="F795" t="s">
        <v>3621</v>
      </c>
      <c r="G795" s="1">
        <v>3842600.28</v>
      </c>
    </row>
    <row r="796" spans="1:7">
      <c r="A796" t="s">
        <v>891</v>
      </c>
      <c r="B796" s="6">
        <v>45975</v>
      </c>
      <c r="C796" s="6" t="str">
        <f>TEXT(Table3[[#This Row],[transaction_date]], "yyyy-mm")</f>
        <v>2025-11</v>
      </c>
      <c r="D796" t="s">
        <v>78</v>
      </c>
      <c r="E796" t="s">
        <v>3637</v>
      </c>
      <c r="F796" t="s">
        <v>3618</v>
      </c>
      <c r="G796" s="1">
        <v>2233190.61</v>
      </c>
    </row>
    <row r="797" spans="1:7">
      <c r="A797" t="s">
        <v>892</v>
      </c>
      <c r="B797" s="6">
        <v>46018</v>
      </c>
      <c r="C797" s="6" t="str">
        <f>TEXT(Table3[[#This Row],[transaction_date]], "yyyy-mm")</f>
        <v>2025-12</v>
      </c>
      <c r="D797" t="s">
        <v>75</v>
      </c>
      <c r="E797" t="s">
        <v>3637</v>
      </c>
      <c r="F797" t="s">
        <v>3621</v>
      </c>
      <c r="G797" s="1">
        <v>10859234.460000001</v>
      </c>
    </row>
    <row r="798" spans="1:7">
      <c r="A798" t="s">
        <v>893</v>
      </c>
      <c r="B798" s="6">
        <v>46005</v>
      </c>
      <c r="C798" s="6" t="str">
        <f>TEXT(Table3[[#This Row],[transaction_date]], "yyyy-mm")</f>
        <v>2025-12</v>
      </c>
      <c r="D798" t="s">
        <v>74</v>
      </c>
      <c r="E798" t="s">
        <v>3637</v>
      </c>
      <c r="F798" t="s">
        <v>3615</v>
      </c>
      <c r="G798" s="1">
        <v>2072173.08</v>
      </c>
    </row>
    <row r="799" spans="1:7">
      <c r="A799" t="s">
        <v>894</v>
      </c>
      <c r="B799" s="6">
        <v>45809</v>
      </c>
      <c r="C799" s="6" t="str">
        <f>TEXT(Table3[[#This Row],[transaction_date]], "yyyy-mm")</f>
        <v>2025-06</v>
      </c>
      <c r="D799" t="s">
        <v>93</v>
      </c>
      <c r="E799" t="s">
        <v>3636</v>
      </c>
      <c r="F799" t="s">
        <v>3608</v>
      </c>
      <c r="G799" s="1">
        <v>3043993.37</v>
      </c>
    </row>
    <row r="800" spans="1:7">
      <c r="A800" t="s">
        <v>895</v>
      </c>
      <c r="B800" s="6">
        <v>45818</v>
      </c>
      <c r="C800" s="6" t="str">
        <f>TEXT(Table3[[#This Row],[transaction_date]], "yyyy-mm")</f>
        <v>2025-06</v>
      </c>
      <c r="D800" t="s">
        <v>84</v>
      </c>
      <c r="E800" t="s">
        <v>3636</v>
      </c>
      <c r="F800" t="s">
        <v>3613</v>
      </c>
      <c r="G800" s="1">
        <v>16559964.73</v>
      </c>
    </row>
    <row r="801" spans="1:7">
      <c r="A801" t="s">
        <v>896</v>
      </c>
      <c r="B801" s="6">
        <v>45981</v>
      </c>
      <c r="C801" s="6" t="str">
        <f>TEXT(Table3[[#This Row],[transaction_date]], "yyyy-mm")</f>
        <v>2025-11</v>
      </c>
      <c r="D801" t="s">
        <v>82</v>
      </c>
      <c r="E801" t="s">
        <v>3637</v>
      </c>
      <c r="F801" t="s">
        <v>3618</v>
      </c>
      <c r="G801" s="1">
        <v>21554433.77</v>
      </c>
    </row>
    <row r="802" spans="1:7">
      <c r="A802" t="s">
        <v>897</v>
      </c>
      <c r="B802" s="6">
        <v>45665</v>
      </c>
      <c r="C802" s="6" t="str">
        <f>TEXT(Table3[[#This Row],[transaction_date]], "yyyy-mm")</f>
        <v>2025-01</v>
      </c>
      <c r="D802" t="s">
        <v>73</v>
      </c>
      <c r="E802" t="s">
        <v>3637</v>
      </c>
      <c r="F802" t="s">
        <v>3619</v>
      </c>
      <c r="G802" s="1">
        <v>416049.25</v>
      </c>
    </row>
    <row r="803" spans="1:7">
      <c r="A803" t="s">
        <v>898</v>
      </c>
      <c r="B803" s="6">
        <v>45895</v>
      </c>
      <c r="C803" s="6" t="str">
        <f>TEXT(Table3[[#This Row],[transaction_date]], "yyyy-mm")</f>
        <v>2025-08</v>
      </c>
      <c r="D803" t="s">
        <v>73</v>
      </c>
      <c r="E803" t="s">
        <v>3636</v>
      </c>
      <c r="F803" t="s">
        <v>3609</v>
      </c>
      <c r="G803" s="1">
        <v>283000.09000000003</v>
      </c>
    </row>
    <row r="804" spans="1:7">
      <c r="A804" t="s">
        <v>899</v>
      </c>
      <c r="B804" s="6">
        <v>45699</v>
      </c>
      <c r="C804" s="6" t="str">
        <f>TEXT(Table3[[#This Row],[transaction_date]], "yyyy-mm")</f>
        <v>2025-02</v>
      </c>
      <c r="D804" t="s">
        <v>89</v>
      </c>
      <c r="E804" t="s">
        <v>3637</v>
      </c>
      <c r="F804" t="s">
        <v>3617</v>
      </c>
      <c r="G804" s="1">
        <v>4084471.09</v>
      </c>
    </row>
    <row r="805" spans="1:7">
      <c r="A805" t="s">
        <v>900</v>
      </c>
      <c r="B805" s="6">
        <v>45913</v>
      </c>
      <c r="C805" s="6" t="str">
        <f>TEXT(Table3[[#This Row],[transaction_date]], "yyyy-mm")</f>
        <v>2025-09</v>
      </c>
      <c r="D805" t="s">
        <v>73</v>
      </c>
      <c r="E805" t="s">
        <v>3636</v>
      </c>
      <c r="F805" t="s">
        <v>3611</v>
      </c>
      <c r="G805" s="1">
        <v>9427555.5299999993</v>
      </c>
    </row>
    <row r="806" spans="1:7">
      <c r="A806" t="s">
        <v>901</v>
      </c>
      <c r="B806" s="6">
        <v>45977</v>
      </c>
      <c r="C806" s="6" t="str">
        <f>TEXT(Table3[[#This Row],[transaction_date]], "yyyy-mm")</f>
        <v>2025-11</v>
      </c>
      <c r="D806" t="s">
        <v>93</v>
      </c>
      <c r="E806" t="s">
        <v>3637</v>
      </c>
      <c r="F806" t="s">
        <v>3616</v>
      </c>
      <c r="G806" s="1">
        <v>3593242.51</v>
      </c>
    </row>
    <row r="807" spans="1:7">
      <c r="A807" t="s">
        <v>902</v>
      </c>
      <c r="B807" s="6">
        <v>45935</v>
      </c>
      <c r="C807" s="6" t="str">
        <f>TEXT(Table3[[#This Row],[transaction_date]], "yyyy-mm")</f>
        <v>2025-10</v>
      </c>
      <c r="D807" t="s">
        <v>84</v>
      </c>
      <c r="E807" t="s">
        <v>3636</v>
      </c>
      <c r="F807" t="s">
        <v>3604</v>
      </c>
      <c r="G807" s="1">
        <v>9461796.1899999995</v>
      </c>
    </row>
    <row r="808" spans="1:7">
      <c r="A808" t="s">
        <v>903</v>
      </c>
      <c r="B808" s="6">
        <v>45807</v>
      </c>
      <c r="C808" s="6" t="str">
        <f>TEXT(Table3[[#This Row],[transaction_date]], "yyyy-mm")</f>
        <v>2025-05</v>
      </c>
      <c r="D808" t="s">
        <v>93</v>
      </c>
      <c r="E808" t="s">
        <v>3636</v>
      </c>
      <c r="F808" t="s">
        <v>3612</v>
      </c>
      <c r="G808" s="1">
        <v>5515347.4299999997</v>
      </c>
    </row>
    <row r="809" spans="1:7">
      <c r="A809" t="s">
        <v>904</v>
      </c>
      <c r="B809" s="6">
        <v>45709</v>
      </c>
      <c r="C809" s="6" t="str">
        <f>TEXT(Table3[[#This Row],[transaction_date]], "yyyy-mm")</f>
        <v>2025-02</v>
      </c>
      <c r="D809" t="s">
        <v>73</v>
      </c>
      <c r="E809" t="s">
        <v>3637</v>
      </c>
      <c r="F809" t="s">
        <v>3615</v>
      </c>
      <c r="G809" s="1">
        <v>72271.48</v>
      </c>
    </row>
    <row r="810" spans="1:7">
      <c r="A810" t="s">
        <v>905</v>
      </c>
      <c r="B810" s="6">
        <v>45901</v>
      </c>
      <c r="C810" s="6" t="str">
        <f>TEXT(Table3[[#This Row],[transaction_date]], "yyyy-mm")</f>
        <v>2025-09</v>
      </c>
      <c r="D810" t="s">
        <v>74</v>
      </c>
      <c r="E810" t="s">
        <v>3636</v>
      </c>
      <c r="F810" t="s">
        <v>3613</v>
      </c>
      <c r="G810" s="1">
        <v>2714847.22</v>
      </c>
    </row>
    <row r="811" spans="1:7">
      <c r="A811" t="s">
        <v>906</v>
      </c>
      <c r="B811" s="6">
        <v>45811</v>
      </c>
      <c r="C811" s="6" t="str">
        <f>TEXT(Table3[[#This Row],[transaction_date]], "yyyy-mm")</f>
        <v>2025-06</v>
      </c>
      <c r="D811" t="s">
        <v>90</v>
      </c>
      <c r="E811" t="s">
        <v>3636</v>
      </c>
      <c r="F811" t="s">
        <v>3612</v>
      </c>
      <c r="G811" s="1">
        <v>879433.78</v>
      </c>
    </row>
    <row r="812" spans="1:7">
      <c r="A812" t="s">
        <v>907</v>
      </c>
      <c r="B812" s="6">
        <v>45747</v>
      </c>
      <c r="C812" s="6" t="str">
        <f>TEXT(Table3[[#This Row],[transaction_date]], "yyyy-mm")</f>
        <v>2025-03</v>
      </c>
      <c r="D812" t="s">
        <v>3597</v>
      </c>
      <c r="E812" t="s">
        <v>3637</v>
      </c>
      <c r="F812" t="s">
        <v>3619</v>
      </c>
      <c r="G812" s="1">
        <v>5969065.3499999996</v>
      </c>
    </row>
    <row r="813" spans="1:7">
      <c r="A813" t="s">
        <v>908</v>
      </c>
      <c r="B813" s="6">
        <v>45746</v>
      </c>
      <c r="C813" s="6" t="str">
        <f>TEXT(Table3[[#This Row],[transaction_date]], "yyyy-mm")</f>
        <v>2025-03</v>
      </c>
      <c r="D813" t="s">
        <v>75</v>
      </c>
      <c r="E813" t="s">
        <v>3637</v>
      </c>
      <c r="F813" t="s">
        <v>3622</v>
      </c>
      <c r="G813" s="1">
        <v>9317004.0199999996</v>
      </c>
    </row>
    <row r="814" spans="1:7">
      <c r="A814" t="s">
        <v>909</v>
      </c>
      <c r="B814" s="6">
        <v>45871</v>
      </c>
      <c r="C814" s="6" t="str">
        <f>TEXT(Table3[[#This Row],[transaction_date]], "yyyy-mm")</f>
        <v>2025-08</v>
      </c>
      <c r="D814" t="s">
        <v>74</v>
      </c>
      <c r="E814" t="s">
        <v>3637</v>
      </c>
      <c r="F814" t="s">
        <v>3618</v>
      </c>
      <c r="G814" s="1">
        <v>201908.28</v>
      </c>
    </row>
    <row r="815" spans="1:7">
      <c r="A815" t="s">
        <v>910</v>
      </c>
      <c r="B815" s="6">
        <v>45731</v>
      </c>
      <c r="C815" s="6" t="str">
        <f>TEXT(Table3[[#This Row],[transaction_date]], "yyyy-mm")</f>
        <v>2025-03</v>
      </c>
      <c r="D815" t="s">
        <v>80</v>
      </c>
      <c r="E815" t="s">
        <v>3637</v>
      </c>
      <c r="F815" t="s">
        <v>3615</v>
      </c>
      <c r="G815" s="1">
        <v>213831.8</v>
      </c>
    </row>
    <row r="816" spans="1:7">
      <c r="A816" t="s">
        <v>911</v>
      </c>
      <c r="B816" s="6">
        <v>45852</v>
      </c>
      <c r="C816" s="6" t="str">
        <f>TEXT(Table3[[#This Row],[transaction_date]], "yyyy-mm")</f>
        <v>2025-07</v>
      </c>
      <c r="D816" t="s">
        <v>77</v>
      </c>
      <c r="E816" t="s">
        <v>3636</v>
      </c>
      <c r="F816" t="s">
        <v>3606</v>
      </c>
      <c r="G816" s="1">
        <v>92516.03</v>
      </c>
    </row>
    <row r="817" spans="1:7">
      <c r="A817" t="s">
        <v>912</v>
      </c>
      <c r="B817" s="6">
        <v>45771</v>
      </c>
      <c r="C817" s="6" t="str">
        <f>TEXT(Table3[[#This Row],[transaction_date]], "yyyy-mm")</f>
        <v>2025-04</v>
      </c>
      <c r="D817" t="s">
        <v>90</v>
      </c>
      <c r="E817" t="s">
        <v>3637</v>
      </c>
      <c r="F817" t="s">
        <v>3615</v>
      </c>
      <c r="G817" s="1">
        <v>4268184.42</v>
      </c>
    </row>
    <row r="818" spans="1:7">
      <c r="A818" t="s">
        <v>913</v>
      </c>
      <c r="B818" s="6">
        <v>45917</v>
      </c>
      <c r="C818" s="6" t="str">
        <f>TEXT(Table3[[#This Row],[transaction_date]], "yyyy-mm")</f>
        <v>2025-09</v>
      </c>
      <c r="D818" t="s">
        <v>79</v>
      </c>
      <c r="E818" t="s">
        <v>3636</v>
      </c>
      <c r="F818" t="s">
        <v>3613</v>
      </c>
      <c r="G818" s="1">
        <v>76336.06</v>
      </c>
    </row>
    <row r="819" spans="1:7">
      <c r="A819" t="s">
        <v>914</v>
      </c>
      <c r="B819" s="6">
        <v>45975</v>
      </c>
      <c r="C819" s="6" t="str">
        <f>TEXT(Table3[[#This Row],[transaction_date]], "yyyy-mm")</f>
        <v>2025-11</v>
      </c>
      <c r="D819" t="s">
        <v>78</v>
      </c>
      <c r="E819" t="s">
        <v>3636</v>
      </c>
      <c r="F819" t="s">
        <v>3612</v>
      </c>
      <c r="G819" s="1">
        <v>4630940</v>
      </c>
    </row>
    <row r="820" spans="1:7">
      <c r="A820" t="s">
        <v>915</v>
      </c>
      <c r="B820" s="6">
        <v>45822</v>
      </c>
      <c r="C820" s="6" t="str">
        <f>TEXT(Table3[[#This Row],[transaction_date]], "yyyy-mm")</f>
        <v>2025-06</v>
      </c>
      <c r="D820" t="s">
        <v>95</v>
      </c>
      <c r="E820" t="s">
        <v>3636</v>
      </c>
      <c r="F820" t="s">
        <v>3604</v>
      </c>
      <c r="G820" s="1">
        <v>48644.02</v>
      </c>
    </row>
    <row r="821" spans="1:7">
      <c r="A821" t="s">
        <v>916</v>
      </c>
      <c r="B821" s="6">
        <v>45914</v>
      </c>
      <c r="C821" s="6" t="str">
        <f>TEXT(Table3[[#This Row],[transaction_date]], "yyyy-mm")</f>
        <v>2025-09</v>
      </c>
      <c r="D821" t="s">
        <v>84</v>
      </c>
      <c r="E821" t="s">
        <v>3637</v>
      </c>
      <c r="F821" t="s">
        <v>3615</v>
      </c>
      <c r="G821" s="1">
        <v>3770873.15</v>
      </c>
    </row>
    <row r="822" spans="1:7">
      <c r="A822" t="s">
        <v>917</v>
      </c>
      <c r="B822" s="6">
        <v>45704</v>
      </c>
      <c r="C822" s="6" t="str">
        <f>TEXT(Table3[[#This Row],[transaction_date]], "yyyy-mm")</f>
        <v>2025-02</v>
      </c>
      <c r="D822" t="s">
        <v>73</v>
      </c>
      <c r="E822" t="s">
        <v>3637</v>
      </c>
      <c r="F822" t="s">
        <v>3621</v>
      </c>
      <c r="G822" s="1">
        <v>673793.64</v>
      </c>
    </row>
    <row r="823" spans="1:7">
      <c r="A823" t="s">
        <v>918</v>
      </c>
      <c r="B823" s="6">
        <v>45747</v>
      </c>
      <c r="C823" s="6" t="str">
        <f>TEXT(Table3[[#This Row],[transaction_date]], "yyyy-mm")</f>
        <v>2025-03</v>
      </c>
      <c r="D823" t="s">
        <v>75</v>
      </c>
      <c r="E823" t="s">
        <v>3637</v>
      </c>
      <c r="F823" t="s">
        <v>3620</v>
      </c>
      <c r="G823" s="1">
        <v>16321490.310000001</v>
      </c>
    </row>
    <row r="824" spans="1:7">
      <c r="A824" t="s">
        <v>919</v>
      </c>
      <c r="B824" s="6">
        <v>45690</v>
      </c>
      <c r="C824" s="6" t="str">
        <f>TEXT(Table3[[#This Row],[transaction_date]], "yyyy-mm")</f>
        <v>2025-02</v>
      </c>
      <c r="D824" t="s">
        <v>80</v>
      </c>
      <c r="E824" t="s">
        <v>3637</v>
      </c>
      <c r="F824" t="s">
        <v>3622</v>
      </c>
      <c r="G824" s="1">
        <v>267025.76</v>
      </c>
    </row>
    <row r="825" spans="1:7">
      <c r="A825" t="s">
        <v>920</v>
      </c>
      <c r="B825" s="6">
        <v>45686</v>
      </c>
      <c r="C825" s="6" t="str">
        <f>TEXT(Table3[[#This Row],[transaction_date]], "yyyy-mm")</f>
        <v>2025-01</v>
      </c>
      <c r="D825" t="s">
        <v>74</v>
      </c>
      <c r="E825" t="s">
        <v>3636</v>
      </c>
      <c r="F825" t="s">
        <v>3610</v>
      </c>
      <c r="G825" s="1">
        <v>157289.32</v>
      </c>
    </row>
    <row r="826" spans="1:7">
      <c r="A826" t="s">
        <v>921</v>
      </c>
      <c r="B826" s="6">
        <v>45897</v>
      </c>
      <c r="C826" s="6" t="str">
        <f>TEXT(Table3[[#This Row],[transaction_date]], "yyyy-mm")</f>
        <v>2025-08</v>
      </c>
      <c r="D826" t="s">
        <v>90</v>
      </c>
      <c r="E826" t="s">
        <v>3636</v>
      </c>
      <c r="F826" t="s">
        <v>3612</v>
      </c>
      <c r="G826" s="1">
        <v>1938422.1</v>
      </c>
    </row>
    <row r="827" spans="1:7">
      <c r="A827" t="s">
        <v>922</v>
      </c>
      <c r="B827" s="6">
        <v>45837</v>
      </c>
      <c r="C827" s="6" t="str">
        <f>TEXT(Table3[[#This Row],[transaction_date]], "yyyy-mm")</f>
        <v>2025-06</v>
      </c>
      <c r="D827" t="s">
        <v>95</v>
      </c>
      <c r="E827" t="s">
        <v>3637</v>
      </c>
      <c r="F827" t="s">
        <v>3622</v>
      </c>
      <c r="G827" s="1">
        <v>6913648.4500000002</v>
      </c>
    </row>
    <row r="828" spans="1:7">
      <c r="A828" t="s">
        <v>923</v>
      </c>
      <c r="B828" s="6">
        <v>45812</v>
      </c>
      <c r="C828" s="6" t="str">
        <f>TEXT(Table3[[#This Row],[transaction_date]], "yyyy-mm")</f>
        <v>2025-06</v>
      </c>
      <c r="D828" t="s">
        <v>84</v>
      </c>
      <c r="E828" t="s">
        <v>3636</v>
      </c>
      <c r="F828" t="s">
        <v>3606</v>
      </c>
      <c r="G828" s="1">
        <v>7677864.7699999996</v>
      </c>
    </row>
    <row r="829" spans="1:7">
      <c r="A829" t="s">
        <v>924</v>
      </c>
      <c r="B829" s="6">
        <v>45811</v>
      </c>
      <c r="C829" s="6" t="str">
        <f>TEXT(Table3[[#This Row],[transaction_date]], "yyyy-mm")</f>
        <v>2025-06</v>
      </c>
      <c r="D829" t="s">
        <v>78</v>
      </c>
      <c r="E829" t="s">
        <v>3637</v>
      </c>
      <c r="F829" t="s">
        <v>3618</v>
      </c>
      <c r="G829" s="1">
        <v>2034948.05</v>
      </c>
    </row>
    <row r="830" spans="1:7">
      <c r="A830" t="s">
        <v>925</v>
      </c>
      <c r="B830" s="6">
        <v>45764</v>
      </c>
      <c r="C830" s="6" t="str">
        <f>TEXT(Table3[[#This Row],[transaction_date]], "yyyy-mm")</f>
        <v>2025-04</v>
      </c>
      <c r="D830" t="s">
        <v>84</v>
      </c>
      <c r="E830" t="s">
        <v>3637</v>
      </c>
      <c r="F830" t="s">
        <v>3614</v>
      </c>
      <c r="G830" s="1">
        <v>10660684.75</v>
      </c>
    </row>
    <row r="831" spans="1:7">
      <c r="A831" t="s">
        <v>926</v>
      </c>
      <c r="B831" s="6">
        <v>45870</v>
      </c>
      <c r="C831" s="6" t="str">
        <f>TEXT(Table3[[#This Row],[transaction_date]], "yyyy-mm")</f>
        <v>2025-08</v>
      </c>
      <c r="D831" t="s">
        <v>3597</v>
      </c>
      <c r="E831" t="s">
        <v>3636</v>
      </c>
      <c r="F831" t="s">
        <v>3607</v>
      </c>
      <c r="G831" s="1">
        <v>3274911.59</v>
      </c>
    </row>
    <row r="832" spans="1:7">
      <c r="A832" t="s">
        <v>927</v>
      </c>
      <c r="B832" s="6">
        <v>45806</v>
      </c>
      <c r="C832" s="6" t="str">
        <f>TEXT(Table3[[#This Row],[transaction_date]], "yyyy-mm")</f>
        <v>2025-05</v>
      </c>
      <c r="D832" t="s">
        <v>93</v>
      </c>
      <c r="E832" t="s">
        <v>3637</v>
      </c>
      <c r="F832" t="s">
        <v>3615</v>
      </c>
      <c r="G832" s="1">
        <v>154578.29999999999</v>
      </c>
    </row>
    <row r="833" spans="1:7">
      <c r="A833" t="s">
        <v>928</v>
      </c>
      <c r="B833" s="6">
        <v>45985</v>
      </c>
      <c r="C833" s="6" t="str">
        <f>TEXT(Table3[[#This Row],[transaction_date]], "yyyy-mm")</f>
        <v>2025-11</v>
      </c>
      <c r="D833" t="s">
        <v>84</v>
      </c>
      <c r="E833" t="s">
        <v>3636</v>
      </c>
      <c r="F833" t="s">
        <v>3606</v>
      </c>
      <c r="G833" s="1">
        <v>1051038.71</v>
      </c>
    </row>
    <row r="834" spans="1:7">
      <c r="A834" t="s">
        <v>929</v>
      </c>
      <c r="B834" s="6">
        <v>45832</v>
      </c>
      <c r="C834" s="6" t="str">
        <f>TEXT(Table3[[#This Row],[transaction_date]], "yyyy-mm")</f>
        <v>2025-06</v>
      </c>
      <c r="D834" t="s">
        <v>80</v>
      </c>
      <c r="E834" t="s">
        <v>3637</v>
      </c>
      <c r="F834" t="s">
        <v>3615</v>
      </c>
      <c r="G834" s="1">
        <v>545379.47</v>
      </c>
    </row>
    <row r="835" spans="1:7">
      <c r="A835" t="s">
        <v>930</v>
      </c>
      <c r="B835" s="6">
        <v>45843</v>
      </c>
      <c r="C835" s="6" t="str">
        <f>TEXT(Table3[[#This Row],[transaction_date]], "yyyy-mm")</f>
        <v>2025-07</v>
      </c>
      <c r="D835" t="s">
        <v>90</v>
      </c>
      <c r="E835" t="s">
        <v>3636</v>
      </c>
      <c r="F835" t="s">
        <v>3607</v>
      </c>
      <c r="G835" s="1">
        <v>15231651.949999999</v>
      </c>
    </row>
    <row r="836" spans="1:7">
      <c r="A836" t="s">
        <v>931</v>
      </c>
      <c r="B836" s="6">
        <v>45901</v>
      </c>
      <c r="C836" s="6" t="str">
        <f>TEXT(Table3[[#This Row],[transaction_date]], "yyyy-mm")</f>
        <v>2025-09</v>
      </c>
      <c r="D836" t="s">
        <v>85</v>
      </c>
      <c r="E836" t="s">
        <v>3636</v>
      </c>
      <c r="F836" t="s">
        <v>3604</v>
      </c>
      <c r="G836" s="1">
        <v>397146.84</v>
      </c>
    </row>
    <row r="837" spans="1:7">
      <c r="A837" t="s">
        <v>932</v>
      </c>
      <c r="B837" s="6">
        <v>45943</v>
      </c>
      <c r="C837" s="6" t="str">
        <f>TEXT(Table3[[#This Row],[transaction_date]], "yyyy-mm")</f>
        <v>2025-10</v>
      </c>
      <c r="D837" t="s">
        <v>85</v>
      </c>
      <c r="E837" t="s">
        <v>3637</v>
      </c>
      <c r="F837" t="s">
        <v>3616</v>
      </c>
      <c r="G837" s="1">
        <v>675467.01</v>
      </c>
    </row>
    <row r="838" spans="1:7">
      <c r="A838" t="s">
        <v>933</v>
      </c>
      <c r="B838" s="6">
        <v>45995</v>
      </c>
      <c r="C838" s="6" t="str">
        <f>TEXT(Table3[[#This Row],[transaction_date]], "yyyy-mm")</f>
        <v>2025-12</v>
      </c>
      <c r="D838" t="s">
        <v>73</v>
      </c>
      <c r="E838" t="s">
        <v>3636</v>
      </c>
      <c r="F838" t="s">
        <v>3604</v>
      </c>
      <c r="G838" s="1">
        <v>232391.19</v>
      </c>
    </row>
    <row r="839" spans="1:7">
      <c r="A839" t="s">
        <v>934</v>
      </c>
      <c r="B839" s="6">
        <v>45925</v>
      </c>
      <c r="C839" s="6" t="str">
        <f>TEXT(Table3[[#This Row],[transaction_date]], "yyyy-mm")</f>
        <v>2025-09</v>
      </c>
      <c r="D839" t="s">
        <v>73</v>
      </c>
      <c r="E839" t="s">
        <v>3637</v>
      </c>
      <c r="F839" t="s">
        <v>3622</v>
      </c>
      <c r="G839" s="1">
        <v>5852172.9299999997</v>
      </c>
    </row>
    <row r="840" spans="1:7">
      <c r="A840" t="s">
        <v>935</v>
      </c>
      <c r="B840" s="6">
        <v>45890</v>
      </c>
      <c r="C840" s="6" t="str">
        <f>TEXT(Table3[[#This Row],[transaction_date]], "yyyy-mm")</f>
        <v>2025-08</v>
      </c>
      <c r="D840" t="s">
        <v>79</v>
      </c>
      <c r="E840" t="s">
        <v>3636</v>
      </c>
      <c r="F840" t="s">
        <v>3605</v>
      </c>
      <c r="G840" s="1">
        <v>2109882.5499999998</v>
      </c>
    </row>
    <row r="841" spans="1:7">
      <c r="A841" t="s">
        <v>936</v>
      </c>
      <c r="B841" s="6">
        <v>45668</v>
      </c>
      <c r="C841" s="6" t="str">
        <f>TEXT(Table3[[#This Row],[transaction_date]], "yyyy-mm")</f>
        <v>2025-01</v>
      </c>
      <c r="D841" t="s">
        <v>85</v>
      </c>
      <c r="E841" t="s">
        <v>3636</v>
      </c>
      <c r="F841" t="s">
        <v>3607</v>
      </c>
      <c r="G841" s="1">
        <v>3999700.17</v>
      </c>
    </row>
    <row r="842" spans="1:7">
      <c r="A842" t="s">
        <v>937</v>
      </c>
      <c r="B842" s="6">
        <v>45663</v>
      </c>
      <c r="C842" s="6" t="str">
        <f>TEXT(Table3[[#This Row],[transaction_date]], "yyyy-mm")</f>
        <v>2025-01</v>
      </c>
      <c r="D842" t="s">
        <v>77</v>
      </c>
      <c r="E842" t="s">
        <v>3636</v>
      </c>
      <c r="F842" t="s">
        <v>3605</v>
      </c>
      <c r="G842" s="1">
        <v>20030675.100000001</v>
      </c>
    </row>
    <row r="843" spans="1:7">
      <c r="A843" t="s">
        <v>938</v>
      </c>
      <c r="B843" s="6">
        <v>45948</v>
      </c>
      <c r="C843" s="6" t="str">
        <f>TEXT(Table3[[#This Row],[transaction_date]], "yyyy-mm")</f>
        <v>2025-10</v>
      </c>
      <c r="D843" t="s">
        <v>76</v>
      </c>
      <c r="E843" t="s">
        <v>3637</v>
      </c>
      <c r="F843" t="s">
        <v>3615</v>
      </c>
      <c r="G843" s="1">
        <v>17181356.109999999</v>
      </c>
    </row>
    <row r="844" spans="1:7">
      <c r="A844" t="s">
        <v>939</v>
      </c>
      <c r="B844" s="6">
        <v>45905</v>
      </c>
      <c r="C844" s="6" t="str">
        <f>TEXT(Table3[[#This Row],[transaction_date]], "yyyy-mm")</f>
        <v>2025-09</v>
      </c>
      <c r="D844" t="s">
        <v>93</v>
      </c>
      <c r="E844" t="s">
        <v>3637</v>
      </c>
      <c r="F844" t="s">
        <v>3616</v>
      </c>
      <c r="G844" s="1">
        <v>1381633.4</v>
      </c>
    </row>
    <row r="845" spans="1:7">
      <c r="A845" t="s">
        <v>940</v>
      </c>
      <c r="B845" s="6">
        <v>45730</v>
      </c>
      <c r="C845" s="6" t="str">
        <f>TEXT(Table3[[#This Row],[transaction_date]], "yyyy-mm")</f>
        <v>2025-03</v>
      </c>
      <c r="D845" t="s">
        <v>79</v>
      </c>
      <c r="E845" t="s">
        <v>3636</v>
      </c>
      <c r="F845" t="s">
        <v>3612</v>
      </c>
      <c r="G845" s="1">
        <v>888985.13</v>
      </c>
    </row>
    <row r="846" spans="1:7">
      <c r="A846" t="s">
        <v>941</v>
      </c>
      <c r="B846" s="6">
        <v>45980</v>
      </c>
      <c r="C846" s="6" t="str">
        <f>TEXT(Table3[[#This Row],[transaction_date]], "yyyy-mm")</f>
        <v>2025-11</v>
      </c>
      <c r="D846" t="s">
        <v>74</v>
      </c>
      <c r="E846" t="s">
        <v>3637</v>
      </c>
      <c r="F846" t="s">
        <v>3620</v>
      </c>
      <c r="G846" s="1">
        <v>1473566.96</v>
      </c>
    </row>
    <row r="847" spans="1:7">
      <c r="A847" t="s">
        <v>942</v>
      </c>
      <c r="B847" s="6">
        <v>45908</v>
      </c>
      <c r="C847" s="6" t="str">
        <f>TEXT(Table3[[#This Row],[transaction_date]], "yyyy-mm")</f>
        <v>2025-09</v>
      </c>
      <c r="D847" t="s">
        <v>84</v>
      </c>
      <c r="E847" t="s">
        <v>3636</v>
      </c>
      <c r="F847" t="s">
        <v>3605</v>
      </c>
      <c r="G847" s="1">
        <v>50267.41</v>
      </c>
    </row>
    <row r="848" spans="1:7">
      <c r="A848" t="s">
        <v>943</v>
      </c>
      <c r="B848" s="6">
        <v>45740</v>
      </c>
      <c r="C848" s="6" t="str">
        <f>TEXT(Table3[[#This Row],[transaction_date]], "yyyy-mm")</f>
        <v>2025-03</v>
      </c>
      <c r="D848" t="s">
        <v>82</v>
      </c>
      <c r="E848" t="s">
        <v>3636</v>
      </c>
      <c r="F848" t="s">
        <v>3607</v>
      </c>
      <c r="G848" s="1">
        <v>1117839.02</v>
      </c>
    </row>
    <row r="849" spans="1:7">
      <c r="A849" t="s">
        <v>944</v>
      </c>
      <c r="B849" s="6">
        <v>45979</v>
      </c>
      <c r="C849" s="6" t="str">
        <f>TEXT(Table3[[#This Row],[transaction_date]], "yyyy-mm")</f>
        <v>2025-11</v>
      </c>
      <c r="D849" t="s">
        <v>77</v>
      </c>
      <c r="E849" t="s">
        <v>3636</v>
      </c>
      <c r="F849" t="s">
        <v>3608</v>
      </c>
      <c r="G849" s="1">
        <v>11385527.27</v>
      </c>
    </row>
    <row r="850" spans="1:7">
      <c r="A850" t="s">
        <v>945</v>
      </c>
      <c r="B850" s="6">
        <v>45663</v>
      </c>
      <c r="C850" s="6" t="str">
        <f>TEXT(Table3[[#This Row],[transaction_date]], "yyyy-mm")</f>
        <v>2025-01</v>
      </c>
      <c r="D850" t="s">
        <v>74</v>
      </c>
      <c r="E850" t="s">
        <v>3637</v>
      </c>
      <c r="F850" t="s">
        <v>3620</v>
      </c>
      <c r="G850" s="1">
        <v>327257.75</v>
      </c>
    </row>
    <row r="851" spans="1:7">
      <c r="A851" t="s">
        <v>946</v>
      </c>
      <c r="B851" s="6">
        <v>45854</v>
      </c>
      <c r="C851" s="6" t="str">
        <f>TEXT(Table3[[#This Row],[transaction_date]], "yyyy-mm")</f>
        <v>2025-07</v>
      </c>
      <c r="D851" t="s">
        <v>77</v>
      </c>
      <c r="E851" t="s">
        <v>3637</v>
      </c>
      <c r="F851" t="s">
        <v>3619</v>
      </c>
      <c r="G851" s="1">
        <v>18303856.379999999</v>
      </c>
    </row>
    <row r="852" spans="1:7">
      <c r="A852" t="s">
        <v>947</v>
      </c>
      <c r="B852" s="6">
        <v>45927</v>
      </c>
      <c r="C852" s="6" t="str">
        <f>TEXT(Table3[[#This Row],[transaction_date]], "yyyy-mm")</f>
        <v>2025-09</v>
      </c>
      <c r="D852" t="s">
        <v>84</v>
      </c>
      <c r="E852" t="s">
        <v>3637</v>
      </c>
      <c r="F852" t="s">
        <v>3615</v>
      </c>
      <c r="G852" s="1">
        <v>4748329.72</v>
      </c>
    </row>
    <row r="853" spans="1:7">
      <c r="A853" t="s">
        <v>948</v>
      </c>
      <c r="B853" s="6">
        <v>45936</v>
      </c>
      <c r="C853" s="6" t="str">
        <f>TEXT(Table3[[#This Row],[transaction_date]], "yyyy-mm")</f>
        <v>2025-10</v>
      </c>
      <c r="D853" t="s">
        <v>3597</v>
      </c>
      <c r="E853" t="s">
        <v>3636</v>
      </c>
      <c r="F853" t="s">
        <v>3613</v>
      </c>
      <c r="G853" s="1">
        <v>6471568.1500000004</v>
      </c>
    </row>
    <row r="854" spans="1:7">
      <c r="A854" t="s">
        <v>949</v>
      </c>
      <c r="B854" s="6">
        <v>45790</v>
      </c>
      <c r="C854" s="6" t="str">
        <f>TEXT(Table3[[#This Row],[transaction_date]], "yyyy-mm")</f>
        <v>2025-05</v>
      </c>
      <c r="D854" t="s">
        <v>79</v>
      </c>
      <c r="E854" t="s">
        <v>3636</v>
      </c>
      <c r="F854" t="s">
        <v>3612</v>
      </c>
      <c r="G854" s="1">
        <v>1979898.95</v>
      </c>
    </row>
    <row r="855" spans="1:7">
      <c r="A855" t="s">
        <v>950</v>
      </c>
      <c r="B855" s="6">
        <v>45722</v>
      </c>
      <c r="C855" s="6" t="str">
        <f>TEXT(Table3[[#This Row],[transaction_date]], "yyyy-mm")</f>
        <v>2025-03</v>
      </c>
      <c r="D855" t="s">
        <v>85</v>
      </c>
      <c r="E855" t="s">
        <v>3637</v>
      </c>
      <c r="F855" t="s">
        <v>3621</v>
      </c>
      <c r="G855" s="1">
        <v>333714.31</v>
      </c>
    </row>
    <row r="856" spans="1:7">
      <c r="A856" t="s">
        <v>951</v>
      </c>
      <c r="B856" s="6">
        <v>45746</v>
      </c>
      <c r="C856" s="6" t="str">
        <f>TEXT(Table3[[#This Row],[transaction_date]], "yyyy-mm")</f>
        <v>2025-03</v>
      </c>
      <c r="D856" t="s">
        <v>73</v>
      </c>
      <c r="E856" t="s">
        <v>3636</v>
      </c>
      <c r="F856" t="s">
        <v>3604</v>
      </c>
      <c r="G856" s="1">
        <v>1891380.48</v>
      </c>
    </row>
    <row r="857" spans="1:7">
      <c r="A857" t="s">
        <v>952</v>
      </c>
      <c r="B857" s="6">
        <v>45883</v>
      </c>
      <c r="C857" s="6" t="str">
        <f>TEXT(Table3[[#This Row],[transaction_date]], "yyyy-mm")</f>
        <v>2025-08</v>
      </c>
      <c r="D857" t="s">
        <v>80</v>
      </c>
      <c r="E857" t="s">
        <v>3636</v>
      </c>
      <c r="F857" t="s">
        <v>3605</v>
      </c>
      <c r="G857" s="1">
        <v>569177.44999999995</v>
      </c>
    </row>
    <row r="858" spans="1:7">
      <c r="A858" t="s">
        <v>953</v>
      </c>
      <c r="B858" s="6">
        <v>45740</v>
      </c>
      <c r="C858" s="6" t="str">
        <f>TEXT(Table3[[#This Row],[transaction_date]], "yyyy-mm")</f>
        <v>2025-03</v>
      </c>
      <c r="D858" t="s">
        <v>95</v>
      </c>
      <c r="E858" t="s">
        <v>3637</v>
      </c>
      <c r="F858" t="s">
        <v>3623</v>
      </c>
      <c r="G858" s="1">
        <v>908784.38</v>
      </c>
    </row>
    <row r="859" spans="1:7">
      <c r="A859" t="s">
        <v>954</v>
      </c>
      <c r="B859" s="6">
        <v>45889</v>
      </c>
      <c r="C859" s="6" t="str">
        <f>TEXT(Table3[[#This Row],[transaction_date]], "yyyy-mm")</f>
        <v>2025-08</v>
      </c>
      <c r="D859" t="s">
        <v>90</v>
      </c>
      <c r="E859" t="s">
        <v>3637</v>
      </c>
      <c r="F859" t="s">
        <v>3621</v>
      </c>
      <c r="G859" s="1">
        <v>20580543.440000001</v>
      </c>
    </row>
    <row r="860" spans="1:7">
      <c r="A860" t="s">
        <v>955</v>
      </c>
      <c r="B860" s="6">
        <v>45971</v>
      </c>
      <c r="C860" s="6" t="str">
        <f>TEXT(Table3[[#This Row],[transaction_date]], "yyyy-mm")</f>
        <v>2025-11</v>
      </c>
      <c r="D860" t="s">
        <v>79</v>
      </c>
      <c r="E860" t="s">
        <v>3636</v>
      </c>
      <c r="F860" t="s">
        <v>3604</v>
      </c>
      <c r="G860" s="1">
        <v>325189.84000000003</v>
      </c>
    </row>
    <row r="861" spans="1:7">
      <c r="A861" t="s">
        <v>956</v>
      </c>
      <c r="B861" s="6">
        <v>45697</v>
      </c>
      <c r="C861" s="6" t="str">
        <f>TEXT(Table3[[#This Row],[transaction_date]], "yyyy-mm")</f>
        <v>2025-02</v>
      </c>
      <c r="D861" t="s">
        <v>73</v>
      </c>
      <c r="E861" t="s">
        <v>3637</v>
      </c>
      <c r="F861" t="s">
        <v>3618</v>
      </c>
      <c r="G861" s="1">
        <v>1146025.1599999999</v>
      </c>
    </row>
    <row r="862" spans="1:7">
      <c r="A862" t="s">
        <v>957</v>
      </c>
      <c r="B862" s="6">
        <v>45966</v>
      </c>
      <c r="C862" s="6" t="str">
        <f>TEXT(Table3[[#This Row],[transaction_date]], "yyyy-mm")</f>
        <v>2025-11</v>
      </c>
      <c r="D862" t="s">
        <v>73</v>
      </c>
      <c r="E862" t="s">
        <v>3636</v>
      </c>
      <c r="F862" t="s">
        <v>3605</v>
      </c>
      <c r="G862" s="1">
        <v>1418518.85</v>
      </c>
    </row>
    <row r="863" spans="1:7">
      <c r="A863" t="s">
        <v>958</v>
      </c>
      <c r="B863" s="6">
        <v>45916</v>
      </c>
      <c r="C863" s="6" t="str">
        <f>TEXT(Table3[[#This Row],[transaction_date]], "yyyy-mm")</f>
        <v>2025-09</v>
      </c>
      <c r="D863" t="s">
        <v>75</v>
      </c>
      <c r="E863" t="s">
        <v>3637</v>
      </c>
      <c r="F863" t="s">
        <v>3618</v>
      </c>
      <c r="G863" s="1">
        <v>204349.63</v>
      </c>
    </row>
    <row r="864" spans="1:7">
      <c r="A864" t="s">
        <v>959</v>
      </c>
      <c r="B864" s="6">
        <v>45905</v>
      </c>
      <c r="C864" s="6" t="str">
        <f>TEXT(Table3[[#This Row],[transaction_date]], "yyyy-mm")</f>
        <v>2025-09</v>
      </c>
      <c r="D864" t="s">
        <v>84</v>
      </c>
      <c r="E864" t="s">
        <v>3637</v>
      </c>
      <c r="F864" t="s">
        <v>3622</v>
      </c>
      <c r="G864" s="1">
        <v>7575912.6799999997</v>
      </c>
    </row>
    <row r="865" spans="1:7">
      <c r="A865" t="s">
        <v>960</v>
      </c>
      <c r="B865" s="6">
        <v>45853</v>
      </c>
      <c r="C865" s="6" t="str">
        <f>TEXT(Table3[[#This Row],[transaction_date]], "yyyy-mm")</f>
        <v>2025-07</v>
      </c>
      <c r="D865" t="s">
        <v>76</v>
      </c>
      <c r="E865" t="s">
        <v>3637</v>
      </c>
      <c r="F865" t="s">
        <v>3617</v>
      </c>
      <c r="G865" s="1">
        <v>2261684.46</v>
      </c>
    </row>
    <row r="866" spans="1:7">
      <c r="A866" t="s">
        <v>961</v>
      </c>
      <c r="B866" s="6">
        <v>45855</v>
      </c>
      <c r="C866" s="6" t="str">
        <f>TEXT(Table3[[#This Row],[transaction_date]], "yyyy-mm")</f>
        <v>2025-07</v>
      </c>
      <c r="D866" t="s">
        <v>79</v>
      </c>
      <c r="E866" t="s">
        <v>3636</v>
      </c>
      <c r="F866" t="s">
        <v>3607</v>
      </c>
      <c r="G866" s="1">
        <v>3324286.73</v>
      </c>
    </row>
    <row r="867" spans="1:7">
      <c r="A867" t="s">
        <v>962</v>
      </c>
      <c r="B867" s="6">
        <v>46017</v>
      </c>
      <c r="C867" s="6" t="str">
        <f>TEXT(Table3[[#This Row],[transaction_date]], "yyyy-mm")</f>
        <v>2025-12</v>
      </c>
      <c r="D867" t="s">
        <v>74</v>
      </c>
      <c r="E867" t="s">
        <v>3637</v>
      </c>
      <c r="F867" t="s">
        <v>3615</v>
      </c>
      <c r="G867" s="1">
        <v>3324229.69</v>
      </c>
    </row>
    <row r="868" spans="1:7">
      <c r="A868" t="s">
        <v>963</v>
      </c>
      <c r="B868" s="6">
        <v>45750</v>
      </c>
      <c r="C868" s="6" t="str">
        <f>TEXT(Table3[[#This Row],[transaction_date]], "yyyy-mm")</f>
        <v>2025-04</v>
      </c>
      <c r="D868" t="s">
        <v>82</v>
      </c>
      <c r="E868" t="s">
        <v>3637</v>
      </c>
      <c r="F868" t="s">
        <v>3618</v>
      </c>
      <c r="G868" s="1">
        <v>22968382.780000001</v>
      </c>
    </row>
    <row r="869" spans="1:7">
      <c r="A869" t="s">
        <v>964</v>
      </c>
      <c r="B869" s="6">
        <v>45877</v>
      </c>
      <c r="C869" s="6" t="str">
        <f>TEXT(Table3[[#This Row],[transaction_date]], "yyyy-mm")</f>
        <v>2025-08</v>
      </c>
      <c r="D869" t="s">
        <v>89</v>
      </c>
      <c r="E869" t="s">
        <v>3636</v>
      </c>
      <c r="F869" t="s">
        <v>3613</v>
      </c>
      <c r="G869" s="1">
        <v>237551.08</v>
      </c>
    </row>
    <row r="870" spans="1:7">
      <c r="A870" t="s">
        <v>965</v>
      </c>
      <c r="B870" s="6">
        <v>45934</v>
      </c>
      <c r="C870" s="6" t="str">
        <f>TEXT(Table3[[#This Row],[transaction_date]], "yyyy-mm")</f>
        <v>2025-10</v>
      </c>
      <c r="D870" t="s">
        <v>79</v>
      </c>
      <c r="E870" t="s">
        <v>3636</v>
      </c>
      <c r="F870" t="s">
        <v>3612</v>
      </c>
      <c r="G870" s="1">
        <v>1903995.17</v>
      </c>
    </row>
    <row r="871" spans="1:7">
      <c r="A871" t="s">
        <v>966</v>
      </c>
      <c r="B871" s="6">
        <v>45905</v>
      </c>
      <c r="C871" s="6" t="str">
        <f>TEXT(Table3[[#This Row],[transaction_date]], "yyyy-mm")</f>
        <v>2025-09</v>
      </c>
      <c r="D871" t="s">
        <v>95</v>
      </c>
      <c r="E871" t="s">
        <v>3636</v>
      </c>
      <c r="F871" t="s">
        <v>3609</v>
      </c>
      <c r="G871" s="1">
        <v>4972235.04</v>
      </c>
    </row>
    <row r="872" spans="1:7">
      <c r="A872" t="s">
        <v>967</v>
      </c>
      <c r="B872" s="6">
        <v>45974</v>
      </c>
      <c r="C872" s="6" t="str">
        <f>TEXT(Table3[[#This Row],[transaction_date]], "yyyy-mm")</f>
        <v>2025-11</v>
      </c>
      <c r="D872" t="s">
        <v>79</v>
      </c>
      <c r="E872" t="s">
        <v>3637</v>
      </c>
      <c r="F872" t="s">
        <v>3620</v>
      </c>
      <c r="G872" s="1">
        <v>902306.43</v>
      </c>
    </row>
    <row r="873" spans="1:7">
      <c r="A873" t="s">
        <v>968</v>
      </c>
      <c r="B873" s="6">
        <v>46003</v>
      </c>
      <c r="C873" s="6" t="str">
        <f>TEXT(Table3[[#This Row],[transaction_date]], "yyyy-mm")</f>
        <v>2025-12</v>
      </c>
      <c r="D873" t="s">
        <v>75</v>
      </c>
      <c r="E873" t="s">
        <v>3637</v>
      </c>
      <c r="F873" t="s">
        <v>3620</v>
      </c>
      <c r="G873" s="1">
        <v>1478046.86</v>
      </c>
    </row>
    <row r="874" spans="1:7">
      <c r="A874" t="s">
        <v>969</v>
      </c>
      <c r="B874" s="6">
        <v>45793</v>
      </c>
      <c r="C874" s="6" t="str">
        <f>TEXT(Table3[[#This Row],[transaction_date]], "yyyy-mm")</f>
        <v>2025-05</v>
      </c>
      <c r="D874" t="s">
        <v>90</v>
      </c>
      <c r="E874" t="s">
        <v>3637</v>
      </c>
      <c r="F874" t="s">
        <v>3623</v>
      </c>
      <c r="G874" s="1">
        <v>30122807.670000002</v>
      </c>
    </row>
    <row r="875" spans="1:7">
      <c r="A875" t="s">
        <v>970</v>
      </c>
      <c r="B875" s="6">
        <v>45834</v>
      </c>
      <c r="C875" s="6" t="str">
        <f>TEXT(Table3[[#This Row],[transaction_date]], "yyyy-mm")</f>
        <v>2025-06</v>
      </c>
      <c r="D875" t="s">
        <v>75</v>
      </c>
      <c r="E875" t="s">
        <v>3636</v>
      </c>
      <c r="F875" t="s">
        <v>3612</v>
      </c>
      <c r="G875" s="1">
        <v>1481278.78</v>
      </c>
    </row>
    <row r="876" spans="1:7">
      <c r="A876" t="s">
        <v>971</v>
      </c>
      <c r="B876" s="6">
        <v>45687</v>
      </c>
      <c r="C876" s="6" t="str">
        <f>TEXT(Table3[[#This Row],[transaction_date]], "yyyy-mm")</f>
        <v>2025-01</v>
      </c>
      <c r="D876" t="s">
        <v>73</v>
      </c>
      <c r="E876" t="s">
        <v>3637</v>
      </c>
      <c r="F876" t="s">
        <v>3621</v>
      </c>
      <c r="G876" s="1">
        <v>75014</v>
      </c>
    </row>
    <row r="877" spans="1:7">
      <c r="A877" t="s">
        <v>972</v>
      </c>
      <c r="B877" s="6">
        <v>45956</v>
      </c>
      <c r="C877" s="6" t="str">
        <f>TEXT(Table3[[#This Row],[transaction_date]], "yyyy-mm")</f>
        <v>2025-10</v>
      </c>
      <c r="D877" t="s">
        <v>82</v>
      </c>
      <c r="E877" t="s">
        <v>3637</v>
      </c>
      <c r="F877" t="s">
        <v>3615</v>
      </c>
      <c r="G877" s="1">
        <v>881074.19</v>
      </c>
    </row>
    <row r="878" spans="1:7">
      <c r="A878" t="s">
        <v>973</v>
      </c>
      <c r="B878" s="6">
        <v>45951</v>
      </c>
      <c r="C878" s="6" t="str">
        <f>TEXT(Table3[[#This Row],[transaction_date]], "yyyy-mm")</f>
        <v>2025-10</v>
      </c>
      <c r="D878" t="s">
        <v>73</v>
      </c>
      <c r="E878" t="s">
        <v>3637</v>
      </c>
      <c r="F878" t="s">
        <v>3614</v>
      </c>
      <c r="G878" s="1">
        <v>6863666.4400000004</v>
      </c>
    </row>
    <row r="879" spans="1:7">
      <c r="A879" t="s">
        <v>974</v>
      </c>
      <c r="B879" s="6">
        <v>45678</v>
      </c>
      <c r="C879" s="6" t="str">
        <f>TEXT(Table3[[#This Row],[transaction_date]], "yyyy-mm")</f>
        <v>2025-01</v>
      </c>
      <c r="D879" t="s">
        <v>89</v>
      </c>
      <c r="E879" t="s">
        <v>3636</v>
      </c>
      <c r="F879" t="s">
        <v>3609</v>
      </c>
      <c r="G879" s="1">
        <v>856526.87</v>
      </c>
    </row>
    <row r="880" spans="1:7">
      <c r="A880" t="s">
        <v>975</v>
      </c>
      <c r="B880" s="6">
        <v>45789</v>
      </c>
      <c r="C880" s="6" t="str">
        <f>TEXT(Table3[[#This Row],[transaction_date]], "yyyy-mm")</f>
        <v>2025-05</v>
      </c>
      <c r="D880" t="s">
        <v>80</v>
      </c>
      <c r="E880" t="s">
        <v>3636</v>
      </c>
      <c r="F880" t="s">
        <v>3605</v>
      </c>
      <c r="G880" s="1">
        <v>2063575.31</v>
      </c>
    </row>
    <row r="881" spans="1:7">
      <c r="A881" t="s">
        <v>976</v>
      </c>
      <c r="B881" s="6">
        <v>45849</v>
      </c>
      <c r="C881" s="6" t="str">
        <f>TEXT(Table3[[#This Row],[transaction_date]], "yyyy-mm")</f>
        <v>2025-07</v>
      </c>
      <c r="D881" t="s">
        <v>3597</v>
      </c>
      <c r="E881" t="s">
        <v>3637</v>
      </c>
      <c r="F881" t="s">
        <v>3619</v>
      </c>
      <c r="G881" s="1">
        <v>10637686.57</v>
      </c>
    </row>
    <row r="882" spans="1:7">
      <c r="A882" t="s">
        <v>977</v>
      </c>
      <c r="B882" s="6">
        <v>45925</v>
      </c>
      <c r="C882" s="6" t="str">
        <f>TEXT(Table3[[#This Row],[transaction_date]], "yyyy-mm")</f>
        <v>2025-09</v>
      </c>
      <c r="D882" t="s">
        <v>75</v>
      </c>
      <c r="E882" t="s">
        <v>3636</v>
      </c>
      <c r="F882" t="s">
        <v>3605</v>
      </c>
      <c r="G882" s="1">
        <v>4578139.99</v>
      </c>
    </row>
    <row r="883" spans="1:7">
      <c r="A883" t="s">
        <v>978</v>
      </c>
      <c r="B883" s="6">
        <v>45785</v>
      </c>
      <c r="C883" s="6" t="str">
        <f>TEXT(Table3[[#This Row],[transaction_date]], "yyyy-mm")</f>
        <v>2025-05</v>
      </c>
      <c r="D883" t="s">
        <v>74</v>
      </c>
      <c r="E883" t="s">
        <v>3637</v>
      </c>
      <c r="F883" t="s">
        <v>3618</v>
      </c>
      <c r="G883" s="1">
        <v>259066.9</v>
      </c>
    </row>
    <row r="884" spans="1:7">
      <c r="A884" t="s">
        <v>979</v>
      </c>
      <c r="B884" s="6">
        <v>45659</v>
      </c>
      <c r="C884" s="6" t="str">
        <f>TEXT(Table3[[#This Row],[transaction_date]], "yyyy-mm")</f>
        <v>2025-01</v>
      </c>
      <c r="D884" t="s">
        <v>95</v>
      </c>
      <c r="E884" t="s">
        <v>3636</v>
      </c>
      <c r="F884" t="s">
        <v>3612</v>
      </c>
      <c r="G884" s="1">
        <v>385258.54</v>
      </c>
    </row>
    <row r="885" spans="1:7">
      <c r="A885" t="s">
        <v>980</v>
      </c>
      <c r="B885" s="6">
        <v>45698</v>
      </c>
      <c r="C885" s="6" t="str">
        <f>TEXT(Table3[[#This Row],[transaction_date]], "yyyy-mm")</f>
        <v>2025-02</v>
      </c>
      <c r="D885" t="s">
        <v>3597</v>
      </c>
      <c r="E885" t="s">
        <v>3636</v>
      </c>
      <c r="F885" t="s">
        <v>3604</v>
      </c>
      <c r="G885" s="1">
        <v>7230401.4400000004</v>
      </c>
    </row>
    <row r="886" spans="1:7">
      <c r="A886" t="s">
        <v>981</v>
      </c>
      <c r="B886" s="6">
        <v>45779</v>
      </c>
      <c r="C886" s="6" t="str">
        <f>TEXT(Table3[[#This Row],[transaction_date]], "yyyy-mm")</f>
        <v>2025-05</v>
      </c>
      <c r="D886" t="s">
        <v>93</v>
      </c>
      <c r="E886" t="s">
        <v>3637</v>
      </c>
      <c r="F886" t="s">
        <v>3616</v>
      </c>
      <c r="G886" s="1">
        <v>11995170.76</v>
      </c>
    </row>
    <row r="887" spans="1:7">
      <c r="A887" t="s">
        <v>982</v>
      </c>
      <c r="B887" s="6">
        <v>46015</v>
      </c>
      <c r="C887" s="6" t="str">
        <f>TEXT(Table3[[#This Row],[transaction_date]], "yyyy-mm")</f>
        <v>2025-12</v>
      </c>
      <c r="D887" t="s">
        <v>75</v>
      </c>
      <c r="E887" t="s">
        <v>3636</v>
      </c>
      <c r="F887" t="s">
        <v>3609</v>
      </c>
      <c r="G887" s="1">
        <v>6408173.25</v>
      </c>
    </row>
    <row r="888" spans="1:7">
      <c r="A888" t="s">
        <v>983</v>
      </c>
      <c r="B888" s="6">
        <v>45972</v>
      </c>
      <c r="C888" s="6" t="str">
        <f>TEXT(Table3[[#This Row],[transaction_date]], "yyyy-mm")</f>
        <v>2025-11</v>
      </c>
      <c r="D888" t="s">
        <v>76</v>
      </c>
      <c r="E888" t="s">
        <v>3637</v>
      </c>
      <c r="F888" t="s">
        <v>3619</v>
      </c>
      <c r="G888" s="1">
        <v>1382067.58</v>
      </c>
    </row>
    <row r="889" spans="1:7">
      <c r="A889" t="s">
        <v>984</v>
      </c>
      <c r="B889" s="6">
        <v>45866</v>
      </c>
      <c r="C889" s="6" t="str">
        <f>TEXT(Table3[[#This Row],[transaction_date]], "yyyy-mm")</f>
        <v>2025-07</v>
      </c>
      <c r="D889" t="s">
        <v>73</v>
      </c>
      <c r="E889" t="s">
        <v>3637</v>
      </c>
      <c r="F889" t="s">
        <v>3619</v>
      </c>
      <c r="G889" s="1">
        <v>348535.44</v>
      </c>
    </row>
    <row r="890" spans="1:7">
      <c r="A890" t="s">
        <v>985</v>
      </c>
      <c r="B890" s="6">
        <v>46013</v>
      </c>
      <c r="C890" s="6" t="str">
        <f>TEXT(Table3[[#This Row],[transaction_date]], "yyyy-mm")</f>
        <v>2025-12</v>
      </c>
      <c r="D890" t="s">
        <v>80</v>
      </c>
      <c r="E890" t="s">
        <v>3637</v>
      </c>
      <c r="F890" t="s">
        <v>3621</v>
      </c>
      <c r="G890" s="1">
        <v>1083955.99</v>
      </c>
    </row>
    <row r="891" spans="1:7">
      <c r="A891" t="s">
        <v>986</v>
      </c>
      <c r="B891" s="6">
        <v>45868</v>
      </c>
      <c r="C891" s="6" t="str">
        <f>TEXT(Table3[[#This Row],[transaction_date]], "yyyy-mm")</f>
        <v>2025-07</v>
      </c>
      <c r="D891" t="s">
        <v>73</v>
      </c>
      <c r="E891" t="s">
        <v>3637</v>
      </c>
      <c r="F891" t="s">
        <v>3614</v>
      </c>
      <c r="G891" s="1">
        <v>3169668.7</v>
      </c>
    </row>
    <row r="892" spans="1:7">
      <c r="A892" t="s">
        <v>987</v>
      </c>
      <c r="B892" s="6">
        <v>45842</v>
      </c>
      <c r="C892" s="6" t="str">
        <f>TEXT(Table3[[#This Row],[transaction_date]], "yyyy-mm")</f>
        <v>2025-07</v>
      </c>
      <c r="D892" t="s">
        <v>80</v>
      </c>
      <c r="E892" t="s">
        <v>3636</v>
      </c>
      <c r="F892" t="s">
        <v>3608</v>
      </c>
      <c r="G892" s="1">
        <v>1773895.21</v>
      </c>
    </row>
    <row r="893" spans="1:7">
      <c r="A893" t="s">
        <v>988</v>
      </c>
      <c r="B893" s="6">
        <v>45983</v>
      </c>
      <c r="C893" s="6" t="str">
        <f>TEXT(Table3[[#This Row],[transaction_date]], "yyyy-mm")</f>
        <v>2025-11</v>
      </c>
      <c r="D893" t="s">
        <v>90</v>
      </c>
      <c r="E893" t="s">
        <v>3636</v>
      </c>
      <c r="F893" t="s">
        <v>3610</v>
      </c>
      <c r="G893" s="1">
        <v>28411393.789999999</v>
      </c>
    </row>
    <row r="894" spans="1:7">
      <c r="A894" t="s">
        <v>989</v>
      </c>
      <c r="B894" s="6">
        <v>45816</v>
      </c>
      <c r="C894" s="6" t="str">
        <f>TEXT(Table3[[#This Row],[transaction_date]], "yyyy-mm")</f>
        <v>2025-06</v>
      </c>
      <c r="D894" t="s">
        <v>76</v>
      </c>
      <c r="E894" t="s">
        <v>3637</v>
      </c>
      <c r="F894" t="s">
        <v>3618</v>
      </c>
      <c r="G894" s="1">
        <v>1712162.9</v>
      </c>
    </row>
    <row r="895" spans="1:7">
      <c r="A895" t="s">
        <v>990</v>
      </c>
      <c r="B895" s="6">
        <v>45770</v>
      </c>
      <c r="C895" s="6" t="str">
        <f>TEXT(Table3[[#This Row],[transaction_date]], "yyyy-mm")</f>
        <v>2025-04</v>
      </c>
      <c r="D895" t="s">
        <v>85</v>
      </c>
      <c r="E895" t="s">
        <v>3636</v>
      </c>
      <c r="F895" t="s">
        <v>3612</v>
      </c>
      <c r="G895" s="1">
        <v>616140.39</v>
      </c>
    </row>
    <row r="896" spans="1:7">
      <c r="A896" t="s">
        <v>991</v>
      </c>
      <c r="B896" s="6">
        <v>45774</v>
      </c>
      <c r="C896" s="6" t="str">
        <f>TEXT(Table3[[#This Row],[transaction_date]], "yyyy-mm")</f>
        <v>2025-04</v>
      </c>
      <c r="D896" t="s">
        <v>73</v>
      </c>
      <c r="E896" t="s">
        <v>3636</v>
      </c>
      <c r="F896" t="s">
        <v>3605</v>
      </c>
      <c r="G896" s="1">
        <v>1568397.01</v>
      </c>
    </row>
    <row r="897" spans="1:7">
      <c r="A897" t="s">
        <v>992</v>
      </c>
      <c r="B897" s="6">
        <v>45719</v>
      </c>
      <c r="C897" s="6" t="str">
        <f>TEXT(Table3[[#This Row],[transaction_date]], "yyyy-mm")</f>
        <v>2025-03</v>
      </c>
      <c r="D897" t="s">
        <v>77</v>
      </c>
      <c r="E897" t="s">
        <v>3636</v>
      </c>
      <c r="F897" t="s">
        <v>3613</v>
      </c>
      <c r="G897" s="1">
        <v>15841967.310000001</v>
      </c>
    </row>
    <row r="898" spans="1:7">
      <c r="A898" t="s">
        <v>993</v>
      </c>
      <c r="B898" s="6">
        <v>45737</v>
      </c>
      <c r="C898" s="6" t="str">
        <f>TEXT(Table3[[#This Row],[transaction_date]], "yyyy-mm")</f>
        <v>2025-03</v>
      </c>
      <c r="D898" t="s">
        <v>95</v>
      </c>
      <c r="E898" t="s">
        <v>3636</v>
      </c>
      <c r="F898" t="s">
        <v>3613</v>
      </c>
      <c r="G898" s="1">
        <v>7615647.6200000001</v>
      </c>
    </row>
    <row r="899" spans="1:7">
      <c r="A899" t="s">
        <v>994</v>
      </c>
      <c r="B899" s="6">
        <v>45927</v>
      </c>
      <c r="C899" s="6" t="str">
        <f>TEXT(Table3[[#This Row],[transaction_date]], "yyyy-mm")</f>
        <v>2025-09</v>
      </c>
      <c r="D899" t="s">
        <v>80</v>
      </c>
      <c r="E899" t="s">
        <v>3636</v>
      </c>
      <c r="F899" t="s">
        <v>3608</v>
      </c>
      <c r="G899" s="1">
        <v>370964.62</v>
      </c>
    </row>
    <row r="900" spans="1:7">
      <c r="A900" t="s">
        <v>995</v>
      </c>
      <c r="B900" s="6">
        <v>45775</v>
      </c>
      <c r="C900" s="6" t="str">
        <f>TEXT(Table3[[#This Row],[transaction_date]], "yyyy-mm")</f>
        <v>2025-04</v>
      </c>
      <c r="D900" t="s">
        <v>90</v>
      </c>
      <c r="E900" t="s">
        <v>3637</v>
      </c>
      <c r="F900" t="s">
        <v>3617</v>
      </c>
      <c r="G900" s="1">
        <v>31004996.649999999</v>
      </c>
    </row>
    <row r="901" spans="1:7">
      <c r="A901" t="s">
        <v>996</v>
      </c>
      <c r="B901" s="6">
        <v>45832</v>
      </c>
      <c r="C901" s="6" t="str">
        <f>TEXT(Table3[[#This Row],[transaction_date]], "yyyy-mm")</f>
        <v>2025-06</v>
      </c>
      <c r="D901" t="s">
        <v>79</v>
      </c>
      <c r="E901" t="s">
        <v>3636</v>
      </c>
      <c r="F901" t="s">
        <v>3613</v>
      </c>
      <c r="G901" s="1">
        <v>536090.68999999994</v>
      </c>
    </row>
    <row r="902" spans="1:7">
      <c r="A902" t="s">
        <v>997</v>
      </c>
      <c r="B902" s="6">
        <v>45897</v>
      </c>
      <c r="C902" s="6" t="str">
        <f>TEXT(Table3[[#This Row],[transaction_date]], "yyyy-mm")</f>
        <v>2025-08</v>
      </c>
      <c r="D902" t="s">
        <v>77</v>
      </c>
      <c r="E902" t="s">
        <v>3637</v>
      </c>
      <c r="F902" t="s">
        <v>3620</v>
      </c>
      <c r="G902" s="1">
        <v>274440.55</v>
      </c>
    </row>
    <row r="903" spans="1:7">
      <c r="A903" t="s">
        <v>998</v>
      </c>
      <c r="B903" s="6">
        <v>45740</v>
      </c>
      <c r="C903" s="6" t="str">
        <f>TEXT(Table3[[#This Row],[transaction_date]], "yyyy-mm")</f>
        <v>2025-03</v>
      </c>
      <c r="D903" t="s">
        <v>77</v>
      </c>
      <c r="E903" t="s">
        <v>3636</v>
      </c>
      <c r="F903" t="s">
        <v>3610</v>
      </c>
      <c r="G903" s="1">
        <v>490433.35</v>
      </c>
    </row>
    <row r="904" spans="1:7">
      <c r="A904" t="s">
        <v>999</v>
      </c>
      <c r="B904" s="6">
        <v>45827</v>
      </c>
      <c r="C904" s="6" t="str">
        <f>TEXT(Table3[[#This Row],[transaction_date]], "yyyy-mm")</f>
        <v>2025-06</v>
      </c>
      <c r="D904" t="s">
        <v>90</v>
      </c>
      <c r="E904" t="s">
        <v>3637</v>
      </c>
      <c r="F904" t="s">
        <v>3623</v>
      </c>
      <c r="G904" s="1">
        <v>12122507.779999999</v>
      </c>
    </row>
    <row r="905" spans="1:7">
      <c r="A905" t="s">
        <v>1000</v>
      </c>
      <c r="B905" s="6">
        <v>45833</v>
      </c>
      <c r="C905" s="6" t="str">
        <f>TEXT(Table3[[#This Row],[transaction_date]], "yyyy-mm")</f>
        <v>2025-06</v>
      </c>
      <c r="D905" t="s">
        <v>73</v>
      </c>
      <c r="E905" t="s">
        <v>3636</v>
      </c>
      <c r="F905" t="s">
        <v>3612</v>
      </c>
      <c r="G905" s="1">
        <v>953640.53</v>
      </c>
    </row>
    <row r="906" spans="1:7">
      <c r="A906" t="s">
        <v>1001</v>
      </c>
      <c r="B906" s="6">
        <v>45696</v>
      </c>
      <c r="C906" s="6" t="str">
        <f>TEXT(Table3[[#This Row],[transaction_date]], "yyyy-mm")</f>
        <v>2025-02</v>
      </c>
      <c r="D906" t="s">
        <v>93</v>
      </c>
      <c r="E906" t="s">
        <v>3636</v>
      </c>
      <c r="F906" t="s">
        <v>3609</v>
      </c>
      <c r="G906" s="1">
        <v>5179552.37</v>
      </c>
    </row>
    <row r="907" spans="1:7">
      <c r="A907" t="s">
        <v>1002</v>
      </c>
      <c r="B907" s="6">
        <v>45679</v>
      </c>
      <c r="C907" s="6" t="str">
        <f>TEXT(Table3[[#This Row],[transaction_date]], "yyyy-mm")</f>
        <v>2025-01</v>
      </c>
      <c r="D907" t="s">
        <v>73</v>
      </c>
      <c r="E907" t="s">
        <v>3637</v>
      </c>
      <c r="F907" t="s">
        <v>3619</v>
      </c>
      <c r="G907" s="1">
        <v>3074915.99</v>
      </c>
    </row>
    <row r="908" spans="1:7">
      <c r="A908" t="s">
        <v>1003</v>
      </c>
      <c r="B908" s="6">
        <v>45713</v>
      </c>
      <c r="C908" s="6" t="str">
        <f>TEXT(Table3[[#This Row],[transaction_date]], "yyyy-mm")</f>
        <v>2025-02</v>
      </c>
      <c r="D908" t="s">
        <v>84</v>
      </c>
      <c r="E908" t="s">
        <v>3636</v>
      </c>
      <c r="F908" t="s">
        <v>3604</v>
      </c>
      <c r="G908" s="1">
        <v>3606529.74</v>
      </c>
    </row>
    <row r="909" spans="1:7">
      <c r="A909" t="s">
        <v>1004</v>
      </c>
      <c r="B909" s="6">
        <v>45776</v>
      </c>
      <c r="C909" s="6" t="str">
        <f>TEXT(Table3[[#This Row],[transaction_date]], "yyyy-mm")</f>
        <v>2025-04</v>
      </c>
      <c r="D909" t="s">
        <v>73</v>
      </c>
      <c r="E909" t="s">
        <v>3637</v>
      </c>
      <c r="F909" t="s">
        <v>3622</v>
      </c>
      <c r="G909" s="1">
        <v>7334634.3499999996</v>
      </c>
    </row>
    <row r="910" spans="1:7">
      <c r="A910" t="s">
        <v>1005</v>
      </c>
      <c r="B910" s="6">
        <v>45699</v>
      </c>
      <c r="C910" s="6" t="str">
        <f>TEXT(Table3[[#This Row],[transaction_date]], "yyyy-mm")</f>
        <v>2025-02</v>
      </c>
      <c r="D910" t="s">
        <v>73</v>
      </c>
      <c r="E910" t="s">
        <v>3636</v>
      </c>
      <c r="F910" t="s">
        <v>3607</v>
      </c>
      <c r="G910" s="1">
        <v>1181190.6100000001</v>
      </c>
    </row>
    <row r="911" spans="1:7">
      <c r="A911" t="s">
        <v>1006</v>
      </c>
      <c r="B911" s="6">
        <v>45823</v>
      </c>
      <c r="C911" s="6" t="str">
        <f>TEXT(Table3[[#This Row],[transaction_date]], "yyyy-mm")</f>
        <v>2025-06</v>
      </c>
      <c r="D911" t="s">
        <v>95</v>
      </c>
      <c r="E911" t="s">
        <v>3637</v>
      </c>
      <c r="F911" t="s">
        <v>3616</v>
      </c>
      <c r="G911" s="1">
        <v>3498242.24</v>
      </c>
    </row>
    <row r="912" spans="1:7">
      <c r="A912" t="s">
        <v>1007</v>
      </c>
      <c r="B912" s="6">
        <v>45773</v>
      </c>
      <c r="C912" s="6" t="str">
        <f>TEXT(Table3[[#This Row],[transaction_date]], "yyyy-mm")</f>
        <v>2025-04</v>
      </c>
      <c r="D912" t="s">
        <v>82</v>
      </c>
      <c r="E912" t="s">
        <v>3636</v>
      </c>
      <c r="F912" t="s">
        <v>3611</v>
      </c>
      <c r="G912" s="1">
        <v>13785566.210000001</v>
      </c>
    </row>
    <row r="913" spans="1:7">
      <c r="A913" t="s">
        <v>1008</v>
      </c>
      <c r="B913" s="6">
        <v>45849</v>
      </c>
      <c r="C913" s="6" t="str">
        <f>TEXT(Table3[[#This Row],[transaction_date]], "yyyy-mm")</f>
        <v>2025-07</v>
      </c>
      <c r="D913" t="s">
        <v>75</v>
      </c>
      <c r="E913" t="s">
        <v>3636</v>
      </c>
      <c r="F913" t="s">
        <v>3613</v>
      </c>
      <c r="G913" s="1">
        <v>21212339.859999999</v>
      </c>
    </row>
    <row r="914" spans="1:7">
      <c r="A914" t="s">
        <v>1009</v>
      </c>
      <c r="B914" s="6">
        <v>46003</v>
      </c>
      <c r="C914" s="6" t="str">
        <f>TEXT(Table3[[#This Row],[transaction_date]], "yyyy-mm")</f>
        <v>2025-12</v>
      </c>
      <c r="D914" t="s">
        <v>90</v>
      </c>
      <c r="E914" t="s">
        <v>3637</v>
      </c>
      <c r="F914" t="s">
        <v>3619</v>
      </c>
      <c r="G914" s="1">
        <v>12106938.609999999</v>
      </c>
    </row>
    <row r="915" spans="1:7">
      <c r="A915" t="s">
        <v>1010</v>
      </c>
      <c r="B915" s="6">
        <v>45928</v>
      </c>
      <c r="C915" s="6" t="str">
        <f>TEXT(Table3[[#This Row],[transaction_date]], "yyyy-mm")</f>
        <v>2025-09</v>
      </c>
      <c r="D915" t="s">
        <v>90</v>
      </c>
      <c r="E915" t="s">
        <v>3636</v>
      </c>
      <c r="F915" t="s">
        <v>3609</v>
      </c>
      <c r="G915" s="1">
        <v>2978578.79</v>
      </c>
    </row>
    <row r="916" spans="1:7">
      <c r="A916" t="s">
        <v>1011</v>
      </c>
      <c r="B916" s="6">
        <v>45805</v>
      </c>
      <c r="C916" s="6" t="str">
        <f>TEXT(Table3[[#This Row],[transaction_date]], "yyyy-mm")</f>
        <v>2025-05</v>
      </c>
      <c r="D916" t="s">
        <v>73</v>
      </c>
      <c r="E916" t="s">
        <v>3636</v>
      </c>
      <c r="F916" t="s">
        <v>3612</v>
      </c>
      <c r="G916" s="1">
        <v>1131409.1399999999</v>
      </c>
    </row>
    <row r="917" spans="1:7">
      <c r="A917" t="s">
        <v>1012</v>
      </c>
      <c r="B917" s="6">
        <v>45740</v>
      </c>
      <c r="C917" s="6" t="str">
        <f>TEXT(Table3[[#This Row],[transaction_date]], "yyyy-mm")</f>
        <v>2025-03</v>
      </c>
      <c r="D917" t="s">
        <v>73</v>
      </c>
      <c r="E917" t="s">
        <v>3636</v>
      </c>
      <c r="F917" t="s">
        <v>3611</v>
      </c>
      <c r="G917" s="1">
        <v>155598.04</v>
      </c>
    </row>
    <row r="918" spans="1:7">
      <c r="A918" t="s">
        <v>1013</v>
      </c>
      <c r="B918" s="6">
        <v>46000</v>
      </c>
      <c r="C918" s="6" t="str">
        <f>TEXT(Table3[[#This Row],[transaction_date]], "yyyy-mm")</f>
        <v>2025-12</v>
      </c>
      <c r="D918" t="s">
        <v>75</v>
      </c>
      <c r="E918" t="s">
        <v>3636</v>
      </c>
      <c r="F918" t="s">
        <v>3608</v>
      </c>
      <c r="G918" s="1">
        <v>902649.48</v>
      </c>
    </row>
    <row r="919" spans="1:7">
      <c r="A919" t="s">
        <v>1014</v>
      </c>
      <c r="B919" s="6">
        <v>45881</v>
      </c>
      <c r="C919" s="6" t="str">
        <f>TEXT(Table3[[#This Row],[transaction_date]], "yyyy-mm")</f>
        <v>2025-08</v>
      </c>
      <c r="D919" t="s">
        <v>75</v>
      </c>
      <c r="E919" t="s">
        <v>3636</v>
      </c>
      <c r="F919" t="s">
        <v>3605</v>
      </c>
      <c r="G919" s="1">
        <v>15215655.17</v>
      </c>
    </row>
    <row r="920" spans="1:7">
      <c r="A920" t="s">
        <v>1015</v>
      </c>
      <c r="B920" s="6">
        <v>45724</v>
      </c>
      <c r="C920" s="6" t="str">
        <f>TEXT(Table3[[#This Row],[transaction_date]], "yyyy-mm")</f>
        <v>2025-03</v>
      </c>
      <c r="D920" t="s">
        <v>79</v>
      </c>
      <c r="E920" t="s">
        <v>3637</v>
      </c>
      <c r="F920" t="s">
        <v>3622</v>
      </c>
      <c r="G920" s="1">
        <v>6374367.3799999999</v>
      </c>
    </row>
    <row r="921" spans="1:7">
      <c r="A921" t="s">
        <v>1016</v>
      </c>
      <c r="B921" s="6">
        <v>45659</v>
      </c>
      <c r="C921" s="6" t="str">
        <f>TEXT(Table3[[#This Row],[transaction_date]], "yyyy-mm")</f>
        <v>2025-01</v>
      </c>
      <c r="D921" t="s">
        <v>76</v>
      </c>
      <c r="E921" t="s">
        <v>3637</v>
      </c>
      <c r="F921" t="s">
        <v>3617</v>
      </c>
      <c r="G921" s="1">
        <v>2583066.61</v>
      </c>
    </row>
    <row r="922" spans="1:7">
      <c r="A922" t="s">
        <v>1017</v>
      </c>
      <c r="B922" s="6">
        <v>45903</v>
      </c>
      <c r="C922" s="6" t="str">
        <f>TEXT(Table3[[#This Row],[transaction_date]], "yyyy-mm")</f>
        <v>2025-09</v>
      </c>
      <c r="D922" t="s">
        <v>89</v>
      </c>
      <c r="E922" t="s">
        <v>3636</v>
      </c>
      <c r="F922" t="s">
        <v>3613</v>
      </c>
      <c r="G922" s="1">
        <v>304732.51</v>
      </c>
    </row>
    <row r="923" spans="1:7">
      <c r="A923" t="s">
        <v>1018</v>
      </c>
      <c r="B923" s="6">
        <v>46014</v>
      </c>
      <c r="C923" s="6" t="str">
        <f>TEXT(Table3[[#This Row],[transaction_date]], "yyyy-mm")</f>
        <v>2025-12</v>
      </c>
      <c r="D923" t="s">
        <v>78</v>
      </c>
      <c r="E923" t="s">
        <v>3636</v>
      </c>
      <c r="F923" t="s">
        <v>3610</v>
      </c>
      <c r="G923" s="1">
        <v>621884.93000000005</v>
      </c>
    </row>
    <row r="924" spans="1:7">
      <c r="A924" t="s">
        <v>1019</v>
      </c>
      <c r="B924" s="6">
        <v>45949</v>
      </c>
      <c r="C924" s="6" t="str">
        <f>TEXT(Table3[[#This Row],[transaction_date]], "yyyy-mm")</f>
        <v>2025-10</v>
      </c>
      <c r="D924" t="s">
        <v>73</v>
      </c>
      <c r="E924" t="s">
        <v>3636</v>
      </c>
      <c r="F924" t="s">
        <v>3604</v>
      </c>
      <c r="G924" s="1">
        <v>970914.29</v>
      </c>
    </row>
    <row r="925" spans="1:7">
      <c r="A925" t="s">
        <v>1020</v>
      </c>
      <c r="B925" s="6">
        <v>45901</v>
      </c>
      <c r="C925" s="6" t="str">
        <f>TEXT(Table3[[#This Row],[transaction_date]], "yyyy-mm")</f>
        <v>2025-09</v>
      </c>
      <c r="D925" t="s">
        <v>73</v>
      </c>
      <c r="E925" t="s">
        <v>3637</v>
      </c>
      <c r="F925" t="s">
        <v>3618</v>
      </c>
      <c r="G925" s="1">
        <v>1319383.3600000001</v>
      </c>
    </row>
    <row r="926" spans="1:7">
      <c r="A926" t="s">
        <v>1021</v>
      </c>
      <c r="B926" s="6">
        <v>45697</v>
      </c>
      <c r="C926" s="6" t="str">
        <f>TEXT(Table3[[#This Row],[transaction_date]], "yyyy-mm")</f>
        <v>2025-02</v>
      </c>
      <c r="D926" t="s">
        <v>89</v>
      </c>
      <c r="E926" t="s">
        <v>3636</v>
      </c>
      <c r="F926" t="s">
        <v>3607</v>
      </c>
      <c r="G926" s="1">
        <v>164929.82</v>
      </c>
    </row>
    <row r="927" spans="1:7">
      <c r="A927" t="s">
        <v>1022</v>
      </c>
      <c r="B927" s="6">
        <v>45913</v>
      </c>
      <c r="C927" s="6" t="str">
        <f>TEXT(Table3[[#This Row],[transaction_date]], "yyyy-mm")</f>
        <v>2025-09</v>
      </c>
      <c r="D927" t="s">
        <v>93</v>
      </c>
      <c r="E927" t="s">
        <v>3636</v>
      </c>
      <c r="F927" t="s">
        <v>3609</v>
      </c>
      <c r="G927" s="1">
        <v>597915.9</v>
      </c>
    </row>
    <row r="928" spans="1:7">
      <c r="A928" t="s">
        <v>1023</v>
      </c>
      <c r="B928" s="6">
        <v>45731</v>
      </c>
      <c r="C928" s="6" t="str">
        <f>TEXT(Table3[[#This Row],[transaction_date]], "yyyy-mm")</f>
        <v>2025-03</v>
      </c>
      <c r="D928" t="s">
        <v>95</v>
      </c>
      <c r="E928" t="s">
        <v>3637</v>
      </c>
      <c r="F928" t="s">
        <v>3614</v>
      </c>
      <c r="G928" s="1">
        <v>3091012.81</v>
      </c>
    </row>
    <row r="929" spans="1:7">
      <c r="A929" t="s">
        <v>1024</v>
      </c>
      <c r="B929" s="6">
        <v>45890</v>
      </c>
      <c r="C929" s="6" t="str">
        <f>TEXT(Table3[[#This Row],[transaction_date]], "yyyy-mm")</f>
        <v>2025-08</v>
      </c>
      <c r="D929" t="s">
        <v>74</v>
      </c>
      <c r="E929" t="s">
        <v>3636</v>
      </c>
      <c r="F929" t="s">
        <v>3613</v>
      </c>
      <c r="G929" s="1">
        <v>3417479.85</v>
      </c>
    </row>
    <row r="930" spans="1:7">
      <c r="A930" t="s">
        <v>1025</v>
      </c>
      <c r="B930" s="6">
        <v>45919</v>
      </c>
      <c r="C930" s="6" t="str">
        <f>TEXT(Table3[[#This Row],[transaction_date]], "yyyy-mm")</f>
        <v>2025-09</v>
      </c>
      <c r="D930" t="s">
        <v>76</v>
      </c>
      <c r="E930" t="s">
        <v>3636</v>
      </c>
      <c r="F930" t="s">
        <v>3613</v>
      </c>
      <c r="G930" s="1">
        <v>1318496.8999999999</v>
      </c>
    </row>
    <row r="931" spans="1:7">
      <c r="A931" t="s">
        <v>1026</v>
      </c>
      <c r="B931" s="6">
        <v>45789</v>
      </c>
      <c r="C931" s="6" t="str">
        <f>TEXT(Table3[[#This Row],[transaction_date]], "yyyy-mm")</f>
        <v>2025-05</v>
      </c>
      <c r="D931" t="s">
        <v>74</v>
      </c>
      <c r="E931" t="s">
        <v>3636</v>
      </c>
      <c r="F931" t="s">
        <v>3605</v>
      </c>
      <c r="G931" s="1">
        <v>86785.57</v>
      </c>
    </row>
    <row r="932" spans="1:7">
      <c r="A932" t="s">
        <v>1027</v>
      </c>
      <c r="B932" s="6">
        <v>45818</v>
      </c>
      <c r="C932" s="6" t="str">
        <f>TEXT(Table3[[#This Row],[transaction_date]], "yyyy-mm")</f>
        <v>2025-06</v>
      </c>
      <c r="D932" t="s">
        <v>95</v>
      </c>
      <c r="E932" t="s">
        <v>3637</v>
      </c>
      <c r="F932" t="s">
        <v>3623</v>
      </c>
      <c r="G932" s="1">
        <v>3594673.99</v>
      </c>
    </row>
    <row r="933" spans="1:7">
      <c r="A933" t="s">
        <v>1028</v>
      </c>
      <c r="B933" s="6">
        <v>45928</v>
      </c>
      <c r="C933" s="6" t="str">
        <f>TEXT(Table3[[#This Row],[transaction_date]], "yyyy-mm")</f>
        <v>2025-09</v>
      </c>
      <c r="D933" t="s">
        <v>84</v>
      </c>
      <c r="E933" t="s">
        <v>3637</v>
      </c>
      <c r="F933" t="s">
        <v>3616</v>
      </c>
      <c r="G933" s="1">
        <v>13205042.529999999</v>
      </c>
    </row>
    <row r="934" spans="1:7">
      <c r="A934" t="s">
        <v>1029</v>
      </c>
      <c r="B934" s="6">
        <v>45716</v>
      </c>
      <c r="C934" s="6" t="str">
        <f>TEXT(Table3[[#This Row],[transaction_date]], "yyyy-mm")</f>
        <v>2025-02</v>
      </c>
      <c r="D934" t="s">
        <v>78</v>
      </c>
      <c r="E934" t="s">
        <v>3636</v>
      </c>
      <c r="F934" t="s">
        <v>3612</v>
      </c>
      <c r="G934" s="1">
        <v>1100429.67</v>
      </c>
    </row>
    <row r="935" spans="1:7">
      <c r="A935" t="s">
        <v>1030</v>
      </c>
      <c r="B935" s="6">
        <v>45989</v>
      </c>
      <c r="C935" s="6" t="str">
        <f>TEXT(Table3[[#This Row],[transaction_date]], "yyyy-mm")</f>
        <v>2025-11</v>
      </c>
      <c r="D935" t="s">
        <v>90</v>
      </c>
      <c r="E935" t="s">
        <v>3636</v>
      </c>
      <c r="F935" t="s">
        <v>3612</v>
      </c>
      <c r="G935" s="1">
        <v>1309931.8600000001</v>
      </c>
    </row>
    <row r="936" spans="1:7">
      <c r="A936" t="s">
        <v>1031</v>
      </c>
      <c r="B936" s="6">
        <v>45943</v>
      </c>
      <c r="C936" s="6" t="str">
        <f>TEXT(Table3[[#This Row],[transaction_date]], "yyyy-mm")</f>
        <v>2025-10</v>
      </c>
      <c r="D936" t="s">
        <v>74</v>
      </c>
      <c r="E936" t="s">
        <v>3637</v>
      </c>
      <c r="F936" t="s">
        <v>3619</v>
      </c>
      <c r="G936" s="1">
        <v>909580.64</v>
      </c>
    </row>
    <row r="937" spans="1:7">
      <c r="A937" t="s">
        <v>1032</v>
      </c>
      <c r="B937" s="6">
        <v>45772</v>
      </c>
      <c r="C937" s="6" t="str">
        <f>TEXT(Table3[[#This Row],[transaction_date]], "yyyy-mm")</f>
        <v>2025-04</v>
      </c>
      <c r="D937" t="s">
        <v>73</v>
      </c>
      <c r="E937" t="s">
        <v>3637</v>
      </c>
      <c r="F937" t="s">
        <v>3620</v>
      </c>
      <c r="G937" s="1">
        <v>172908.78</v>
      </c>
    </row>
    <row r="938" spans="1:7">
      <c r="A938" t="s">
        <v>1033</v>
      </c>
      <c r="B938" s="6">
        <v>45990</v>
      </c>
      <c r="C938" s="6" t="str">
        <f>TEXT(Table3[[#This Row],[transaction_date]], "yyyy-mm")</f>
        <v>2025-11</v>
      </c>
      <c r="D938" t="s">
        <v>79</v>
      </c>
      <c r="E938" t="s">
        <v>3637</v>
      </c>
      <c r="F938" t="s">
        <v>3619</v>
      </c>
      <c r="G938" s="1">
        <v>1858716.97</v>
      </c>
    </row>
    <row r="939" spans="1:7">
      <c r="A939" t="s">
        <v>1034</v>
      </c>
      <c r="B939" s="6">
        <v>45997</v>
      </c>
      <c r="C939" s="6" t="str">
        <f>TEXT(Table3[[#This Row],[transaction_date]], "yyyy-mm")</f>
        <v>2025-12</v>
      </c>
      <c r="D939" t="s">
        <v>79</v>
      </c>
      <c r="E939" t="s">
        <v>3636</v>
      </c>
      <c r="F939" t="s">
        <v>3604</v>
      </c>
      <c r="G939" s="1">
        <v>3673757.09</v>
      </c>
    </row>
    <row r="940" spans="1:7">
      <c r="A940" t="s">
        <v>1035</v>
      </c>
      <c r="B940" s="6">
        <v>46016</v>
      </c>
      <c r="C940" s="6" t="str">
        <f>TEXT(Table3[[#This Row],[transaction_date]], "yyyy-mm")</f>
        <v>2025-12</v>
      </c>
      <c r="D940" t="s">
        <v>85</v>
      </c>
      <c r="E940" t="s">
        <v>3637</v>
      </c>
      <c r="F940" t="s">
        <v>3623</v>
      </c>
      <c r="G940" s="1">
        <v>288948.86</v>
      </c>
    </row>
    <row r="941" spans="1:7">
      <c r="A941" t="s">
        <v>1036</v>
      </c>
      <c r="B941" s="6">
        <v>45869</v>
      </c>
      <c r="C941" s="6" t="str">
        <f>TEXT(Table3[[#This Row],[transaction_date]], "yyyy-mm")</f>
        <v>2025-07</v>
      </c>
      <c r="D941" t="s">
        <v>73</v>
      </c>
      <c r="E941" t="s">
        <v>3637</v>
      </c>
      <c r="F941" t="s">
        <v>3615</v>
      </c>
      <c r="G941" s="1">
        <v>423871.29</v>
      </c>
    </row>
    <row r="942" spans="1:7">
      <c r="A942" t="s">
        <v>1037</v>
      </c>
      <c r="B942" s="6">
        <v>45694</v>
      </c>
      <c r="C942" s="6" t="str">
        <f>TEXT(Table3[[#This Row],[transaction_date]], "yyyy-mm")</f>
        <v>2025-02</v>
      </c>
      <c r="D942" t="s">
        <v>73</v>
      </c>
      <c r="E942" t="s">
        <v>3636</v>
      </c>
      <c r="F942" t="s">
        <v>3604</v>
      </c>
      <c r="G942" s="1">
        <v>11725870.41</v>
      </c>
    </row>
    <row r="943" spans="1:7">
      <c r="A943" t="s">
        <v>1038</v>
      </c>
      <c r="B943" s="6">
        <v>45822</v>
      </c>
      <c r="C943" s="6" t="str">
        <f>TEXT(Table3[[#This Row],[transaction_date]], "yyyy-mm")</f>
        <v>2025-06</v>
      </c>
      <c r="D943" t="s">
        <v>95</v>
      </c>
      <c r="E943" t="s">
        <v>3636</v>
      </c>
      <c r="F943" t="s">
        <v>3608</v>
      </c>
      <c r="G943" s="1">
        <v>7388736.2800000003</v>
      </c>
    </row>
    <row r="944" spans="1:7">
      <c r="A944" t="s">
        <v>1039</v>
      </c>
      <c r="B944" s="6">
        <v>45736</v>
      </c>
      <c r="C944" s="6" t="str">
        <f>TEXT(Table3[[#This Row],[transaction_date]], "yyyy-mm")</f>
        <v>2025-03</v>
      </c>
      <c r="D944" t="s">
        <v>76</v>
      </c>
      <c r="E944" t="s">
        <v>3636</v>
      </c>
      <c r="F944" t="s">
        <v>3609</v>
      </c>
      <c r="G944" s="1">
        <v>38520310.149999999</v>
      </c>
    </row>
    <row r="945" spans="1:7">
      <c r="A945" t="s">
        <v>1040</v>
      </c>
      <c r="B945" s="6">
        <v>45742</v>
      </c>
      <c r="C945" s="6" t="str">
        <f>TEXT(Table3[[#This Row],[transaction_date]], "yyyy-mm")</f>
        <v>2025-03</v>
      </c>
      <c r="D945" t="s">
        <v>89</v>
      </c>
      <c r="E945" t="s">
        <v>3636</v>
      </c>
      <c r="F945" t="s">
        <v>3613</v>
      </c>
      <c r="G945" s="1">
        <v>425933.43</v>
      </c>
    </row>
    <row r="946" spans="1:7">
      <c r="A946" t="s">
        <v>1041</v>
      </c>
      <c r="B946" s="6">
        <v>45863</v>
      </c>
      <c r="C946" s="6" t="str">
        <f>TEXT(Table3[[#This Row],[transaction_date]], "yyyy-mm")</f>
        <v>2025-07</v>
      </c>
      <c r="D946" t="s">
        <v>80</v>
      </c>
      <c r="E946" t="s">
        <v>3636</v>
      </c>
      <c r="F946" t="s">
        <v>3608</v>
      </c>
      <c r="G946" s="1">
        <v>2509259.34</v>
      </c>
    </row>
    <row r="947" spans="1:7">
      <c r="A947" t="s">
        <v>1042</v>
      </c>
      <c r="B947" s="6">
        <v>45879</v>
      </c>
      <c r="C947" s="6" t="str">
        <f>TEXT(Table3[[#This Row],[transaction_date]], "yyyy-mm")</f>
        <v>2025-08</v>
      </c>
      <c r="D947" t="s">
        <v>89</v>
      </c>
      <c r="E947" t="s">
        <v>3636</v>
      </c>
      <c r="F947" t="s">
        <v>3607</v>
      </c>
      <c r="G947" s="1">
        <v>480600.13</v>
      </c>
    </row>
    <row r="948" spans="1:7">
      <c r="A948" t="s">
        <v>1043</v>
      </c>
      <c r="B948" s="6">
        <v>45849</v>
      </c>
      <c r="C948" s="6" t="str">
        <f>TEXT(Table3[[#This Row],[transaction_date]], "yyyy-mm")</f>
        <v>2025-07</v>
      </c>
      <c r="D948" t="s">
        <v>73</v>
      </c>
      <c r="E948" t="s">
        <v>3637</v>
      </c>
      <c r="F948" t="s">
        <v>3619</v>
      </c>
      <c r="G948" s="1">
        <v>3636953.26</v>
      </c>
    </row>
    <row r="949" spans="1:7">
      <c r="A949" t="s">
        <v>1044</v>
      </c>
      <c r="B949" s="6">
        <v>45930</v>
      </c>
      <c r="C949" s="6" t="str">
        <f>TEXT(Table3[[#This Row],[transaction_date]], "yyyy-mm")</f>
        <v>2025-09</v>
      </c>
      <c r="D949" t="s">
        <v>3597</v>
      </c>
      <c r="E949" t="s">
        <v>3637</v>
      </c>
      <c r="F949" t="s">
        <v>3619</v>
      </c>
      <c r="G949" s="1">
        <v>4659194.59</v>
      </c>
    </row>
    <row r="950" spans="1:7">
      <c r="A950" t="s">
        <v>1045</v>
      </c>
      <c r="B950" s="6">
        <v>45947</v>
      </c>
      <c r="C950" s="6" t="str">
        <f>TEXT(Table3[[#This Row],[transaction_date]], "yyyy-mm")</f>
        <v>2025-10</v>
      </c>
      <c r="D950" t="s">
        <v>89</v>
      </c>
      <c r="E950" t="s">
        <v>3636</v>
      </c>
      <c r="F950" t="s">
        <v>3613</v>
      </c>
      <c r="G950" s="1">
        <v>62550.21</v>
      </c>
    </row>
    <row r="951" spans="1:7">
      <c r="A951" t="s">
        <v>1046</v>
      </c>
      <c r="B951" s="6">
        <v>45988</v>
      </c>
      <c r="C951" s="6" t="str">
        <f>TEXT(Table3[[#This Row],[transaction_date]], "yyyy-mm")</f>
        <v>2025-11</v>
      </c>
      <c r="D951" t="s">
        <v>75</v>
      </c>
      <c r="E951" t="s">
        <v>3636</v>
      </c>
      <c r="F951" t="s">
        <v>3608</v>
      </c>
      <c r="G951" s="1">
        <v>9873463.2599999998</v>
      </c>
    </row>
    <row r="952" spans="1:7">
      <c r="A952" t="s">
        <v>1047</v>
      </c>
      <c r="B952" s="6">
        <v>45811</v>
      </c>
      <c r="C952" s="6" t="str">
        <f>TEXT(Table3[[#This Row],[transaction_date]], "yyyy-mm")</f>
        <v>2025-06</v>
      </c>
      <c r="D952" t="s">
        <v>3597</v>
      </c>
      <c r="E952" t="s">
        <v>3637</v>
      </c>
      <c r="F952" t="s">
        <v>3614</v>
      </c>
      <c r="G952" s="1">
        <v>8088658.9100000001</v>
      </c>
    </row>
    <row r="953" spans="1:7">
      <c r="A953" t="s">
        <v>1048</v>
      </c>
      <c r="B953" s="6">
        <v>45872</v>
      </c>
      <c r="C953" s="6" t="str">
        <f>TEXT(Table3[[#This Row],[transaction_date]], "yyyy-mm")</f>
        <v>2025-08</v>
      </c>
      <c r="D953" t="s">
        <v>79</v>
      </c>
      <c r="E953" t="s">
        <v>3637</v>
      </c>
      <c r="F953" t="s">
        <v>3617</v>
      </c>
      <c r="G953" s="1">
        <v>1270465.53</v>
      </c>
    </row>
    <row r="954" spans="1:7">
      <c r="A954" t="s">
        <v>1049</v>
      </c>
      <c r="B954" s="6">
        <v>45819</v>
      </c>
      <c r="C954" s="6" t="str">
        <f>TEXT(Table3[[#This Row],[transaction_date]], "yyyy-mm")</f>
        <v>2025-06</v>
      </c>
      <c r="D954" t="s">
        <v>82</v>
      </c>
      <c r="E954" t="s">
        <v>3637</v>
      </c>
      <c r="F954" t="s">
        <v>3618</v>
      </c>
      <c r="G954" s="1">
        <v>7139526.4100000001</v>
      </c>
    </row>
    <row r="955" spans="1:7">
      <c r="A955" t="s">
        <v>1050</v>
      </c>
      <c r="B955" s="6">
        <v>45863</v>
      </c>
      <c r="C955" s="6" t="str">
        <f>TEXT(Table3[[#This Row],[transaction_date]], "yyyy-mm")</f>
        <v>2025-07</v>
      </c>
      <c r="D955" t="s">
        <v>74</v>
      </c>
      <c r="E955" t="s">
        <v>3636</v>
      </c>
      <c r="F955" t="s">
        <v>3606</v>
      </c>
      <c r="G955" s="1">
        <v>456612.68</v>
      </c>
    </row>
    <row r="956" spans="1:7">
      <c r="A956" t="s">
        <v>1051</v>
      </c>
      <c r="B956" s="6">
        <v>45727</v>
      </c>
      <c r="C956" s="6" t="str">
        <f>TEXT(Table3[[#This Row],[transaction_date]], "yyyy-mm")</f>
        <v>2025-03</v>
      </c>
      <c r="D956" t="s">
        <v>84</v>
      </c>
      <c r="E956" t="s">
        <v>3637</v>
      </c>
      <c r="F956" t="s">
        <v>3615</v>
      </c>
      <c r="G956" s="1">
        <v>2708430.85</v>
      </c>
    </row>
    <row r="957" spans="1:7">
      <c r="A957" t="s">
        <v>1052</v>
      </c>
      <c r="B957" s="6">
        <v>45703</v>
      </c>
      <c r="C957" s="6" t="str">
        <f>TEXT(Table3[[#This Row],[transaction_date]], "yyyy-mm")</f>
        <v>2025-02</v>
      </c>
      <c r="D957" t="s">
        <v>90</v>
      </c>
      <c r="E957" t="s">
        <v>3637</v>
      </c>
      <c r="F957" t="s">
        <v>3622</v>
      </c>
      <c r="G957" s="1">
        <v>7004964.2800000003</v>
      </c>
    </row>
    <row r="958" spans="1:7">
      <c r="A958" t="s">
        <v>1053</v>
      </c>
      <c r="B958" s="6">
        <v>45686</v>
      </c>
      <c r="C958" s="6" t="str">
        <f>TEXT(Table3[[#This Row],[transaction_date]], "yyyy-mm")</f>
        <v>2025-01</v>
      </c>
      <c r="D958" t="s">
        <v>82</v>
      </c>
      <c r="E958" t="s">
        <v>3637</v>
      </c>
      <c r="F958" t="s">
        <v>3616</v>
      </c>
      <c r="G958" s="1">
        <v>11827520.960000001</v>
      </c>
    </row>
    <row r="959" spans="1:7">
      <c r="A959" t="s">
        <v>1054</v>
      </c>
      <c r="B959" s="6">
        <v>45940</v>
      </c>
      <c r="C959" s="6" t="str">
        <f>TEXT(Table3[[#This Row],[transaction_date]], "yyyy-mm")</f>
        <v>2025-10</v>
      </c>
      <c r="D959" t="s">
        <v>82</v>
      </c>
      <c r="E959" t="s">
        <v>3636</v>
      </c>
      <c r="F959" t="s">
        <v>3606</v>
      </c>
      <c r="G959" s="1">
        <v>1655998.01</v>
      </c>
    </row>
    <row r="960" spans="1:7">
      <c r="A960" t="s">
        <v>1055</v>
      </c>
      <c r="B960" s="6">
        <v>45706</v>
      </c>
      <c r="C960" s="6" t="str">
        <f>TEXT(Table3[[#This Row],[transaction_date]], "yyyy-mm")</f>
        <v>2025-02</v>
      </c>
      <c r="D960" t="s">
        <v>80</v>
      </c>
      <c r="E960" t="s">
        <v>3637</v>
      </c>
      <c r="F960" t="s">
        <v>3620</v>
      </c>
      <c r="G960" s="1">
        <v>1939654.91</v>
      </c>
    </row>
    <row r="961" spans="1:7">
      <c r="A961" t="s">
        <v>1056</v>
      </c>
      <c r="B961" s="6">
        <v>45850</v>
      </c>
      <c r="C961" s="6" t="str">
        <f>TEXT(Table3[[#This Row],[transaction_date]], "yyyy-mm")</f>
        <v>2025-07</v>
      </c>
      <c r="D961" t="s">
        <v>73</v>
      </c>
      <c r="E961" t="s">
        <v>3636</v>
      </c>
      <c r="F961" t="s">
        <v>3613</v>
      </c>
      <c r="G961" s="1">
        <v>595021.30000000005</v>
      </c>
    </row>
    <row r="962" spans="1:7">
      <c r="A962" t="s">
        <v>1057</v>
      </c>
      <c r="B962" s="6">
        <v>45763</v>
      </c>
      <c r="C962" s="6" t="str">
        <f>TEXT(Table3[[#This Row],[transaction_date]], "yyyy-mm")</f>
        <v>2025-04</v>
      </c>
      <c r="D962" t="s">
        <v>85</v>
      </c>
      <c r="E962" t="s">
        <v>3636</v>
      </c>
      <c r="F962" t="s">
        <v>3606</v>
      </c>
      <c r="G962" s="1">
        <v>1302734.21</v>
      </c>
    </row>
    <row r="963" spans="1:7">
      <c r="A963" t="s">
        <v>1058</v>
      </c>
      <c r="B963" s="6">
        <v>45722</v>
      </c>
      <c r="C963" s="6" t="str">
        <f>TEXT(Table3[[#This Row],[transaction_date]], "yyyy-mm")</f>
        <v>2025-03</v>
      </c>
      <c r="D963" t="s">
        <v>73</v>
      </c>
      <c r="E963" t="s">
        <v>3637</v>
      </c>
      <c r="F963" t="s">
        <v>3622</v>
      </c>
      <c r="G963" s="1">
        <v>2446879.4700000002</v>
      </c>
    </row>
    <row r="964" spans="1:7">
      <c r="A964" t="s">
        <v>1059</v>
      </c>
      <c r="B964" s="6">
        <v>45970</v>
      </c>
      <c r="C964" s="6" t="str">
        <f>TEXT(Table3[[#This Row],[transaction_date]], "yyyy-mm")</f>
        <v>2025-11</v>
      </c>
      <c r="D964" t="s">
        <v>73</v>
      </c>
      <c r="E964" t="s">
        <v>3636</v>
      </c>
      <c r="F964" t="s">
        <v>3609</v>
      </c>
      <c r="G964" s="1">
        <v>14260524.890000001</v>
      </c>
    </row>
    <row r="965" spans="1:7">
      <c r="A965" t="s">
        <v>1060</v>
      </c>
      <c r="B965" s="6">
        <v>45788</v>
      </c>
      <c r="C965" s="6" t="str">
        <f>TEXT(Table3[[#This Row],[transaction_date]], "yyyy-mm")</f>
        <v>2025-05</v>
      </c>
      <c r="D965" t="s">
        <v>93</v>
      </c>
      <c r="E965" t="s">
        <v>3637</v>
      </c>
      <c r="F965" t="s">
        <v>3623</v>
      </c>
      <c r="G965" s="1">
        <v>15093573.050000001</v>
      </c>
    </row>
    <row r="966" spans="1:7">
      <c r="A966" t="s">
        <v>1061</v>
      </c>
      <c r="B966" s="6">
        <v>45764</v>
      </c>
      <c r="C966" s="6" t="str">
        <f>TEXT(Table3[[#This Row],[transaction_date]], "yyyy-mm")</f>
        <v>2025-04</v>
      </c>
      <c r="D966" t="s">
        <v>90</v>
      </c>
      <c r="E966" t="s">
        <v>3637</v>
      </c>
      <c r="F966" t="s">
        <v>3619</v>
      </c>
      <c r="G966" s="1">
        <v>2784260.05</v>
      </c>
    </row>
    <row r="967" spans="1:7">
      <c r="A967" t="s">
        <v>1062</v>
      </c>
      <c r="B967" s="6">
        <v>45704</v>
      </c>
      <c r="C967" s="6" t="str">
        <f>TEXT(Table3[[#This Row],[transaction_date]], "yyyy-mm")</f>
        <v>2025-02</v>
      </c>
      <c r="D967" t="s">
        <v>75</v>
      </c>
      <c r="E967" t="s">
        <v>3636</v>
      </c>
      <c r="F967" t="s">
        <v>3605</v>
      </c>
      <c r="G967" s="1">
        <v>12880742.550000001</v>
      </c>
    </row>
    <row r="968" spans="1:7">
      <c r="A968" t="s">
        <v>1063</v>
      </c>
      <c r="B968" s="6">
        <v>45928</v>
      </c>
      <c r="C968" s="6" t="str">
        <f>TEXT(Table3[[#This Row],[transaction_date]], "yyyy-mm")</f>
        <v>2025-09</v>
      </c>
      <c r="D968" t="s">
        <v>82</v>
      </c>
      <c r="E968" t="s">
        <v>3636</v>
      </c>
      <c r="F968" t="s">
        <v>3611</v>
      </c>
      <c r="G968" s="1">
        <v>9099891.3599999994</v>
      </c>
    </row>
    <row r="969" spans="1:7">
      <c r="A969" t="s">
        <v>1064</v>
      </c>
      <c r="B969" s="6">
        <v>45741</v>
      </c>
      <c r="C969" s="6" t="str">
        <f>TEXT(Table3[[#This Row],[transaction_date]], "yyyy-mm")</f>
        <v>2025-03</v>
      </c>
      <c r="D969" t="s">
        <v>93</v>
      </c>
      <c r="E969" t="s">
        <v>3636</v>
      </c>
      <c r="F969" t="s">
        <v>3607</v>
      </c>
      <c r="G969" s="1">
        <v>8441040.6099999994</v>
      </c>
    </row>
    <row r="970" spans="1:7">
      <c r="A970" t="s">
        <v>1065</v>
      </c>
      <c r="B970" s="6">
        <v>45699</v>
      </c>
      <c r="C970" s="6" t="str">
        <f>TEXT(Table3[[#This Row],[transaction_date]], "yyyy-mm")</f>
        <v>2025-02</v>
      </c>
      <c r="D970" t="s">
        <v>85</v>
      </c>
      <c r="E970" t="s">
        <v>3636</v>
      </c>
      <c r="F970" t="s">
        <v>3612</v>
      </c>
      <c r="G970" s="1">
        <v>229012.06</v>
      </c>
    </row>
    <row r="971" spans="1:7">
      <c r="A971" t="s">
        <v>1066</v>
      </c>
      <c r="B971" s="6">
        <v>45716</v>
      </c>
      <c r="C971" s="6" t="str">
        <f>TEXT(Table3[[#This Row],[transaction_date]], "yyyy-mm")</f>
        <v>2025-02</v>
      </c>
      <c r="D971" t="s">
        <v>82</v>
      </c>
      <c r="E971" t="s">
        <v>3637</v>
      </c>
      <c r="F971" t="s">
        <v>3623</v>
      </c>
      <c r="G971" s="1">
        <v>3998703.4</v>
      </c>
    </row>
    <row r="972" spans="1:7">
      <c r="A972" t="s">
        <v>1067</v>
      </c>
      <c r="B972" s="6">
        <v>45976</v>
      </c>
      <c r="C972" s="6" t="str">
        <f>TEXT(Table3[[#This Row],[transaction_date]], "yyyy-mm")</f>
        <v>2025-11</v>
      </c>
      <c r="D972" t="s">
        <v>78</v>
      </c>
      <c r="E972" t="s">
        <v>3637</v>
      </c>
      <c r="F972" t="s">
        <v>3622</v>
      </c>
      <c r="G972" s="1">
        <v>1370732.85</v>
      </c>
    </row>
    <row r="973" spans="1:7">
      <c r="A973" t="s">
        <v>1068</v>
      </c>
      <c r="B973" s="6">
        <v>45732</v>
      </c>
      <c r="C973" s="6" t="str">
        <f>TEXT(Table3[[#This Row],[transaction_date]], "yyyy-mm")</f>
        <v>2025-03</v>
      </c>
      <c r="D973" t="s">
        <v>3597</v>
      </c>
      <c r="E973" t="s">
        <v>3637</v>
      </c>
      <c r="F973" t="s">
        <v>3620</v>
      </c>
      <c r="G973" s="1">
        <v>3414613.16</v>
      </c>
    </row>
    <row r="974" spans="1:7">
      <c r="A974" t="s">
        <v>1069</v>
      </c>
      <c r="B974" s="6">
        <v>45937</v>
      </c>
      <c r="C974" s="6" t="str">
        <f>TEXT(Table3[[#This Row],[transaction_date]], "yyyy-mm")</f>
        <v>2025-10</v>
      </c>
      <c r="D974" t="s">
        <v>80</v>
      </c>
      <c r="E974" t="s">
        <v>3637</v>
      </c>
      <c r="F974" t="s">
        <v>3623</v>
      </c>
      <c r="G974" s="1">
        <v>845978.09</v>
      </c>
    </row>
    <row r="975" spans="1:7">
      <c r="A975" t="s">
        <v>1070</v>
      </c>
      <c r="B975" s="6">
        <v>45888</v>
      </c>
      <c r="C975" s="6" t="str">
        <f>TEXT(Table3[[#This Row],[transaction_date]], "yyyy-mm")</f>
        <v>2025-08</v>
      </c>
      <c r="D975" t="s">
        <v>77</v>
      </c>
      <c r="E975" t="s">
        <v>3637</v>
      </c>
      <c r="F975" t="s">
        <v>3615</v>
      </c>
      <c r="G975" s="1">
        <v>8784365.1099999994</v>
      </c>
    </row>
    <row r="976" spans="1:7">
      <c r="A976" t="s">
        <v>1071</v>
      </c>
      <c r="B976" s="6">
        <v>45863</v>
      </c>
      <c r="C976" s="6" t="str">
        <f>TEXT(Table3[[#This Row],[transaction_date]], "yyyy-mm")</f>
        <v>2025-07</v>
      </c>
      <c r="D976" t="s">
        <v>76</v>
      </c>
      <c r="E976" t="s">
        <v>3636</v>
      </c>
      <c r="F976" t="s">
        <v>3613</v>
      </c>
      <c r="G976" s="1">
        <v>417719.27</v>
      </c>
    </row>
    <row r="977" spans="1:7">
      <c r="A977" t="s">
        <v>1072</v>
      </c>
      <c r="B977" s="6">
        <v>45988</v>
      </c>
      <c r="C977" s="6" t="str">
        <f>TEXT(Table3[[#This Row],[transaction_date]], "yyyy-mm")</f>
        <v>2025-11</v>
      </c>
      <c r="D977" t="s">
        <v>84</v>
      </c>
      <c r="E977" t="s">
        <v>3637</v>
      </c>
      <c r="F977" t="s">
        <v>3616</v>
      </c>
      <c r="G977" s="1">
        <v>8978346.6500000004</v>
      </c>
    </row>
    <row r="978" spans="1:7">
      <c r="A978" t="s">
        <v>1073</v>
      </c>
      <c r="B978" s="6">
        <v>45845</v>
      </c>
      <c r="C978" s="6" t="str">
        <f>TEXT(Table3[[#This Row],[transaction_date]], "yyyy-mm")</f>
        <v>2025-07</v>
      </c>
      <c r="D978" t="s">
        <v>73</v>
      </c>
      <c r="E978" t="s">
        <v>3636</v>
      </c>
      <c r="F978" t="s">
        <v>3607</v>
      </c>
      <c r="G978" s="1">
        <v>61768.32</v>
      </c>
    </row>
    <row r="979" spans="1:7">
      <c r="A979" t="s">
        <v>1074</v>
      </c>
      <c r="B979" s="6">
        <v>45685</v>
      </c>
      <c r="C979" s="6" t="str">
        <f>TEXT(Table3[[#This Row],[transaction_date]], "yyyy-mm")</f>
        <v>2025-01</v>
      </c>
      <c r="D979" t="s">
        <v>82</v>
      </c>
      <c r="E979" t="s">
        <v>3637</v>
      </c>
      <c r="F979" t="s">
        <v>3616</v>
      </c>
      <c r="G979" s="1">
        <v>7842660.9000000004</v>
      </c>
    </row>
    <row r="980" spans="1:7">
      <c r="A980" t="s">
        <v>1075</v>
      </c>
      <c r="B980" s="6">
        <v>45911</v>
      </c>
      <c r="C980" s="6" t="str">
        <f>TEXT(Table3[[#This Row],[transaction_date]], "yyyy-mm")</f>
        <v>2025-09</v>
      </c>
      <c r="D980" t="s">
        <v>80</v>
      </c>
      <c r="E980" t="s">
        <v>3636</v>
      </c>
      <c r="F980" t="s">
        <v>3610</v>
      </c>
      <c r="G980" s="1">
        <v>985911.87</v>
      </c>
    </row>
    <row r="981" spans="1:7">
      <c r="A981" t="s">
        <v>1076</v>
      </c>
      <c r="B981" s="6">
        <v>45923</v>
      </c>
      <c r="C981" s="6" t="str">
        <f>TEXT(Table3[[#This Row],[transaction_date]], "yyyy-mm")</f>
        <v>2025-09</v>
      </c>
      <c r="D981" t="s">
        <v>75</v>
      </c>
      <c r="E981" t="s">
        <v>3636</v>
      </c>
      <c r="F981" t="s">
        <v>3604</v>
      </c>
      <c r="G981" s="1">
        <v>22376682.510000002</v>
      </c>
    </row>
    <row r="982" spans="1:7">
      <c r="A982" t="s">
        <v>1077</v>
      </c>
      <c r="B982" s="6">
        <v>45919</v>
      </c>
      <c r="C982" s="6" t="str">
        <f>TEXT(Table3[[#This Row],[transaction_date]], "yyyy-mm")</f>
        <v>2025-09</v>
      </c>
      <c r="D982" t="s">
        <v>93</v>
      </c>
      <c r="E982" t="s">
        <v>3637</v>
      </c>
      <c r="F982" t="s">
        <v>3621</v>
      </c>
      <c r="G982" s="1">
        <v>5606053.8099999996</v>
      </c>
    </row>
    <row r="983" spans="1:7">
      <c r="A983" t="s">
        <v>1078</v>
      </c>
      <c r="B983" s="6">
        <v>45722</v>
      </c>
      <c r="C983" s="6" t="str">
        <f>TEXT(Table3[[#This Row],[transaction_date]], "yyyy-mm")</f>
        <v>2025-03</v>
      </c>
      <c r="D983" t="s">
        <v>74</v>
      </c>
      <c r="E983" t="s">
        <v>3636</v>
      </c>
      <c r="F983" t="s">
        <v>3612</v>
      </c>
      <c r="G983" s="1">
        <v>244959.85</v>
      </c>
    </row>
    <row r="984" spans="1:7">
      <c r="A984" t="s">
        <v>1079</v>
      </c>
      <c r="B984" s="6">
        <v>45954</v>
      </c>
      <c r="C984" s="6" t="str">
        <f>TEXT(Table3[[#This Row],[transaction_date]], "yyyy-mm")</f>
        <v>2025-10</v>
      </c>
      <c r="D984" t="s">
        <v>73</v>
      </c>
      <c r="E984" t="s">
        <v>3636</v>
      </c>
      <c r="F984" t="s">
        <v>3609</v>
      </c>
      <c r="G984" s="1">
        <v>11955886.74</v>
      </c>
    </row>
    <row r="985" spans="1:7">
      <c r="A985" t="s">
        <v>1080</v>
      </c>
      <c r="B985" s="6">
        <v>46004</v>
      </c>
      <c r="C985" s="6" t="str">
        <f>TEXT(Table3[[#This Row],[transaction_date]], "yyyy-mm")</f>
        <v>2025-12</v>
      </c>
      <c r="D985" t="s">
        <v>78</v>
      </c>
      <c r="E985" t="s">
        <v>3636</v>
      </c>
      <c r="F985" t="s">
        <v>3609</v>
      </c>
      <c r="G985" s="1">
        <v>434474.93</v>
      </c>
    </row>
    <row r="986" spans="1:7">
      <c r="A986" t="s">
        <v>1081</v>
      </c>
      <c r="B986" s="6">
        <v>45739</v>
      </c>
      <c r="C986" s="6" t="str">
        <f>TEXT(Table3[[#This Row],[transaction_date]], "yyyy-mm")</f>
        <v>2025-03</v>
      </c>
      <c r="D986" t="s">
        <v>85</v>
      </c>
      <c r="E986" t="s">
        <v>3636</v>
      </c>
      <c r="F986" t="s">
        <v>3604</v>
      </c>
      <c r="G986" s="1">
        <v>1720421.5</v>
      </c>
    </row>
    <row r="987" spans="1:7">
      <c r="A987" t="s">
        <v>1082</v>
      </c>
      <c r="B987" s="6">
        <v>45862</v>
      </c>
      <c r="C987" s="6" t="str">
        <f>TEXT(Table3[[#This Row],[transaction_date]], "yyyy-mm")</f>
        <v>2025-07</v>
      </c>
      <c r="D987" t="s">
        <v>89</v>
      </c>
      <c r="E987" t="s">
        <v>3637</v>
      </c>
      <c r="F987" t="s">
        <v>3623</v>
      </c>
      <c r="G987" s="1">
        <v>946601</v>
      </c>
    </row>
    <row r="988" spans="1:7">
      <c r="A988" t="s">
        <v>1083</v>
      </c>
      <c r="B988" s="6">
        <v>45973</v>
      </c>
      <c r="C988" s="6" t="str">
        <f>TEXT(Table3[[#This Row],[transaction_date]], "yyyy-mm")</f>
        <v>2025-11</v>
      </c>
      <c r="D988" t="s">
        <v>73</v>
      </c>
      <c r="E988" t="s">
        <v>3636</v>
      </c>
      <c r="F988" t="s">
        <v>3611</v>
      </c>
      <c r="G988" s="1">
        <v>146779.67000000001</v>
      </c>
    </row>
    <row r="989" spans="1:7">
      <c r="A989" t="s">
        <v>1084</v>
      </c>
      <c r="B989" s="6">
        <v>45860</v>
      </c>
      <c r="C989" s="6" t="str">
        <f>TEXT(Table3[[#This Row],[transaction_date]], "yyyy-mm")</f>
        <v>2025-07</v>
      </c>
      <c r="D989" t="s">
        <v>90</v>
      </c>
      <c r="E989" t="s">
        <v>3637</v>
      </c>
      <c r="F989" t="s">
        <v>3623</v>
      </c>
      <c r="G989" s="1">
        <v>21002603.920000002</v>
      </c>
    </row>
    <row r="990" spans="1:7">
      <c r="A990" t="s">
        <v>1085</v>
      </c>
      <c r="B990" s="6">
        <v>45833</v>
      </c>
      <c r="C990" s="6" t="str">
        <f>TEXT(Table3[[#This Row],[transaction_date]], "yyyy-mm")</f>
        <v>2025-06</v>
      </c>
      <c r="D990" t="s">
        <v>73</v>
      </c>
      <c r="E990" t="s">
        <v>3636</v>
      </c>
      <c r="F990" t="s">
        <v>3613</v>
      </c>
      <c r="G990" s="1">
        <v>3819915.64</v>
      </c>
    </row>
    <row r="991" spans="1:7">
      <c r="A991" t="s">
        <v>1086</v>
      </c>
      <c r="B991" s="6">
        <v>45986</v>
      </c>
      <c r="C991" s="6" t="str">
        <f>TEXT(Table3[[#This Row],[transaction_date]], "yyyy-mm")</f>
        <v>2025-11</v>
      </c>
      <c r="D991" t="s">
        <v>73</v>
      </c>
      <c r="E991" t="s">
        <v>3636</v>
      </c>
      <c r="F991" t="s">
        <v>3605</v>
      </c>
      <c r="G991" s="1">
        <v>1264133.76</v>
      </c>
    </row>
    <row r="992" spans="1:7">
      <c r="A992" t="s">
        <v>1087</v>
      </c>
      <c r="B992" s="6">
        <v>45798</v>
      </c>
      <c r="C992" s="6" t="str">
        <f>TEXT(Table3[[#This Row],[transaction_date]], "yyyy-mm")</f>
        <v>2025-05</v>
      </c>
      <c r="D992" t="s">
        <v>79</v>
      </c>
      <c r="E992" t="s">
        <v>3636</v>
      </c>
      <c r="F992" t="s">
        <v>3613</v>
      </c>
      <c r="G992" s="1">
        <v>1104945.3500000001</v>
      </c>
    </row>
    <row r="993" spans="1:7">
      <c r="A993" t="s">
        <v>1088</v>
      </c>
      <c r="B993" s="6">
        <v>45804</v>
      </c>
      <c r="C993" s="6" t="str">
        <f>TEXT(Table3[[#This Row],[transaction_date]], "yyyy-mm")</f>
        <v>2025-05</v>
      </c>
      <c r="D993" t="s">
        <v>95</v>
      </c>
      <c r="E993" t="s">
        <v>3636</v>
      </c>
      <c r="F993" t="s">
        <v>3610</v>
      </c>
      <c r="G993" s="1">
        <v>345217.39</v>
      </c>
    </row>
    <row r="994" spans="1:7">
      <c r="A994" t="s">
        <v>1089</v>
      </c>
      <c r="B994" s="6">
        <v>45895</v>
      </c>
      <c r="C994" s="6" t="str">
        <f>TEXT(Table3[[#This Row],[transaction_date]], "yyyy-mm")</f>
        <v>2025-08</v>
      </c>
      <c r="D994" t="s">
        <v>82</v>
      </c>
      <c r="E994" t="s">
        <v>3637</v>
      </c>
      <c r="F994" t="s">
        <v>3618</v>
      </c>
      <c r="G994" s="1">
        <v>2195150.91</v>
      </c>
    </row>
    <row r="995" spans="1:7">
      <c r="A995" t="s">
        <v>1090</v>
      </c>
      <c r="B995" s="6">
        <v>46008</v>
      </c>
      <c r="C995" s="6" t="str">
        <f>TEXT(Table3[[#This Row],[transaction_date]], "yyyy-mm")</f>
        <v>2025-12</v>
      </c>
      <c r="D995" t="s">
        <v>79</v>
      </c>
      <c r="E995" t="s">
        <v>3637</v>
      </c>
      <c r="F995" t="s">
        <v>3614</v>
      </c>
      <c r="G995" s="1">
        <v>668736.41</v>
      </c>
    </row>
    <row r="996" spans="1:7">
      <c r="A996" t="s">
        <v>1091</v>
      </c>
      <c r="B996" s="6">
        <v>45887</v>
      </c>
      <c r="C996" s="6" t="str">
        <f>TEXT(Table3[[#This Row],[transaction_date]], "yyyy-mm")</f>
        <v>2025-08</v>
      </c>
      <c r="D996" t="s">
        <v>82</v>
      </c>
      <c r="E996" t="s">
        <v>3637</v>
      </c>
      <c r="F996" t="s">
        <v>3620</v>
      </c>
      <c r="G996" s="1">
        <v>1553143.29</v>
      </c>
    </row>
    <row r="997" spans="1:7">
      <c r="A997" t="s">
        <v>1092</v>
      </c>
      <c r="B997" s="6">
        <v>45897</v>
      </c>
      <c r="C997" s="6" t="str">
        <f>TEXT(Table3[[#This Row],[transaction_date]], "yyyy-mm")</f>
        <v>2025-08</v>
      </c>
      <c r="D997" t="s">
        <v>75</v>
      </c>
      <c r="E997" t="s">
        <v>3637</v>
      </c>
      <c r="F997" t="s">
        <v>3622</v>
      </c>
      <c r="G997" s="1">
        <v>13594625.65</v>
      </c>
    </row>
    <row r="998" spans="1:7">
      <c r="A998" t="s">
        <v>1093</v>
      </c>
      <c r="B998" s="6">
        <v>45897</v>
      </c>
      <c r="C998" s="6" t="str">
        <f>TEXT(Table3[[#This Row],[transaction_date]], "yyyy-mm")</f>
        <v>2025-08</v>
      </c>
      <c r="D998" t="s">
        <v>79</v>
      </c>
      <c r="E998" t="s">
        <v>3636</v>
      </c>
      <c r="F998" t="s">
        <v>3611</v>
      </c>
      <c r="G998" s="1">
        <v>1672815.95</v>
      </c>
    </row>
    <row r="999" spans="1:7">
      <c r="A999" t="s">
        <v>1094</v>
      </c>
      <c r="B999" s="6">
        <v>45773</v>
      </c>
      <c r="C999" s="6" t="str">
        <f>TEXT(Table3[[#This Row],[transaction_date]], "yyyy-mm")</f>
        <v>2025-04</v>
      </c>
      <c r="D999" t="s">
        <v>95</v>
      </c>
      <c r="E999" t="s">
        <v>3637</v>
      </c>
      <c r="F999" t="s">
        <v>3623</v>
      </c>
      <c r="G999" s="1">
        <v>13501025.67</v>
      </c>
    </row>
    <row r="1000" spans="1:7">
      <c r="A1000" t="s">
        <v>1095</v>
      </c>
      <c r="B1000" s="6">
        <v>45858</v>
      </c>
      <c r="C1000" s="6" t="str">
        <f>TEXT(Table3[[#This Row],[transaction_date]], "yyyy-mm")</f>
        <v>2025-07</v>
      </c>
      <c r="D1000" t="s">
        <v>73</v>
      </c>
      <c r="E1000" t="s">
        <v>3636</v>
      </c>
      <c r="F1000" t="s">
        <v>3604</v>
      </c>
      <c r="G1000" s="1">
        <v>406306.56</v>
      </c>
    </row>
    <row r="1001" spans="1:7">
      <c r="A1001" t="s">
        <v>1096</v>
      </c>
      <c r="B1001" s="6">
        <v>45896</v>
      </c>
      <c r="C1001" s="6" t="str">
        <f>TEXT(Table3[[#This Row],[transaction_date]], "yyyy-mm")</f>
        <v>2025-08</v>
      </c>
      <c r="D1001" t="s">
        <v>82</v>
      </c>
      <c r="E1001" t="s">
        <v>3637</v>
      </c>
      <c r="F1001" t="s">
        <v>3620</v>
      </c>
      <c r="G1001" s="1">
        <v>7053400.1500000004</v>
      </c>
    </row>
    <row r="1002" spans="1:7">
      <c r="A1002" t="s">
        <v>1097</v>
      </c>
      <c r="B1002" s="6">
        <v>45786</v>
      </c>
      <c r="C1002" s="6" t="str">
        <f>TEXT(Table3[[#This Row],[transaction_date]], "yyyy-mm")</f>
        <v>2025-05</v>
      </c>
      <c r="D1002" t="s">
        <v>85</v>
      </c>
      <c r="E1002" t="s">
        <v>3636</v>
      </c>
      <c r="F1002" t="s">
        <v>3607</v>
      </c>
      <c r="G1002" s="1">
        <v>586395.24</v>
      </c>
    </row>
    <row r="1003" spans="1:7">
      <c r="A1003" t="s">
        <v>1098</v>
      </c>
      <c r="B1003" s="6">
        <v>45785</v>
      </c>
      <c r="C1003" s="6" t="str">
        <f>TEXT(Table3[[#This Row],[transaction_date]], "yyyy-mm")</f>
        <v>2025-05</v>
      </c>
      <c r="D1003" t="s">
        <v>74</v>
      </c>
      <c r="E1003" t="s">
        <v>3637</v>
      </c>
      <c r="F1003" t="s">
        <v>3618</v>
      </c>
      <c r="G1003" s="1">
        <v>382499.15</v>
      </c>
    </row>
    <row r="1004" spans="1:7">
      <c r="A1004" t="s">
        <v>1099</v>
      </c>
      <c r="B1004" s="6">
        <v>45908</v>
      </c>
      <c r="C1004" s="6" t="str">
        <f>TEXT(Table3[[#This Row],[transaction_date]], "yyyy-mm")</f>
        <v>2025-09</v>
      </c>
      <c r="D1004" t="s">
        <v>74</v>
      </c>
      <c r="E1004" t="s">
        <v>3637</v>
      </c>
      <c r="F1004" t="s">
        <v>3618</v>
      </c>
      <c r="G1004" s="1">
        <v>284007.13</v>
      </c>
    </row>
    <row r="1005" spans="1:7">
      <c r="A1005" t="s">
        <v>1100</v>
      </c>
      <c r="B1005" s="6">
        <v>45772</v>
      </c>
      <c r="C1005" s="6" t="str">
        <f>TEXT(Table3[[#This Row],[transaction_date]], "yyyy-mm")</f>
        <v>2025-04</v>
      </c>
      <c r="D1005" t="s">
        <v>75</v>
      </c>
      <c r="E1005" t="s">
        <v>3637</v>
      </c>
      <c r="F1005" t="s">
        <v>3621</v>
      </c>
      <c r="G1005" s="1">
        <v>7600023.6299999999</v>
      </c>
    </row>
    <row r="1006" spans="1:7">
      <c r="A1006" t="s">
        <v>1101</v>
      </c>
      <c r="B1006" s="6">
        <v>45738</v>
      </c>
      <c r="C1006" s="6" t="str">
        <f>TEXT(Table3[[#This Row],[transaction_date]], "yyyy-mm")</f>
        <v>2025-03</v>
      </c>
      <c r="D1006" t="s">
        <v>89</v>
      </c>
      <c r="E1006" t="s">
        <v>3637</v>
      </c>
      <c r="F1006" t="s">
        <v>3617</v>
      </c>
      <c r="G1006" s="1">
        <v>3165357.26</v>
      </c>
    </row>
    <row r="1007" spans="1:7">
      <c r="A1007" t="s">
        <v>1102</v>
      </c>
      <c r="B1007" s="6">
        <v>45919</v>
      </c>
      <c r="C1007" s="6" t="str">
        <f>TEXT(Table3[[#This Row],[transaction_date]], "yyyy-mm")</f>
        <v>2025-09</v>
      </c>
      <c r="D1007" t="s">
        <v>3597</v>
      </c>
      <c r="E1007" t="s">
        <v>3637</v>
      </c>
      <c r="F1007" t="s">
        <v>3621</v>
      </c>
      <c r="G1007" s="1">
        <v>4501814.42</v>
      </c>
    </row>
    <row r="1008" spans="1:7">
      <c r="A1008" t="s">
        <v>1103</v>
      </c>
      <c r="B1008" s="6">
        <v>45749</v>
      </c>
      <c r="C1008" s="6" t="str">
        <f>TEXT(Table3[[#This Row],[transaction_date]], "yyyy-mm")</f>
        <v>2025-04</v>
      </c>
      <c r="D1008" t="s">
        <v>73</v>
      </c>
      <c r="E1008" t="s">
        <v>3637</v>
      </c>
      <c r="F1008" t="s">
        <v>3616</v>
      </c>
      <c r="G1008" s="1">
        <v>8224802.5899999999</v>
      </c>
    </row>
    <row r="1009" spans="1:7">
      <c r="A1009" t="s">
        <v>1104</v>
      </c>
      <c r="B1009" s="6">
        <v>45723</v>
      </c>
      <c r="C1009" s="6" t="str">
        <f>TEXT(Table3[[#This Row],[transaction_date]], "yyyy-mm")</f>
        <v>2025-03</v>
      </c>
      <c r="D1009" t="s">
        <v>75</v>
      </c>
      <c r="E1009" t="s">
        <v>3637</v>
      </c>
      <c r="F1009" t="s">
        <v>3617</v>
      </c>
      <c r="G1009" s="1">
        <v>396155.07</v>
      </c>
    </row>
    <row r="1010" spans="1:7">
      <c r="A1010" t="s">
        <v>1105</v>
      </c>
      <c r="B1010" s="6">
        <v>45938</v>
      </c>
      <c r="C1010" s="6" t="str">
        <f>TEXT(Table3[[#This Row],[transaction_date]], "yyyy-mm")</f>
        <v>2025-10</v>
      </c>
      <c r="D1010" t="s">
        <v>74</v>
      </c>
      <c r="E1010" t="s">
        <v>3636</v>
      </c>
      <c r="F1010" t="s">
        <v>3612</v>
      </c>
      <c r="G1010" s="1">
        <v>739073.76</v>
      </c>
    </row>
    <row r="1011" spans="1:7">
      <c r="A1011" t="s">
        <v>1106</v>
      </c>
      <c r="B1011" s="6">
        <v>45694</v>
      </c>
      <c r="C1011" s="6" t="str">
        <f>TEXT(Table3[[#This Row],[transaction_date]], "yyyy-mm")</f>
        <v>2025-02</v>
      </c>
      <c r="D1011" t="s">
        <v>90</v>
      </c>
      <c r="E1011" t="s">
        <v>3637</v>
      </c>
      <c r="F1011" t="s">
        <v>3623</v>
      </c>
      <c r="G1011" s="1">
        <v>2153181.4700000002</v>
      </c>
    </row>
    <row r="1012" spans="1:7">
      <c r="A1012" t="s">
        <v>1107</v>
      </c>
      <c r="B1012" s="6">
        <v>45930</v>
      </c>
      <c r="C1012" s="6" t="str">
        <f>TEXT(Table3[[#This Row],[transaction_date]], "yyyy-mm")</f>
        <v>2025-09</v>
      </c>
      <c r="D1012" t="s">
        <v>80</v>
      </c>
      <c r="E1012" t="s">
        <v>3636</v>
      </c>
      <c r="F1012" t="s">
        <v>3608</v>
      </c>
      <c r="G1012" s="1">
        <v>1585758.47</v>
      </c>
    </row>
    <row r="1013" spans="1:7">
      <c r="A1013" t="s">
        <v>1108</v>
      </c>
      <c r="B1013" s="6">
        <v>45859</v>
      </c>
      <c r="C1013" s="6" t="str">
        <f>TEXT(Table3[[#This Row],[transaction_date]], "yyyy-mm")</f>
        <v>2025-07</v>
      </c>
      <c r="D1013" t="s">
        <v>82</v>
      </c>
      <c r="E1013" t="s">
        <v>3636</v>
      </c>
      <c r="F1013" t="s">
        <v>3611</v>
      </c>
      <c r="G1013" s="1">
        <v>9971381.0500000007</v>
      </c>
    </row>
    <row r="1014" spans="1:7">
      <c r="A1014" t="s">
        <v>1109</v>
      </c>
      <c r="B1014" s="6">
        <v>45740</v>
      </c>
      <c r="C1014" s="6" t="str">
        <f>TEXT(Table3[[#This Row],[transaction_date]], "yyyy-mm")</f>
        <v>2025-03</v>
      </c>
      <c r="D1014" t="s">
        <v>77</v>
      </c>
      <c r="E1014" t="s">
        <v>3637</v>
      </c>
      <c r="F1014" t="s">
        <v>3619</v>
      </c>
      <c r="G1014" s="1">
        <v>3717920.74</v>
      </c>
    </row>
    <row r="1015" spans="1:7">
      <c r="A1015" t="s">
        <v>1110</v>
      </c>
      <c r="B1015" s="6">
        <v>45919</v>
      </c>
      <c r="C1015" s="6" t="str">
        <f>TEXT(Table3[[#This Row],[transaction_date]], "yyyy-mm")</f>
        <v>2025-09</v>
      </c>
      <c r="D1015" t="s">
        <v>74</v>
      </c>
      <c r="E1015" t="s">
        <v>3637</v>
      </c>
      <c r="F1015" t="s">
        <v>3619</v>
      </c>
      <c r="G1015" s="1">
        <v>2336999.0499999998</v>
      </c>
    </row>
    <row r="1016" spans="1:7">
      <c r="A1016" t="s">
        <v>1111</v>
      </c>
      <c r="B1016" s="6">
        <v>45673</v>
      </c>
      <c r="C1016" s="6" t="str">
        <f>TEXT(Table3[[#This Row],[transaction_date]], "yyyy-mm")</f>
        <v>2025-01</v>
      </c>
      <c r="D1016" t="s">
        <v>93</v>
      </c>
      <c r="E1016" t="s">
        <v>3636</v>
      </c>
      <c r="F1016" t="s">
        <v>3609</v>
      </c>
      <c r="G1016" s="1">
        <v>4578444.3600000003</v>
      </c>
    </row>
    <row r="1017" spans="1:7">
      <c r="A1017" t="s">
        <v>1112</v>
      </c>
      <c r="B1017" s="6">
        <v>45690</v>
      </c>
      <c r="C1017" s="6" t="str">
        <f>TEXT(Table3[[#This Row],[transaction_date]], "yyyy-mm")</f>
        <v>2025-02</v>
      </c>
      <c r="D1017" t="s">
        <v>3597</v>
      </c>
      <c r="E1017" t="s">
        <v>3636</v>
      </c>
      <c r="F1017" t="s">
        <v>3613</v>
      </c>
      <c r="G1017" s="1">
        <v>2188401.11</v>
      </c>
    </row>
    <row r="1018" spans="1:7">
      <c r="A1018" t="s">
        <v>1113</v>
      </c>
      <c r="B1018" s="6">
        <v>45869</v>
      </c>
      <c r="C1018" s="6" t="str">
        <f>TEXT(Table3[[#This Row],[transaction_date]], "yyyy-mm")</f>
        <v>2025-07</v>
      </c>
      <c r="D1018" t="s">
        <v>73</v>
      </c>
      <c r="E1018" t="s">
        <v>3637</v>
      </c>
      <c r="F1018" t="s">
        <v>3617</v>
      </c>
      <c r="G1018" s="1">
        <v>325635.33</v>
      </c>
    </row>
    <row r="1019" spans="1:7">
      <c r="A1019" t="s">
        <v>1114</v>
      </c>
      <c r="B1019" s="6">
        <v>45891</v>
      </c>
      <c r="C1019" s="6" t="str">
        <f>TEXT(Table3[[#This Row],[transaction_date]], "yyyy-mm")</f>
        <v>2025-08</v>
      </c>
      <c r="D1019" t="s">
        <v>79</v>
      </c>
      <c r="E1019" t="s">
        <v>3636</v>
      </c>
      <c r="F1019" t="s">
        <v>3612</v>
      </c>
      <c r="G1019" s="1">
        <v>689567.76</v>
      </c>
    </row>
    <row r="1020" spans="1:7">
      <c r="A1020" t="s">
        <v>1115</v>
      </c>
      <c r="B1020" s="6">
        <v>45779</v>
      </c>
      <c r="C1020" s="6" t="str">
        <f>TEXT(Table3[[#This Row],[transaction_date]], "yyyy-mm")</f>
        <v>2025-05</v>
      </c>
      <c r="D1020" t="s">
        <v>74</v>
      </c>
      <c r="E1020" t="s">
        <v>3637</v>
      </c>
      <c r="F1020" t="s">
        <v>3616</v>
      </c>
      <c r="G1020" s="1">
        <v>151556.34</v>
      </c>
    </row>
    <row r="1021" spans="1:7">
      <c r="A1021" t="s">
        <v>1116</v>
      </c>
      <c r="B1021" s="6">
        <v>45798</v>
      </c>
      <c r="C1021" s="6" t="str">
        <f>TEXT(Table3[[#This Row],[transaction_date]], "yyyy-mm")</f>
        <v>2025-05</v>
      </c>
      <c r="D1021" t="s">
        <v>76</v>
      </c>
      <c r="E1021" t="s">
        <v>3636</v>
      </c>
      <c r="F1021" t="s">
        <v>3608</v>
      </c>
      <c r="G1021" s="1">
        <v>441321.62</v>
      </c>
    </row>
    <row r="1022" spans="1:7">
      <c r="A1022" t="s">
        <v>1117</v>
      </c>
      <c r="B1022" s="6">
        <v>45735</v>
      </c>
      <c r="C1022" s="6" t="str">
        <f>TEXT(Table3[[#This Row],[transaction_date]], "yyyy-mm")</f>
        <v>2025-03</v>
      </c>
      <c r="D1022" t="s">
        <v>93</v>
      </c>
      <c r="E1022" t="s">
        <v>3637</v>
      </c>
      <c r="F1022" t="s">
        <v>3620</v>
      </c>
      <c r="G1022" s="1">
        <v>336149.75</v>
      </c>
    </row>
    <row r="1023" spans="1:7">
      <c r="A1023" t="s">
        <v>1118</v>
      </c>
      <c r="B1023" s="6">
        <v>45864</v>
      </c>
      <c r="C1023" s="6" t="str">
        <f>TEXT(Table3[[#This Row],[transaction_date]], "yyyy-mm")</f>
        <v>2025-07</v>
      </c>
      <c r="D1023" t="s">
        <v>85</v>
      </c>
      <c r="E1023" t="s">
        <v>3637</v>
      </c>
      <c r="F1023" t="s">
        <v>3614</v>
      </c>
      <c r="G1023" s="1">
        <v>2649122.34</v>
      </c>
    </row>
    <row r="1024" spans="1:7">
      <c r="A1024" t="s">
        <v>1119</v>
      </c>
      <c r="B1024" s="6">
        <v>46015</v>
      </c>
      <c r="C1024" s="6" t="str">
        <f>TEXT(Table3[[#This Row],[transaction_date]], "yyyy-mm")</f>
        <v>2025-12</v>
      </c>
      <c r="D1024" t="s">
        <v>93</v>
      </c>
      <c r="E1024" t="s">
        <v>3636</v>
      </c>
      <c r="F1024" t="s">
        <v>3609</v>
      </c>
      <c r="G1024" s="1">
        <v>6502913.6699999999</v>
      </c>
    </row>
    <row r="1025" spans="1:7">
      <c r="A1025" t="s">
        <v>1120</v>
      </c>
      <c r="B1025" s="6">
        <v>45990</v>
      </c>
      <c r="C1025" s="6" t="str">
        <f>TEXT(Table3[[#This Row],[transaction_date]], "yyyy-mm")</f>
        <v>2025-11</v>
      </c>
      <c r="D1025" t="s">
        <v>3597</v>
      </c>
      <c r="E1025" t="s">
        <v>3637</v>
      </c>
      <c r="F1025" t="s">
        <v>3623</v>
      </c>
      <c r="G1025" s="1">
        <v>1289389.05</v>
      </c>
    </row>
    <row r="1026" spans="1:7">
      <c r="A1026" t="s">
        <v>1121</v>
      </c>
      <c r="B1026" s="6">
        <v>45752</v>
      </c>
      <c r="C1026" s="6" t="str">
        <f>TEXT(Table3[[#This Row],[transaction_date]], "yyyy-mm")</f>
        <v>2025-04</v>
      </c>
      <c r="D1026" t="s">
        <v>73</v>
      </c>
      <c r="E1026" t="s">
        <v>3636</v>
      </c>
      <c r="F1026" t="s">
        <v>3609</v>
      </c>
      <c r="G1026" s="1">
        <v>15888101.789999999</v>
      </c>
    </row>
    <row r="1027" spans="1:7">
      <c r="A1027" t="s">
        <v>1122</v>
      </c>
      <c r="B1027" s="6">
        <v>45685</v>
      </c>
      <c r="C1027" s="6" t="str">
        <f>TEXT(Table3[[#This Row],[transaction_date]], "yyyy-mm")</f>
        <v>2025-01</v>
      </c>
      <c r="D1027" t="s">
        <v>78</v>
      </c>
      <c r="E1027" t="s">
        <v>3637</v>
      </c>
      <c r="F1027" t="s">
        <v>3622</v>
      </c>
      <c r="G1027" s="1">
        <v>7320638.9699999997</v>
      </c>
    </row>
    <row r="1028" spans="1:7">
      <c r="A1028" t="s">
        <v>1123</v>
      </c>
      <c r="B1028" s="6">
        <v>45984</v>
      </c>
      <c r="C1028" s="6" t="str">
        <f>TEXT(Table3[[#This Row],[transaction_date]], "yyyy-mm")</f>
        <v>2025-11</v>
      </c>
      <c r="D1028" t="s">
        <v>76</v>
      </c>
      <c r="E1028" t="s">
        <v>3636</v>
      </c>
      <c r="F1028" t="s">
        <v>3612</v>
      </c>
      <c r="G1028" s="1">
        <v>16280911.02</v>
      </c>
    </row>
    <row r="1029" spans="1:7">
      <c r="A1029" t="s">
        <v>1124</v>
      </c>
      <c r="B1029" s="6">
        <v>45778</v>
      </c>
      <c r="C1029" s="6" t="str">
        <f>TEXT(Table3[[#This Row],[transaction_date]], "yyyy-mm")</f>
        <v>2025-05</v>
      </c>
      <c r="D1029" t="s">
        <v>73</v>
      </c>
      <c r="E1029" t="s">
        <v>3636</v>
      </c>
      <c r="F1029" t="s">
        <v>3610</v>
      </c>
      <c r="G1029" s="1">
        <v>587897.68000000005</v>
      </c>
    </row>
    <row r="1030" spans="1:7">
      <c r="A1030" t="s">
        <v>1125</v>
      </c>
      <c r="B1030" s="6">
        <v>45928</v>
      </c>
      <c r="C1030" s="6" t="str">
        <f>TEXT(Table3[[#This Row],[transaction_date]], "yyyy-mm")</f>
        <v>2025-09</v>
      </c>
      <c r="D1030" t="s">
        <v>74</v>
      </c>
      <c r="E1030" t="s">
        <v>3636</v>
      </c>
      <c r="F1030" t="s">
        <v>3612</v>
      </c>
      <c r="G1030" s="1">
        <v>654697.31000000006</v>
      </c>
    </row>
    <row r="1031" spans="1:7">
      <c r="A1031" t="s">
        <v>1126</v>
      </c>
      <c r="B1031" s="6">
        <v>45855</v>
      </c>
      <c r="C1031" s="6" t="str">
        <f>TEXT(Table3[[#This Row],[transaction_date]], "yyyy-mm")</f>
        <v>2025-07</v>
      </c>
      <c r="D1031" t="s">
        <v>89</v>
      </c>
      <c r="E1031" t="s">
        <v>3636</v>
      </c>
      <c r="F1031" t="s">
        <v>3609</v>
      </c>
      <c r="G1031" s="1">
        <v>1895742.17</v>
      </c>
    </row>
    <row r="1032" spans="1:7">
      <c r="A1032" t="s">
        <v>1127</v>
      </c>
      <c r="B1032" s="6">
        <v>45977</v>
      </c>
      <c r="C1032" s="6" t="str">
        <f>TEXT(Table3[[#This Row],[transaction_date]], "yyyy-mm")</f>
        <v>2025-11</v>
      </c>
      <c r="D1032" t="s">
        <v>82</v>
      </c>
      <c r="E1032" t="s">
        <v>3636</v>
      </c>
      <c r="F1032" t="s">
        <v>3607</v>
      </c>
      <c r="G1032" s="1">
        <v>15915365.189999999</v>
      </c>
    </row>
    <row r="1033" spans="1:7">
      <c r="A1033" t="s">
        <v>1128</v>
      </c>
      <c r="B1033" s="6">
        <v>45746</v>
      </c>
      <c r="C1033" s="6" t="str">
        <f>TEXT(Table3[[#This Row],[transaction_date]], "yyyy-mm")</f>
        <v>2025-03</v>
      </c>
      <c r="D1033" t="s">
        <v>95</v>
      </c>
      <c r="E1033" t="s">
        <v>3636</v>
      </c>
      <c r="F1033" t="s">
        <v>3606</v>
      </c>
      <c r="G1033" s="1">
        <v>17357661.25</v>
      </c>
    </row>
    <row r="1034" spans="1:7">
      <c r="A1034" t="s">
        <v>1129</v>
      </c>
      <c r="B1034" s="6">
        <v>45821</v>
      </c>
      <c r="C1034" s="6" t="str">
        <f>TEXT(Table3[[#This Row],[transaction_date]], "yyyy-mm")</f>
        <v>2025-06</v>
      </c>
      <c r="D1034" t="s">
        <v>95</v>
      </c>
      <c r="E1034" t="s">
        <v>3636</v>
      </c>
      <c r="F1034" t="s">
        <v>3610</v>
      </c>
      <c r="G1034" s="1">
        <v>36440.92</v>
      </c>
    </row>
    <row r="1035" spans="1:7">
      <c r="A1035" t="s">
        <v>1130</v>
      </c>
      <c r="B1035" s="6">
        <v>45828</v>
      </c>
      <c r="C1035" s="6" t="str">
        <f>TEXT(Table3[[#This Row],[transaction_date]], "yyyy-mm")</f>
        <v>2025-06</v>
      </c>
      <c r="D1035" t="s">
        <v>73</v>
      </c>
      <c r="E1035" t="s">
        <v>3637</v>
      </c>
      <c r="F1035" t="s">
        <v>3617</v>
      </c>
      <c r="G1035" s="1">
        <v>1762168.7</v>
      </c>
    </row>
    <row r="1036" spans="1:7">
      <c r="A1036" t="s">
        <v>1131</v>
      </c>
      <c r="B1036" s="6">
        <v>45671</v>
      </c>
      <c r="C1036" s="6" t="str">
        <f>TEXT(Table3[[#This Row],[transaction_date]], "yyyy-mm")</f>
        <v>2025-01</v>
      </c>
      <c r="D1036" t="s">
        <v>79</v>
      </c>
      <c r="E1036" t="s">
        <v>3637</v>
      </c>
      <c r="F1036" t="s">
        <v>3618</v>
      </c>
      <c r="G1036" s="1">
        <v>807441.06</v>
      </c>
    </row>
    <row r="1037" spans="1:7">
      <c r="A1037" t="s">
        <v>1132</v>
      </c>
      <c r="B1037" s="6">
        <v>45685</v>
      </c>
      <c r="C1037" s="6" t="str">
        <f>TEXT(Table3[[#This Row],[transaction_date]], "yyyy-mm")</f>
        <v>2025-01</v>
      </c>
      <c r="D1037" t="s">
        <v>90</v>
      </c>
      <c r="E1037" t="s">
        <v>3637</v>
      </c>
      <c r="F1037" t="s">
        <v>3622</v>
      </c>
      <c r="G1037" s="1">
        <v>7033380.1100000003</v>
      </c>
    </row>
    <row r="1038" spans="1:7">
      <c r="A1038" t="s">
        <v>1133</v>
      </c>
      <c r="B1038" s="6">
        <v>45902</v>
      </c>
      <c r="C1038" s="6" t="str">
        <f>TEXT(Table3[[#This Row],[transaction_date]], "yyyy-mm")</f>
        <v>2025-09</v>
      </c>
      <c r="D1038" t="s">
        <v>85</v>
      </c>
      <c r="E1038" t="s">
        <v>3637</v>
      </c>
      <c r="F1038" t="s">
        <v>3619</v>
      </c>
      <c r="G1038" s="1">
        <v>1684491.76</v>
      </c>
    </row>
    <row r="1039" spans="1:7">
      <c r="A1039" t="s">
        <v>1134</v>
      </c>
      <c r="B1039" s="6">
        <v>45798</v>
      </c>
      <c r="C1039" s="6" t="str">
        <f>TEXT(Table3[[#This Row],[transaction_date]], "yyyy-mm")</f>
        <v>2025-05</v>
      </c>
      <c r="D1039" t="s">
        <v>76</v>
      </c>
      <c r="E1039" t="s">
        <v>3636</v>
      </c>
      <c r="F1039" t="s">
        <v>3609</v>
      </c>
      <c r="G1039" s="1">
        <v>10658828.4</v>
      </c>
    </row>
    <row r="1040" spans="1:7">
      <c r="A1040" t="s">
        <v>1135</v>
      </c>
      <c r="B1040" s="6">
        <v>45691</v>
      </c>
      <c r="C1040" s="6" t="str">
        <f>TEXT(Table3[[#This Row],[transaction_date]], "yyyy-mm")</f>
        <v>2025-02</v>
      </c>
      <c r="D1040" t="s">
        <v>3597</v>
      </c>
      <c r="E1040" t="s">
        <v>3636</v>
      </c>
      <c r="F1040" t="s">
        <v>3604</v>
      </c>
      <c r="G1040" s="1">
        <v>14681443.880000001</v>
      </c>
    </row>
    <row r="1041" spans="1:7">
      <c r="A1041" t="s">
        <v>1136</v>
      </c>
      <c r="B1041" s="6">
        <v>45951</v>
      </c>
      <c r="C1041" s="6" t="str">
        <f>TEXT(Table3[[#This Row],[transaction_date]], "yyyy-mm")</f>
        <v>2025-10</v>
      </c>
      <c r="D1041" t="s">
        <v>85</v>
      </c>
      <c r="E1041" t="s">
        <v>3636</v>
      </c>
      <c r="F1041" t="s">
        <v>3607</v>
      </c>
      <c r="G1041" s="1">
        <v>1997747.72</v>
      </c>
    </row>
    <row r="1042" spans="1:7">
      <c r="A1042" t="s">
        <v>1137</v>
      </c>
      <c r="B1042" s="6">
        <v>45724</v>
      </c>
      <c r="C1042" s="6" t="str">
        <f>TEXT(Table3[[#This Row],[transaction_date]], "yyyy-mm")</f>
        <v>2025-03</v>
      </c>
      <c r="D1042" t="s">
        <v>93</v>
      </c>
      <c r="E1042" t="s">
        <v>3637</v>
      </c>
      <c r="F1042" t="s">
        <v>3614</v>
      </c>
      <c r="G1042" s="1">
        <v>9464572.6999999993</v>
      </c>
    </row>
    <row r="1043" spans="1:7">
      <c r="A1043" t="s">
        <v>1138</v>
      </c>
      <c r="B1043" s="6">
        <v>45800</v>
      </c>
      <c r="C1043" s="6" t="str">
        <f>TEXT(Table3[[#This Row],[transaction_date]], "yyyy-mm")</f>
        <v>2025-05</v>
      </c>
      <c r="D1043" t="s">
        <v>75</v>
      </c>
      <c r="E1043" t="s">
        <v>3636</v>
      </c>
      <c r="F1043" t="s">
        <v>3605</v>
      </c>
      <c r="G1043" s="1">
        <v>14724440.140000001</v>
      </c>
    </row>
    <row r="1044" spans="1:7">
      <c r="A1044" t="s">
        <v>1139</v>
      </c>
      <c r="B1044" s="6">
        <v>45761</v>
      </c>
      <c r="C1044" s="6" t="str">
        <f>TEXT(Table3[[#This Row],[transaction_date]], "yyyy-mm")</f>
        <v>2025-04</v>
      </c>
      <c r="D1044" t="s">
        <v>85</v>
      </c>
      <c r="E1044" t="s">
        <v>3636</v>
      </c>
      <c r="F1044" t="s">
        <v>3611</v>
      </c>
      <c r="G1044" s="1">
        <v>319910.68</v>
      </c>
    </row>
    <row r="1045" spans="1:7">
      <c r="A1045" t="s">
        <v>1140</v>
      </c>
      <c r="B1045" s="6">
        <v>45675</v>
      </c>
      <c r="C1045" s="6" t="str">
        <f>TEXT(Table3[[#This Row],[transaction_date]], "yyyy-mm")</f>
        <v>2025-01</v>
      </c>
      <c r="D1045" t="s">
        <v>85</v>
      </c>
      <c r="E1045" t="s">
        <v>3636</v>
      </c>
      <c r="F1045" t="s">
        <v>3607</v>
      </c>
      <c r="G1045" s="1">
        <v>2061111.41</v>
      </c>
    </row>
    <row r="1046" spans="1:7">
      <c r="A1046" t="s">
        <v>1141</v>
      </c>
      <c r="B1046" s="6">
        <v>45699</v>
      </c>
      <c r="C1046" s="6" t="str">
        <f>TEXT(Table3[[#This Row],[transaction_date]], "yyyy-mm")</f>
        <v>2025-02</v>
      </c>
      <c r="D1046" t="s">
        <v>84</v>
      </c>
      <c r="E1046" t="s">
        <v>3636</v>
      </c>
      <c r="F1046" t="s">
        <v>3610</v>
      </c>
      <c r="G1046" s="1">
        <v>15295572.74</v>
      </c>
    </row>
    <row r="1047" spans="1:7">
      <c r="A1047" t="s">
        <v>1142</v>
      </c>
      <c r="B1047" s="6">
        <v>45892</v>
      </c>
      <c r="C1047" s="6" t="str">
        <f>TEXT(Table3[[#This Row],[transaction_date]], "yyyy-mm")</f>
        <v>2025-08</v>
      </c>
      <c r="D1047" t="s">
        <v>89</v>
      </c>
      <c r="E1047" t="s">
        <v>3637</v>
      </c>
      <c r="F1047" t="s">
        <v>3614</v>
      </c>
      <c r="G1047" s="1">
        <v>682722.28</v>
      </c>
    </row>
    <row r="1048" spans="1:7">
      <c r="A1048" t="s">
        <v>1143</v>
      </c>
      <c r="B1048" s="6">
        <v>45818</v>
      </c>
      <c r="C1048" s="6" t="str">
        <f>TEXT(Table3[[#This Row],[transaction_date]], "yyyy-mm")</f>
        <v>2025-06</v>
      </c>
      <c r="D1048" t="s">
        <v>82</v>
      </c>
      <c r="E1048" t="s">
        <v>3636</v>
      </c>
      <c r="F1048" t="s">
        <v>3611</v>
      </c>
      <c r="G1048" s="1">
        <v>6719235.4900000002</v>
      </c>
    </row>
    <row r="1049" spans="1:7">
      <c r="A1049" t="s">
        <v>1144</v>
      </c>
      <c r="B1049" s="6">
        <v>45829</v>
      </c>
      <c r="C1049" s="6" t="str">
        <f>TEXT(Table3[[#This Row],[transaction_date]], "yyyy-mm")</f>
        <v>2025-06</v>
      </c>
      <c r="D1049" t="s">
        <v>93</v>
      </c>
      <c r="E1049" t="s">
        <v>3636</v>
      </c>
      <c r="F1049" t="s">
        <v>3610</v>
      </c>
      <c r="G1049" s="1">
        <v>2566533.2799999998</v>
      </c>
    </row>
    <row r="1050" spans="1:7">
      <c r="A1050" t="s">
        <v>1145</v>
      </c>
      <c r="B1050" s="6">
        <v>45898</v>
      </c>
      <c r="C1050" s="6" t="str">
        <f>TEXT(Table3[[#This Row],[transaction_date]], "yyyy-mm")</f>
        <v>2025-08</v>
      </c>
      <c r="D1050" t="s">
        <v>85</v>
      </c>
      <c r="E1050" t="s">
        <v>3637</v>
      </c>
      <c r="F1050" t="s">
        <v>3619</v>
      </c>
      <c r="G1050" s="1">
        <v>484381.28</v>
      </c>
    </row>
    <row r="1051" spans="1:7">
      <c r="A1051" t="s">
        <v>1146</v>
      </c>
      <c r="B1051" s="6">
        <v>45980</v>
      </c>
      <c r="C1051" s="6" t="str">
        <f>TEXT(Table3[[#This Row],[transaction_date]], "yyyy-mm")</f>
        <v>2025-11</v>
      </c>
      <c r="D1051" t="s">
        <v>78</v>
      </c>
      <c r="E1051" t="s">
        <v>3636</v>
      </c>
      <c r="F1051" t="s">
        <v>3610</v>
      </c>
      <c r="G1051" s="1">
        <v>1157309.18</v>
      </c>
    </row>
    <row r="1052" spans="1:7">
      <c r="A1052" t="s">
        <v>1147</v>
      </c>
      <c r="B1052" s="6">
        <v>45816</v>
      </c>
      <c r="C1052" s="6" t="str">
        <f>TEXT(Table3[[#This Row],[transaction_date]], "yyyy-mm")</f>
        <v>2025-06</v>
      </c>
      <c r="D1052" t="s">
        <v>79</v>
      </c>
      <c r="E1052" t="s">
        <v>3637</v>
      </c>
      <c r="F1052" t="s">
        <v>3614</v>
      </c>
      <c r="G1052" s="1">
        <v>2136094.89</v>
      </c>
    </row>
    <row r="1053" spans="1:7">
      <c r="A1053" t="s">
        <v>1148</v>
      </c>
      <c r="B1053" s="6">
        <v>46003</v>
      </c>
      <c r="C1053" s="6" t="str">
        <f>TEXT(Table3[[#This Row],[transaction_date]], "yyyy-mm")</f>
        <v>2025-12</v>
      </c>
      <c r="D1053" t="s">
        <v>74</v>
      </c>
      <c r="E1053" t="s">
        <v>3636</v>
      </c>
      <c r="F1053" t="s">
        <v>3610</v>
      </c>
      <c r="G1053" s="1">
        <v>614457.65</v>
      </c>
    </row>
    <row r="1054" spans="1:7">
      <c r="A1054" t="s">
        <v>1149</v>
      </c>
      <c r="B1054" s="6">
        <v>45900</v>
      </c>
      <c r="C1054" s="6" t="str">
        <f>TEXT(Table3[[#This Row],[transaction_date]], "yyyy-mm")</f>
        <v>2025-08</v>
      </c>
      <c r="D1054" t="s">
        <v>95</v>
      </c>
      <c r="E1054" t="s">
        <v>3636</v>
      </c>
      <c r="F1054" t="s">
        <v>3610</v>
      </c>
      <c r="G1054" s="1">
        <v>640296.12</v>
      </c>
    </row>
    <row r="1055" spans="1:7">
      <c r="A1055" t="s">
        <v>1150</v>
      </c>
      <c r="B1055" s="6">
        <v>45824</v>
      </c>
      <c r="C1055" s="6" t="str">
        <f>TEXT(Table3[[#This Row],[transaction_date]], "yyyy-mm")</f>
        <v>2025-06</v>
      </c>
      <c r="D1055" t="s">
        <v>75</v>
      </c>
      <c r="E1055" t="s">
        <v>3637</v>
      </c>
      <c r="F1055" t="s">
        <v>3622</v>
      </c>
      <c r="G1055" s="1">
        <v>9429569.8399999999</v>
      </c>
    </row>
    <row r="1056" spans="1:7">
      <c r="A1056" t="s">
        <v>1151</v>
      </c>
      <c r="B1056" s="6">
        <v>45801</v>
      </c>
      <c r="C1056" s="6" t="str">
        <f>TEXT(Table3[[#This Row],[transaction_date]], "yyyy-mm")</f>
        <v>2025-05</v>
      </c>
      <c r="D1056" t="s">
        <v>74</v>
      </c>
      <c r="E1056" t="s">
        <v>3636</v>
      </c>
      <c r="F1056" t="s">
        <v>3610</v>
      </c>
      <c r="G1056" s="1">
        <v>39481.800000000003</v>
      </c>
    </row>
    <row r="1057" spans="1:7">
      <c r="A1057" t="s">
        <v>1152</v>
      </c>
      <c r="B1057" s="6">
        <v>45812</v>
      </c>
      <c r="C1057" s="6" t="str">
        <f>TEXT(Table3[[#This Row],[transaction_date]], "yyyy-mm")</f>
        <v>2025-06</v>
      </c>
      <c r="D1057" t="s">
        <v>90</v>
      </c>
      <c r="E1057" t="s">
        <v>3636</v>
      </c>
      <c r="F1057" t="s">
        <v>3610</v>
      </c>
      <c r="G1057" s="1">
        <v>14536241.99</v>
      </c>
    </row>
    <row r="1058" spans="1:7">
      <c r="A1058" t="s">
        <v>1153</v>
      </c>
      <c r="B1058" s="6">
        <v>46021</v>
      </c>
      <c r="C1058" s="6" t="str">
        <f>TEXT(Table3[[#This Row],[transaction_date]], "yyyy-mm")</f>
        <v>2025-12</v>
      </c>
      <c r="D1058" t="s">
        <v>95</v>
      </c>
      <c r="E1058" t="s">
        <v>3636</v>
      </c>
      <c r="F1058" t="s">
        <v>3610</v>
      </c>
      <c r="G1058" s="1">
        <v>696878.95</v>
      </c>
    </row>
    <row r="1059" spans="1:7">
      <c r="A1059" t="s">
        <v>1154</v>
      </c>
      <c r="B1059" s="6">
        <v>46022</v>
      </c>
      <c r="C1059" s="6" t="str">
        <f>TEXT(Table3[[#This Row],[transaction_date]], "yyyy-mm")</f>
        <v>2025-12</v>
      </c>
      <c r="D1059" t="s">
        <v>74</v>
      </c>
      <c r="E1059" t="s">
        <v>3637</v>
      </c>
      <c r="F1059" t="s">
        <v>3620</v>
      </c>
      <c r="G1059" s="1">
        <v>1032834.22</v>
      </c>
    </row>
    <row r="1060" spans="1:7">
      <c r="A1060" t="s">
        <v>1155</v>
      </c>
      <c r="B1060" s="6">
        <v>45975</v>
      </c>
      <c r="C1060" s="6" t="str">
        <f>TEXT(Table3[[#This Row],[transaction_date]], "yyyy-mm")</f>
        <v>2025-11</v>
      </c>
      <c r="D1060" t="s">
        <v>80</v>
      </c>
      <c r="E1060" t="s">
        <v>3636</v>
      </c>
      <c r="F1060" t="s">
        <v>3609</v>
      </c>
      <c r="G1060" s="1">
        <v>2693755.19</v>
      </c>
    </row>
    <row r="1061" spans="1:7">
      <c r="A1061" t="s">
        <v>1156</v>
      </c>
      <c r="B1061" s="6">
        <v>45865</v>
      </c>
      <c r="C1061" s="6" t="str">
        <f>TEXT(Table3[[#This Row],[transaction_date]], "yyyy-mm")</f>
        <v>2025-07</v>
      </c>
      <c r="D1061" t="s">
        <v>75</v>
      </c>
      <c r="E1061" t="s">
        <v>3637</v>
      </c>
      <c r="F1061" t="s">
        <v>3614</v>
      </c>
      <c r="G1061" s="1">
        <v>20408154.699999999</v>
      </c>
    </row>
    <row r="1062" spans="1:7">
      <c r="A1062" t="s">
        <v>1157</v>
      </c>
      <c r="B1062" s="6">
        <v>45681</v>
      </c>
      <c r="C1062" s="6" t="str">
        <f>TEXT(Table3[[#This Row],[transaction_date]], "yyyy-mm")</f>
        <v>2025-01</v>
      </c>
      <c r="D1062" t="s">
        <v>79</v>
      </c>
      <c r="E1062" t="s">
        <v>3636</v>
      </c>
      <c r="F1062" t="s">
        <v>3606</v>
      </c>
      <c r="G1062" s="1">
        <v>2199467.4500000002</v>
      </c>
    </row>
    <row r="1063" spans="1:7">
      <c r="A1063" t="s">
        <v>1158</v>
      </c>
      <c r="B1063" s="6">
        <v>45986</v>
      </c>
      <c r="C1063" s="6" t="str">
        <f>TEXT(Table3[[#This Row],[transaction_date]], "yyyy-mm")</f>
        <v>2025-11</v>
      </c>
      <c r="D1063" t="s">
        <v>3597</v>
      </c>
      <c r="E1063" t="s">
        <v>3636</v>
      </c>
      <c r="F1063" t="s">
        <v>3613</v>
      </c>
      <c r="G1063" s="1">
        <v>10387746.029999999</v>
      </c>
    </row>
    <row r="1064" spans="1:7">
      <c r="A1064" t="s">
        <v>1159</v>
      </c>
      <c r="B1064" s="6">
        <v>45980</v>
      </c>
      <c r="C1064" s="6" t="str">
        <f>TEXT(Table3[[#This Row],[transaction_date]], "yyyy-mm")</f>
        <v>2025-11</v>
      </c>
      <c r="D1064" t="s">
        <v>73</v>
      </c>
      <c r="E1064" t="s">
        <v>3637</v>
      </c>
      <c r="F1064" t="s">
        <v>3622</v>
      </c>
      <c r="G1064" s="1">
        <v>2688175.37</v>
      </c>
    </row>
    <row r="1065" spans="1:7">
      <c r="A1065" t="s">
        <v>1160</v>
      </c>
      <c r="B1065" s="6">
        <v>45667</v>
      </c>
      <c r="C1065" s="6" t="str">
        <f>TEXT(Table3[[#This Row],[transaction_date]], "yyyy-mm")</f>
        <v>2025-01</v>
      </c>
      <c r="D1065" t="s">
        <v>79</v>
      </c>
      <c r="E1065" t="s">
        <v>3637</v>
      </c>
      <c r="F1065" t="s">
        <v>3618</v>
      </c>
      <c r="G1065" s="1">
        <v>3760358.55</v>
      </c>
    </row>
    <row r="1066" spans="1:7">
      <c r="A1066" t="s">
        <v>1161</v>
      </c>
      <c r="B1066" s="6">
        <v>45799</v>
      </c>
      <c r="C1066" s="6" t="str">
        <f>TEXT(Table3[[#This Row],[transaction_date]], "yyyy-mm")</f>
        <v>2025-05</v>
      </c>
      <c r="D1066" t="s">
        <v>74</v>
      </c>
      <c r="E1066" t="s">
        <v>3637</v>
      </c>
      <c r="F1066" t="s">
        <v>3615</v>
      </c>
      <c r="G1066" s="1">
        <v>2928242.32</v>
      </c>
    </row>
    <row r="1067" spans="1:7">
      <c r="A1067" t="s">
        <v>1162</v>
      </c>
      <c r="B1067" s="6">
        <v>45666</v>
      </c>
      <c r="C1067" s="6" t="str">
        <f>TEXT(Table3[[#This Row],[transaction_date]], "yyyy-mm")</f>
        <v>2025-01</v>
      </c>
      <c r="D1067" t="s">
        <v>82</v>
      </c>
      <c r="E1067" t="s">
        <v>3637</v>
      </c>
      <c r="F1067" t="s">
        <v>3615</v>
      </c>
      <c r="G1067" s="1">
        <v>4402540.08</v>
      </c>
    </row>
    <row r="1068" spans="1:7">
      <c r="A1068" t="s">
        <v>1163</v>
      </c>
      <c r="B1068" s="6">
        <v>45820</v>
      </c>
      <c r="C1068" s="6" t="str">
        <f>TEXT(Table3[[#This Row],[transaction_date]], "yyyy-mm")</f>
        <v>2025-06</v>
      </c>
      <c r="D1068" t="s">
        <v>93</v>
      </c>
      <c r="E1068" t="s">
        <v>3637</v>
      </c>
      <c r="F1068" t="s">
        <v>3620</v>
      </c>
      <c r="G1068" s="1">
        <v>270045.46999999997</v>
      </c>
    </row>
    <row r="1069" spans="1:7">
      <c r="A1069" t="s">
        <v>1164</v>
      </c>
      <c r="B1069" s="6">
        <v>45660</v>
      </c>
      <c r="C1069" s="6" t="str">
        <f>TEXT(Table3[[#This Row],[transaction_date]], "yyyy-mm")</f>
        <v>2025-01</v>
      </c>
      <c r="D1069" t="s">
        <v>75</v>
      </c>
      <c r="E1069" t="s">
        <v>3637</v>
      </c>
      <c r="F1069" t="s">
        <v>3620</v>
      </c>
      <c r="G1069" s="1">
        <v>16440595.23</v>
      </c>
    </row>
    <row r="1070" spans="1:7">
      <c r="A1070" t="s">
        <v>1165</v>
      </c>
      <c r="B1070" s="6">
        <v>45891</v>
      </c>
      <c r="C1070" s="6" t="str">
        <f>TEXT(Table3[[#This Row],[transaction_date]], "yyyy-mm")</f>
        <v>2025-08</v>
      </c>
      <c r="D1070" t="s">
        <v>79</v>
      </c>
      <c r="E1070" t="s">
        <v>3637</v>
      </c>
      <c r="F1070" t="s">
        <v>3619</v>
      </c>
      <c r="G1070" s="1">
        <v>2198132.9</v>
      </c>
    </row>
    <row r="1071" spans="1:7">
      <c r="A1071" t="s">
        <v>1166</v>
      </c>
      <c r="B1071" s="6">
        <v>45839</v>
      </c>
      <c r="C1071" s="6" t="str">
        <f>TEXT(Table3[[#This Row],[transaction_date]], "yyyy-mm")</f>
        <v>2025-07</v>
      </c>
      <c r="D1071" t="s">
        <v>3597</v>
      </c>
      <c r="E1071" t="s">
        <v>3637</v>
      </c>
      <c r="F1071" t="s">
        <v>3623</v>
      </c>
      <c r="G1071" s="1">
        <v>623093.34</v>
      </c>
    </row>
    <row r="1072" spans="1:7">
      <c r="A1072" t="s">
        <v>1167</v>
      </c>
      <c r="B1072" s="6">
        <v>45965</v>
      </c>
      <c r="C1072" s="6" t="str">
        <f>TEXT(Table3[[#This Row],[transaction_date]], "yyyy-mm")</f>
        <v>2025-11</v>
      </c>
      <c r="D1072" t="s">
        <v>85</v>
      </c>
      <c r="E1072" t="s">
        <v>3637</v>
      </c>
      <c r="F1072" t="s">
        <v>3616</v>
      </c>
      <c r="G1072" s="1">
        <v>2544981.92</v>
      </c>
    </row>
    <row r="1073" spans="1:7">
      <c r="A1073" t="s">
        <v>1168</v>
      </c>
      <c r="B1073" s="6">
        <v>45689</v>
      </c>
      <c r="C1073" s="6" t="str">
        <f>TEXT(Table3[[#This Row],[transaction_date]], "yyyy-mm")</f>
        <v>2025-02</v>
      </c>
      <c r="D1073" t="s">
        <v>93</v>
      </c>
      <c r="E1073" t="s">
        <v>3637</v>
      </c>
      <c r="F1073" t="s">
        <v>3620</v>
      </c>
      <c r="G1073" s="1">
        <v>164645.13</v>
      </c>
    </row>
    <row r="1074" spans="1:7">
      <c r="A1074" t="s">
        <v>1169</v>
      </c>
      <c r="B1074" s="6">
        <v>45668</v>
      </c>
      <c r="C1074" s="6" t="str">
        <f>TEXT(Table3[[#This Row],[transaction_date]], "yyyy-mm")</f>
        <v>2025-01</v>
      </c>
      <c r="D1074" t="s">
        <v>77</v>
      </c>
      <c r="E1074" t="s">
        <v>3636</v>
      </c>
      <c r="F1074" t="s">
        <v>3605</v>
      </c>
      <c r="G1074" s="1">
        <v>19097495.969999999</v>
      </c>
    </row>
    <row r="1075" spans="1:7">
      <c r="A1075" t="s">
        <v>1170</v>
      </c>
      <c r="B1075" s="6">
        <v>45718</v>
      </c>
      <c r="C1075" s="6" t="str">
        <f>TEXT(Table3[[#This Row],[transaction_date]], "yyyy-mm")</f>
        <v>2025-03</v>
      </c>
      <c r="D1075" t="s">
        <v>93</v>
      </c>
      <c r="E1075" t="s">
        <v>3636</v>
      </c>
      <c r="F1075" t="s">
        <v>3612</v>
      </c>
      <c r="G1075" s="1">
        <v>4341656.33</v>
      </c>
    </row>
    <row r="1076" spans="1:7">
      <c r="A1076" t="s">
        <v>1171</v>
      </c>
      <c r="B1076" s="6">
        <v>45810</v>
      </c>
      <c r="C1076" s="6" t="str">
        <f>TEXT(Table3[[#This Row],[transaction_date]], "yyyy-mm")</f>
        <v>2025-06</v>
      </c>
      <c r="D1076" t="s">
        <v>73</v>
      </c>
      <c r="E1076" t="s">
        <v>3637</v>
      </c>
      <c r="F1076" t="s">
        <v>3618</v>
      </c>
      <c r="G1076" s="1">
        <v>5803713.4199999999</v>
      </c>
    </row>
    <row r="1077" spans="1:7">
      <c r="A1077" t="s">
        <v>1172</v>
      </c>
      <c r="B1077" s="6">
        <v>45930</v>
      </c>
      <c r="C1077" s="6" t="str">
        <f>TEXT(Table3[[#This Row],[transaction_date]], "yyyy-mm")</f>
        <v>2025-09</v>
      </c>
      <c r="D1077" t="s">
        <v>80</v>
      </c>
      <c r="E1077" t="s">
        <v>3637</v>
      </c>
      <c r="F1077" t="s">
        <v>3623</v>
      </c>
      <c r="G1077" s="1">
        <v>1069385.56</v>
      </c>
    </row>
    <row r="1078" spans="1:7">
      <c r="A1078" t="s">
        <v>1173</v>
      </c>
      <c r="B1078" s="6">
        <v>45802</v>
      </c>
      <c r="C1078" s="6" t="str">
        <f>TEXT(Table3[[#This Row],[transaction_date]], "yyyy-mm")</f>
        <v>2025-05</v>
      </c>
      <c r="D1078" t="s">
        <v>73</v>
      </c>
      <c r="E1078" t="s">
        <v>3637</v>
      </c>
      <c r="F1078" t="s">
        <v>3623</v>
      </c>
      <c r="G1078" s="1">
        <v>8883300.2599999998</v>
      </c>
    </row>
    <row r="1079" spans="1:7">
      <c r="A1079" t="s">
        <v>1174</v>
      </c>
      <c r="B1079" s="6">
        <v>45867</v>
      </c>
      <c r="C1079" s="6" t="str">
        <f>TEXT(Table3[[#This Row],[transaction_date]], "yyyy-mm")</f>
        <v>2025-07</v>
      </c>
      <c r="D1079" t="s">
        <v>78</v>
      </c>
      <c r="E1079" t="s">
        <v>3637</v>
      </c>
      <c r="F1079" t="s">
        <v>3618</v>
      </c>
      <c r="G1079" s="1">
        <v>1893103.62</v>
      </c>
    </row>
    <row r="1080" spans="1:7">
      <c r="A1080" t="s">
        <v>1175</v>
      </c>
      <c r="B1080" s="6">
        <v>45929</v>
      </c>
      <c r="C1080" s="6" t="str">
        <f>TEXT(Table3[[#This Row],[transaction_date]], "yyyy-mm")</f>
        <v>2025-09</v>
      </c>
      <c r="D1080" t="s">
        <v>85</v>
      </c>
      <c r="E1080" t="s">
        <v>3637</v>
      </c>
      <c r="F1080" t="s">
        <v>3623</v>
      </c>
      <c r="G1080" s="1">
        <v>372277.64</v>
      </c>
    </row>
    <row r="1081" spans="1:7">
      <c r="A1081" t="s">
        <v>1176</v>
      </c>
      <c r="B1081" s="6">
        <v>45702</v>
      </c>
      <c r="C1081" s="6" t="str">
        <f>TEXT(Table3[[#This Row],[transaction_date]], "yyyy-mm")</f>
        <v>2025-02</v>
      </c>
      <c r="D1081" t="s">
        <v>3597</v>
      </c>
      <c r="E1081" t="s">
        <v>3637</v>
      </c>
      <c r="F1081" t="s">
        <v>3619</v>
      </c>
      <c r="G1081" s="1">
        <v>10683391.310000001</v>
      </c>
    </row>
    <row r="1082" spans="1:7">
      <c r="A1082" t="s">
        <v>1177</v>
      </c>
      <c r="B1082" s="6">
        <v>45860</v>
      </c>
      <c r="C1082" s="6" t="str">
        <f>TEXT(Table3[[#This Row],[transaction_date]], "yyyy-mm")</f>
        <v>2025-07</v>
      </c>
      <c r="D1082" t="s">
        <v>95</v>
      </c>
      <c r="E1082" t="s">
        <v>3636</v>
      </c>
      <c r="F1082" t="s">
        <v>3608</v>
      </c>
      <c r="G1082" s="1">
        <v>1808062.71</v>
      </c>
    </row>
    <row r="1083" spans="1:7">
      <c r="A1083" t="s">
        <v>1178</v>
      </c>
      <c r="B1083" s="6">
        <v>45699</v>
      </c>
      <c r="C1083" s="6" t="str">
        <f>TEXT(Table3[[#This Row],[transaction_date]], "yyyy-mm")</f>
        <v>2025-02</v>
      </c>
      <c r="D1083" t="s">
        <v>76</v>
      </c>
      <c r="E1083" t="s">
        <v>3637</v>
      </c>
      <c r="F1083" t="s">
        <v>3622</v>
      </c>
      <c r="G1083" s="1">
        <v>2393866.21</v>
      </c>
    </row>
    <row r="1084" spans="1:7">
      <c r="A1084" t="s">
        <v>1179</v>
      </c>
      <c r="B1084" s="6">
        <v>45904</v>
      </c>
      <c r="C1084" s="6" t="str">
        <f>TEXT(Table3[[#This Row],[transaction_date]], "yyyy-mm")</f>
        <v>2025-09</v>
      </c>
      <c r="D1084" t="s">
        <v>74</v>
      </c>
      <c r="E1084" t="s">
        <v>3636</v>
      </c>
      <c r="F1084" t="s">
        <v>3611</v>
      </c>
      <c r="G1084" s="1">
        <v>913303.76</v>
      </c>
    </row>
    <row r="1085" spans="1:7">
      <c r="A1085" t="s">
        <v>1180</v>
      </c>
      <c r="B1085" s="6">
        <v>45680</v>
      </c>
      <c r="C1085" s="6" t="str">
        <f>TEXT(Table3[[#This Row],[transaction_date]], "yyyy-mm")</f>
        <v>2025-01</v>
      </c>
      <c r="D1085" t="s">
        <v>84</v>
      </c>
      <c r="E1085" t="s">
        <v>3637</v>
      </c>
      <c r="F1085" t="s">
        <v>3620</v>
      </c>
      <c r="G1085" s="1">
        <v>5678468.4100000001</v>
      </c>
    </row>
    <row r="1086" spans="1:7">
      <c r="A1086" t="s">
        <v>1181</v>
      </c>
      <c r="B1086" s="6">
        <v>45764</v>
      </c>
      <c r="C1086" s="6" t="str">
        <f>TEXT(Table3[[#This Row],[transaction_date]], "yyyy-mm")</f>
        <v>2025-04</v>
      </c>
      <c r="D1086" t="s">
        <v>73</v>
      </c>
      <c r="E1086" t="s">
        <v>3636</v>
      </c>
      <c r="F1086" t="s">
        <v>3611</v>
      </c>
      <c r="G1086" s="1">
        <v>231330.13</v>
      </c>
    </row>
    <row r="1087" spans="1:7">
      <c r="A1087" t="s">
        <v>1182</v>
      </c>
      <c r="B1087" s="6">
        <v>45786</v>
      </c>
      <c r="C1087" s="6" t="str">
        <f>TEXT(Table3[[#This Row],[transaction_date]], "yyyy-mm")</f>
        <v>2025-05</v>
      </c>
      <c r="D1087" t="s">
        <v>79</v>
      </c>
      <c r="E1087" t="s">
        <v>3637</v>
      </c>
      <c r="F1087" t="s">
        <v>3614</v>
      </c>
      <c r="G1087" s="1">
        <v>3418843.81</v>
      </c>
    </row>
    <row r="1088" spans="1:7">
      <c r="A1088" t="s">
        <v>1183</v>
      </c>
      <c r="B1088" s="6">
        <v>45969</v>
      </c>
      <c r="C1088" s="6" t="str">
        <f>TEXT(Table3[[#This Row],[transaction_date]], "yyyy-mm")</f>
        <v>2025-11</v>
      </c>
      <c r="D1088" t="s">
        <v>80</v>
      </c>
      <c r="E1088" t="s">
        <v>3636</v>
      </c>
      <c r="F1088" t="s">
        <v>3608</v>
      </c>
      <c r="G1088" s="1">
        <v>2111082</v>
      </c>
    </row>
    <row r="1089" spans="1:7">
      <c r="A1089" t="s">
        <v>1184</v>
      </c>
      <c r="B1089" s="6">
        <v>45670</v>
      </c>
      <c r="C1089" s="6" t="str">
        <f>TEXT(Table3[[#This Row],[transaction_date]], "yyyy-mm")</f>
        <v>2025-01</v>
      </c>
      <c r="D1089" t="s">
        <v>95</v>
      </c>
      <c r="E1089" t="s">
        <v>3636</v>
      </c>
      <c r="F1089" t="s">
        <v>3609</v>
      </c>
      <c r="G1089" s="1">
        <v>3533353.99</v>
      </c>
    </row>
    <row r="1090" spans="1:7">
      <c r="A1090" t="s">
        <v>1185</v>
      </c>
      <c r="B1090" s="6">
        <v>45859</v>
      </c>
      <c r="C1090" s="6" t="str">
        <f>TEXT(Table3[[#This Row],[transaction_date]], "yyyy-mm")</f>
        <v>2025-07</v>
      </c>
      <c r="D1090" t="s">
        <v>78</v>
      </c>
      <c r="E1090" t="s">
        <v>3636</v>
      </c>
      <c r="F1090" t="s">
        <v>3612</v>
      </c>
      <c r="G1090" s="1">
        <v>1249298.28</v>
      </c>
    </row>
    <row r="1091" spans="1:7">
      <c r="A1091" t="s">
        <v>1186</v>
      </c>
      <c r="B1091" s="6">
        <v>45691</v>
      </c>
      <c r="C1091" s="6" t="str">
        <f>TEXT(Table3[[#This Row],[transaction_date]], "yyyy-mm")</f>
        <v>2025-02</v>
      </c>
      <c r="D1091" t="s">
        <v>85</v>
      </c>
      <c r="E1091" t="s">
        <v>3636</v>
      </c>
      <c r="F1091" t="s">
        <v>3605</v>
      </c>
      <c r="G1091" s="1">
        <v>886117.56</v>
      </c>
    </row>
    <row r="1092" spans="1:7">
      <c r="A1092" t="s">
        <v>1187</v>
      </c>
      <c r="B1092" s="6">
        <v>45939</v>
      </c>
      <c r="C1092" s="6" t="str">
        <f>TEXT(Table3[[#This Row],[transaction_date]], "yyyy-mm")</f>
        <v>2025-10</v>
      </c>
      <c r="D1092" t="s">
        <v>85</v>
      </c>
      <c r="E1092" t="s">
        <v>3636</v>
      </c>
      <c r="F1092" t="s">
        <v>3611</v>
      </c>
      <c r="G1092" s="1">
        <v>1361954.08</v>
      </c>
    </row>
    <row r="1093" spans="1:7">
      <c r="A1093" t="s">
        <v>1188</v>
      </c>
      <c r="B1093" s="6">
        <v>45684</v>
      </c>
      <c r="C1093" s="6" t="str">
        <f>TEXT(Table3[[#This Row],[transaction_date]], "yyyy-mm")</f>
        <v>2025-01</v>
      </c>
      <c r="D1093" t="s">
        <v>73</v>
      </c>
      <c r="E1093" t="s">
        <v>3636</v>
      </c>
      <c r="F1093" t="s">
        <v>3605</v>
      </c>
      <c r="G1093" s="1">
        <v>83487.12</v>
      </c>
    </row>
    <row r="1094" spans="1:7">
      <c r="A1094" t="s">
        <v>1189</v>
      </c>
      <c r="B1094" s="6">
        <v>45993</v>
      </c>
      <c r="C1094" s="6" t="str">
        <f>TEXT(Table3[[#This Row],[transaction_date]], "yyyy-mm")</f>
        <v>2025-12</v>
      </c>
      <c r="D1094" t="s">
        <v>78</v>
      </c>
      <c r="E1094" t="s">
        <v>3637</v>
      </c>
      <c r="F1094" t="s">
        <v>3614</v>
      </c>
      <c r="G1094" s="1">
        <v>584987.11</v>
      </c>
    </row>
    <row r="1095" spans="1:7">
      <c r="A1095" t="s">
        <v>1190</v>
      </c>
      <c r="B1095" s="6">
        <v>45857</v>
      </c>
      <c r="C1095" s="6" t="str">
        <f>TEXT(Table3[[#This Row],[transaction_date]], "yyyy-mm")</f>
        <v>2025-07</v>
      </c>
      <c r="D1095" t="s">
        <v>84</v>
      </c>
      <c r="E1095" t="s">
        <v>3636</v>
      </c>
      <c r="F1095" t="s">
        <v>3606</v>
      </c>
      <c r="G1095" s="1">
        <v>23639462.350000001</v>
      </c>
    </row>
    <row r="1096" spans="1:7">
      <c r="A1096" t="s">
        <v>1191</v>
      </c>
      <c r="B1096" s="6">
        <v>45993</v>
      </c>
      <c r="C1096" s="6" t="str">
        <f>TEXT(Table3[[#This Row],[transaction_date]], "yyyy-mm")</f>
        <v>2025-12</v>
      </c>
      <c r="D1096" t="s">
        <v>85</v>
      </c>
      <c r="E1096" t="s">
        <v>3636</v>
      </c>
      <c r="F1096" t="s">
        <v>3605</v>
      </c>
      <c r="G1096" s="1">
        <v>471538.02</v>
      </c>
    </row>
    <row r="1097" spans="1:7">
      <c r="A1097" t="s">
        <v>1192</v>
      </c>
      <c r="B1097" s="6">
        <v>45952</v>
      </c>
      <c r="C1097" s="6" t="str">
        <f>TEXT(Table3[[#This Row],[transaction_date]], "yyyy-mm")</f>
        <v>2025-10</v>
      </c>
      <c r="D1097" t="s">
        <v>75</v>
      </c>
      <c r="E1097" t="s">
        <v>3636</v>
      </c>
      <c r="F1097" t="s">
        <v>3613</v>
      </c>
      <c r="G1097" s="1">
        <v>22450793.210000001</v>
      </c>
    </row>
    <row r="1098" spans="1:7">
      <c r="A1098" t="s">
        <v>1193</v>
      </c>
      <c r="B1098" s="6">
        <v>45925</v>
      </c>
      <c r="C1098" s="6" t="str">
        <f>TEXT(Table3[[#This Row],[transaction_date]], "yyyy-mm")</f>
        <v>2025-09</v>
      </c>
      <c r="D1098" t="s">
        <v>93</v>
      </c>
      <c r="E1098" t="s">
        <v>3636</v>
      </c>
      <c r="F1098" t="s">
        <v>3604</v>
      </c>
      <c r="G1098" s="1">
        <v>4063736.85</v>
      </c>
    </row>
    <row r="1099" spans="1:7">
      <c r="A1099" t="s">
        <v>1194</v>
      </c>
      <c r="B1099" s="6">
        <v>45964</v>
      </c>
      <c r="C1099" s="6" t="str">
        <f>TEXT(Table3[[#This Row],[transaction_date]], "yyyy-mm")</f>
        <v>2025-11</v>
      </c>
      <c r="D1099" t="s">
        <v>90</v>
      </c>
      <c r="E1099" t="s">
        <v>3636</v>
      </c>
      <c r="F1099" t="s">
        <v>3610</v>
      </c>
      <c r="G1099" s="1">
        <v>21317485.609999999</v>
      </c>
    </row>
    <row r="1100" spans="1:7">
      <c r="A1100" t="s">
        <v>1195</v>
      </c>
      <c r="B1100" s="6">
        <v>45749</v>
      </c>
      <c r="C1100" s="6" t="str">
        <f>TEXT(Table3[[#This Row],[transaction_date]], "yyyy-mm")</f>
        <v>2025-04</v>
      </c>
      <c r="D1100" t="s">
        <v>73</v>
      </c>
      <c r="E1100" t="s">
        <v>3636</v>
      </c>
      <c r="F1100" t="s">
        <v>3611</v>
      </c>
      <c r="G1100" s="1">
        <v>8934951.8399999999</v>
      </c>
    </row>
    <row r="1101" spans="1:7">
      <c r="A1101" t="s">
        <v>1196</v>
      </c>
      <c r="B1101" s="6">
        <v>45873</v>
      </c>
      <c r="C1101" s="6" t="str">
        <f>TEXT(Table3[[#This Row],[transaction_date]], "yyyy-mm")</f>
        <v>2025-08</v>
      </c>
      <c r="D1101" t="s">
        <v>78</v>
      </c>
      <c r="E1101" t="s">
        <v>3637</v>
      </c>
      <c r="F1101" t="s">
        <v>3614</v>
      </c>
      <c r="G1101" s="1">
        <v>9088864.4399999995</v>
      </c>
    </row>
    <row r="1102" spans="1:7">
      <c r="A1102" t="s">
        <v>1197</v>
      </c>
      <c r="B1102" s="6">
        <v>45764</v>
      </c>
      <c r="C1102" s="6" t="str">
        <f>TEXT(Table3[[#This Row],[transaction_date]], "yyyy-mm")</f>
        <v>2025-04</v>
      </c>
      <c r="D1102" t="s">
        <v>84</v>
      </c>
      <c r="E1102" t="s">
        <v>3636</v>
      </c>
      <c r="F1102" t="s">
        <v>3608</v>
      </c>
      <c r="G1102" s="1">
        <v>9850673.8800000008</v>
      </c>
    </row>
    <row r="1103" spans="1:7">
      <c r="A1103" t="s">
        <v>1198</v>
      </c>
      <c r="B1103" s="6">
        <v>45938</v>
      </c>
      <c r="C1103" s="6" t="str">
        <f>TEXT(Table3[[#This Row],[transaction_date]], "yyyy-mm")</f>
        <v>2025-10</v>
      </c>
      <c r="D1103" t="s">
        <v>93</v>
      </c>
      <c r="E1103" t="s">
        <v>3637</v>
      </c>
      <c r="F1103" t="s">
        <v>3615</v>
      </c>
      <c r="G1103" s="1">
        <v>4474879.84</v>
      </c>
    </row>
    <row r="1104" spans="1:7">
      <c r="A1104" t="s">
        <v>1199</v>
      </c>
      <c r="B1104" s="6">
        <v>45886</v>
      </c>
      <c r="C1104" s="6" t="str">
        <f>TEXT(Table3[[#This Row],[transaction_date]], "yyyy-mm")</f>
        <v>2025-08</v>
      </c>
      <c r="D1104" t="s">
        <v>89</v>
      </c>
      <c r="E1104" t="s">
        <v>3636</v>
      </c>
      <c r="F1104" t="s">
        <v>3607</v>
      </c>
      <c r="G1104" s="1">
        <v>529892.69999999995</v>
      </c>
    </row>
    <row r="1105" spans="1:7">
      <c r="A1105" t="s">
        <v>1200</v>
      </c>
      <c r="B1105" s="6">
        <v>45816</v>
      </c>
      <c r="C1105" s="6" t="str">
        <f>TEXT(Table3[[#This Row],[transaction_date]], "yyyy-mm")</f>
        <v>2025-06</v>
      </c>
      <c r="D1105" t="s">
        <v>93</v>
      </c>
      <c r="E1105" t="s">
        <v>3636</v>
      </c>
      <c r="F1105" t="s">
        <v>3607</v>
      </c>
      <c r="G1105" s="1">
        <v>7170953.0199999996</v>
      </c>
    </row>
    <row r="1106" spans="1:7">
      <c r="A1106" t="s">
        <v>1201</v>
      </c>
      <c r="B1106" s="6">
        <v>45735</v>
      </c>
      <c r="C1106" s="6" t="str">
        <f>TEXT(Table3[[#This Row],[transaction_date]], "yyyy-mm")</f>
        <v>2025-03</v>
      </c>
      <c r="D1106" t="s">
        <v>76</v>
      </c>
      <c r="E1106" t="s">
        <v>3637</v>
      </c>
      <c r="F1106" t="s">
        <v>3620</v>
      </c>
      <c r="G1106" s="1">
        <v>2263966.2999999998</v>
      </c>
    </row>
    <row r="1107" spans="1:7">
      <c r="A1107" t="s">
        <v>1202</v>
      </c>
      <c r="B1107" s="6">
        <v>45894</v>
      </c>
      <c r="C1107" s="6" t="str">
        <f>TEXT(Table3[[#This Row],[transaction_date]], "yyyy-mm")</f>
        <v>2025-08</v>
      </c>
      <c r="D1107" t="s">
        <v>85</v>
      </c>
      <c r="E1107" t="s">
        <v>3637</v>
      </c>
      <c r="F1107" t="s">
        <v>3616</v>
      </c>
      <c r="G1107" s="1">
        <v>2968548.3</v>
      </c>
    </row>
    <row r="1108" spans="1:7">
      <c r="A1108" t="s">
        <v>1203</v>
      </c>
      <c r="B1108" s="6">
        <v>45683</v>
      </c>
      <c r="C1108" s="6" t="str">
        <f>TEXT(Table3[[#This Row],[transaction_date]], "yyyy-mm")</f>
        <v>2025-01</v>
      </c>
      <c r="D1108" t="s">
        <v>82</v>
      </c>
      <c r="E1108" t="s">
        <v>3636</v>
      </c>
      <c r="F1108" t="s">
        <v>3607</v>
      </c>
      <c r="G1108" s="1">
        <v>22709053.420000002</v>
      </c>
    </row>
    <row r="1109" spans="1:7">
      <c r="A1109" t="s">
        <v>1204</v>
      </c>
      <c r="B1109" s="6">
        <v>45877</v>
      </c>
      <c r="C1109" s="6" t="str">
        <f>TEXT(Table3[[#This Row],[transaction_date]], "yyyy-mm")</f>
        <v>2025-08</v>
      </c>
      <c r="D1109" t="s">
        <v>95</v>
      </c>
      <c r="E1109" t="s">
        <v>3637</v>
      </c>
      <c r="F1109" t="s">
        <v>3620</v>
      </c>
      <c r="G1109" s="1">
        <v>5836808.5700000003</v>
      </c>
    </row>
    <row r="1110" spans="1:7">
      <c r="A1110" t="s">
        <v>1205</v>
      </c>
      <c r="B1110" s="6">
        <v>45850</v>
      </c>
      <c r="C1110" s="6" t="str">
        <f>TEXT(Table3[[#This Row],[transaction_date]], "yyyy-mm")</f>
        <v>2025-07</v>
      </c>
      <c r="D1110" t="s">
        <v>3597</v>
      </c>
      <c r="E1110" t="s">
        <v>3637</v>
      </c>
      <c r="F1110" t="s">
        <v>3619</v>
      </c>
      <c r="G1110" s="1">
        <v>3036682.11</v>
      </c>
    </row>
    <row r="1111" spans="1:7">
      <c r="A1111" t="s">
        <v>1206</v>
      </c>
      <c r="B1111" s="6">
        <v>45959</v>
      </c>
      <c r="C1111" s="6" t="str">
        <f>TEXT(Table3[[#This Row],[transaction_date]], "yyyy-mm")</f>
        <v>2025-10</v>
      </c>
      <c r="D1111" t="s">
        <v>80</v>
      </c>
      <c r="E1111" t="s">
        <v>3636</v>
      </c>
      <c r="F1111" t="s">
        <v>3609</v>
      </c>
      <c r="G1111" s="1">
        <v>4659219.18</v>
      </c>
    </row>
    <row r="1112" spans="1:7">
      <c r="A1112" t="s">
        <v>1207</v>
      </c>
      <c r="B1112" s="6">
        <v>45823</v>
      </c>
      <c r="C1112" s="6" t="str">
        <f>TEXT(Table3[[#This Row],[transaction_date]], "yyyy-mm")</f>
        <v>2025-06</v>
      </c>
      <c r="D1112" t="s">
        <v>73</v>
      </c>
      <c r="E1112" t="s">
        <v>3637</v>
      </c>
      <c r="F1112" t="s">
        <v>3616</v>
      </c>
      <c r="G1112" s="1">
        <v>1820539.86</v>
      </c>
    </row>
    <row r="1113" spans="1:7">
      <c r="A1113" t="s">
        <v>1208</v>
      </c>
      <c r="B1113" s="6">
        <v>45766</v>
      </c>
      <c r="C1113" s="6" t="str">
        <f>TEXT(Table3[[#This Row],[transaction_date]], "yyyy-mm")</f>
        <v>2025-04</v>
      </c>
      <c r="D1113" t="s">
        <v>84</v>
      </c>
      <c r="E1113" t="s">
        <v>3636</v>
      </c>
      <c r="F1113" t="s">
        <v>3610</v>
      </c>
      <c r="G1113" s="1">
        <v>6960081.6799999997</v>
      </c>
    </row>
    <row r="1114" spans="1:7">
      <c r="A1114" t="s">
        <v>1209</v>
      </c>
      <c r="B1114" s="6">
        <v>45888</v>
      </c>
      <c r="C1114" s="6" t="str">
        <f>TEXT(Table3[[#This Row],[transaction_date]], "yyyy-mm")</f>
        <v>2025-08</v>
      </c>
      <c r="D1114" t="s">
        <v>75</v>
      </c>
      <c r="E1114" t="s">
        <v>3637</v>
      </c>
      <c r="F1114" t="s">
        <v>3614</v>
      </c>
      <c r="G1114" s="1">
        <v>7330726.9299999997</v>
      </c>
    </row>
    <row r="1115" spans="1:7">
      <c r="A1115" t="s">
        <v>1210</v>
      </c>
      <c r="B1115" s="6">
        <v>45999</v>
      </c>
      <c r="C1115" s="6" t="str">
        <f>TEXT(Table3[[#This Row],[transaction_date]], "yyyy-mm")</f>
        <v>2025-12</v>
      </c>
      <c r="D1115" t="s">
        <v>73</v>
      </c>
      <c r="E1115" t="s">
        <v>3636</v>
      </c>
      <c r="F1115" t="s">
        <v>3605</v>
      </c>
      <c r="G1115" s="1">
        <v>39037.08</v>
      </c>
    </row>
    <row r="1116" spans="1:7">
      <c r="A1116" t="s">
        <v>1211</v>
      </c>
      <c r="B1116" s="6">
        <v>45871</v>
      </c>
      <c r="C1116" s="6" t="str">
        <f>TEXT(Table3[[#This Row],[transaction_date]], "yyyy-mm")</f>
        <v>2025-08</v>
      </c>
      <c r="D1116" t="s">
        <v>80</v>
      </c>
      <c r="E1116" t="s">
        <v>3636</v>
      </c>
      <c r="F1116" t="s">
        <v>3611</v>
      </c>
      <c r="G1116" s="1">
        <v>1794030.67</v>
      </c>
    </row>
    <row r="1117" spans="1:7">
      <c r="A1117" t="s">
        <v>1212</v>
      </c>
      <c r="B1117" s="6">
        <v>45869</v>
      </c>
      <c r="C1117" s="6" t="str">
        <f>TEXT(Table3[[#This Row],[transaction_date]], "yyyy-mm")</f>
        <v>2025-07</v>
      </c>
      <c r="D1117" t="s">
        <v>93</v>
      </c>
      <c r="E1117" t="s">
        <v>3636</v>
      </c>
      <c r="F1117" t="s">
        <v>3607</v>
      </c>
      <c r="G1117" s="1">
        <v>3781286.93</v>
      </c>
    </row>
    <row r="1118" spans="1:7">
      <c r="A1118" t="s">
        <v>1213</v>
      </c>
      <c r="B1118" s="6">
        <v>45890</v>
      </c>
      <c r="C1118" s="6" t="str">
        <f>TEXT(Table3[[#This Row],[transaction_date]], "yyyy-mm")</f>
        <v>2025-08</v>
      </c>
      <c r="D1118" t="s">
        <v>73</v>
      </c>
      <c r="E1118" t="s">
        <v>3637</v>
      </c>
      <c r="F1118" t="s">
        <v>3617</v>
      </c>
      <c r="G1118" s="1">
        <v>886754.33</v>
      </c>
    </row>
    <row r="1119" spans="1:7">
      <c r="A1119" t="s">
        <v>1214</v>
      </c>
      <c r="B1119" s="6">
        <v>45661</v>
      </c>
      <c r="C1119" s="6" t="str">
        <f>TEXT(Table3[[#This Row],[transaction_date]], "yyyy-mm")</f>
        <v>2025-01</v>
      </c>
      <c r="D1119" t="s">
        <v>80</v>
      </c>
      <c r="E1119" t="s">
        <v>3637</v>
      </c>
      <c r="F1119" t="s">
        <v>3614</v>
      </c>
      <c r="G1119" s="1">
        <v>2150208.12</v>
      </c>
    </row>
    <row r="1120" spans="1:7">
      <c r="A1120" t="s">
        <v>1215</v>
      </c>
      <c r="B1120" s="6">
        <v>45755</v>
      </c>
      <c r="C1120" s="6" t="str">
        <f>TEXT(Table3[[#This Row],[transaction_date]], "yyyy-mm")</f>
        <v>2025-04</v>
      </c>
      <c r="D1120" t="s">
        <v>77</v>
      </c>
      <c r="E1120" t="s">
        <v>3636</v>
      </c>
      <c r="F1120" t="s">
        <v>3608</v>
      </c>
      <c r="G1120" s="1">
        <v>9382130.8200000003</v>
      </c>
    </row>
    <row r="1121" spans="1:7">
      <c r="A1121" t="s">
        <v>1216</v>
      </c>
      <c r="B1121" s="6">
        <v>45788</v>
      </c>
      <c r="C1121" s="6" t="str">
        <f>TEXT(Table3[[#This Row],[transaction_date]], "yyyy-mm")</f>
        <v>2025-05</v>
      </c>
      <c r="D1121" t="s">
        <v>89</v>
      </c>
      <c r="E1121" t="s">
        <v>3636</v>
      </c>
      <c r="F1121" t="s">
        <v>3613</v>
      </c>
      <c r="G1121" s="1">
        <v>588802.36</v>
      </c>
    </row>
    <row r="1122" spans="1:7">
      <c r="A1122" t="s">
        <v>1217</v>
      </c>
      <c r="B1122" s="6">
        <v>45795</v>
      </c>
      <c r="C1122" s="6" t="str">
        <f>TEXT(Table3[[#This Row],[transaction_date]], "yyyy-mm")</f>
        <v>2025-05</v>
      </c>
      <c r="D1122" t="s">
        <v>75</v>
      </c>
      <c r="E1122" t="s">
        <v>3636</v>
      </c>
      <c r="F1122" t="s">
        <v>3608</v>
      </c>
      <c r="G1122" s="1">
        <v>4730895.41</v>
      </c>
    </row>
    <row r="1123" spans="1:7">
      <c r="A1123" t="s">
        <v>1218</v>
      </c>
      <c r="B1123" s="6">
        <v>45937</v>
      </c>
      <c r="C1123" s="6" t="str">
        <f>TEXT(Table3[[#This Row],[transaction_date]], "yyyy-mm")</f>
        <v>2025-10</v>
      </c>
      <c r="D1123" t="s">
        <v>76</v>
      </c>
      <c r="E1123" t="s">
        <v>3636</v>
      </c>
      <c r="F1123" t="s">
        <v>3612</v>
      </c>
      <c r="G1123" s="1">
        <v>8782421.3599999994</v>
      </c>
    </row>
    <row r="1124" spans="1:7">
      <c r="A1124" t="s">
        <v>1219</v>
      </c>
      <c r="B1124" s="6">
        <v>46008</v>
      </c>
      <c r="C1124" s="6" t="str">
        <f>TEXT(Table3[[#This Row],[transaction_date]], "yyyy-mm")</f>
        <v>2025-12</v>
      </c>
      <c r="D1124" t="s">
        <v>73</v>
      </c>
      <c r="E1124" t="s">
        <v>3636</v>
      </c>
      <c r="F1124" t="s">
        <v>3611</v>
      </c>
      <c r="G1124" s="1">
        <v>241635.83</v>
      </c>
    </row>
    <row r="1125" spans="1:7">
      <c r="A1125" t="s">
        <v>1220</v>
      </c>
      <c r="B1125" s="6">
        <v>45930</v>
      </c>
      <c r="C1125" s="6" t="str">
        <f>TEXT(Table3[[#This Row],[transaction_date]], "yyyy-mm")</f>
        <v>2025-09</v>
      </c>
      <c r="D1125" t="s">
        <v>74</v>
      </c>
      <c r="E1125" t="s">
        <v>3636</v>
      </c>
      <c r="F1125" t="s">
        <v>3606</v>
      </c>
      <c r="G1125" s="1">
        <v>1003978.92</v>
      </c>
    </row>
    <row r="1126" spans="1:7">
      <c r="A1126" t="s">
        <v>1221</v>
      </c>
      <c r="B1126" s="6">
        <v>45996</v>
      </c>
      <c r="C1126" s="6" t="str">
        <f>TEXT(Table3[[#This Row],[transaction_date]], "yyyy-mm")</f>
        <v>2025-12</v>
      </c>
      <c r="D1126" t="s">
        <v>90</v>
      </c>
      <c r="E1126" t="s">
        <v>3636</v>
      </c>
      <c r="F1126" t="s">
        <v>3604</v>
      </c>
      <c r="G1126" s="1">
        <v>3814206.71</v>
      </c>
    </row>
    <row r="1127" spans="1:7">
      <c r="A1127" t="s">
        <v>1222</v>
      </c>
      <c r="B1127" s="6">
        <v>45697</v>
      </c>
      <c r="C1127" s="6" t="str">
        <f>TEXT(Table3[[#This Row],[transaction_date]], "yyyy-mm")</f>
        <v>2025-02</v>
      </c>
      <c r="D1127" t="s">
        <v>74</v>
      </c>
      <c r="E1127" t="s">
        <v>3637</v>
      </c>
      <c r="F1127" t="s">
        <v>3618</v>
      </c>
      <c r="G1127" s="1">
        <v>487918.61</v>
      </c>
    </row>
    <row r="1128" spans="1:7">
      <c r="A1128" t="s">
        <v>1223</v>
      </c>
      <c r="B1128" s="6">
        <v>45685</v>
      </c>
      <c r="C1128" s="6" t="str">
        <f>TEXT(Table3[[#This Row],[transaction_date]], "yyyy-mm")</f>
        <v>2025-01</v>
      </c>
      <c r="D1128" t="s">
        <v>93</v>
      </c>
      <c r="E1128" t="s">
        <v>3636</v>
      </c>
      <c r="F1128" t="s">
        <v>3607</v>
      </c>
      <c r="G1128" s="1">
        <v>13877582.640000001</v>
      </c>
    </row>
    <row r="1129" spans="1:7">
      <c r="A1129" t="s">
        <v>1224</v>
      </c>
      <c r="B1129" s="6">
        <v>45835</v>
      </c>
      <c r="C1129" s="6" t="str">
        <f>TEXT(Table3[[#This Row],[transaction_date]], "yyyy-mm")</f>
        <v>2025-06</v>
      </c>
      <c r="D1129" t="s">
        <v>78</v>
      </c>
      <c r="E1129" t="s">
        <v>3636</v>
      </c>
      <c r="F1129" t="s">
        <v>3608</v>
      </c>
      <c r="G1129" s="1">
        <v>4715223.43</v>
      </c>
    </row>
    <row r="1130" spans="1:7">
      <c r="A1130" t="s">
        <v>1225</v>
      </c>
      <c r="B1130" s="6">
        <v>45921</v>
      </c>
      <c r="C1130" s="6" t="str">
        <f>TEXT(Table3[[#This Row],[transaction_date]], "yyyy-mm")</f>
        <v>2025-09</v>
      </c>
      <c r="D1130" t="s">
        <v>82</v>
      </c>
      <c r="E1130" t="s">
        <v>3637</v>
      </c>
      <c r="F1130" t="s">
        <v>3623</v>
      </c>
      <c r="G1130" s="1">
        <v>7863326.1900000004</v>
      </c>
    </row>
    <row r="1131" spans="1:7">
      <c r="A1131" t="s">
        <v>1226</v>
      </c>
      <c r="B1131" s="6">
        <v>45727</v>
      </c>
      <c r="C1131" s="6" t="str">
        <f>TEXT(Table3[[#This Row],[transaction_date]], "yyyy-mm")</f>
        <v>2025-03</v>
      </c>
      <c r="D1131" t="s">
        <v>95</v>
      </c>
      <c r="E1131" t="s">
        <v>3637</v>
      </c>
      <c r="F1131" t="s">
        <v>3620</v>
      </c>
      <c r="G1131" s="1">
        <v>7048543.8600000003</v>
      </c>
    </row>
    <row r="1132" spans="1:7">
      <c r="A1132" t="s">
        <v>1227</v>
      </c>
      <c r="B1132" s="6">
        <v>45687</v>
      </c>
      <c r="C1132" s="6" t="str">
        <f>TEXT(Table3[[#This Row],[transaction_date]], "yyyy-mm")</f>
        <v>2025-01</v>
      </c>
      <c r="D1132" t="s">
        <v>80</v>
      </c>
      <c r="E1132" t="s">
        <v>3637</v>
      </c>
      <c r="F1132" t="s">
        <v>3621</v>
      </c>
      <c r="G1132" s="1">
        <v>480965.82</v>
      </c>
    </row>
    <row r="1133" spans="1:7">
      <c r="A1133" t="s">
        <v>1228</v>
      </c>
      <c r="B1133" s="6">
        <v>45997</v>
      </c>
      <c r="C1133" s="6" t="str">
        <f>TEXT(Table3[[#This Row],[transaction_date]], "yyyy-mm")</f>
        <v>2025-12</v>
      </c>
      <c r="D1133" t="s">
        <v>73</v>
      </c>
      <c r="E1133" t="s">
        <v>3636</v>
      </c>
      <c r="F1133" t="s">
        <v>3610</v>
      </c>
      <c r="G1133" s="1">
        <v>342528.74</v>
      </c>
    </row>
    <row r="1134" spans="1:7">
      <c r="A1134" t="s">
        <v>1229</v>
      </c>
      <c r="B1134" s="6">
        <v>45819</v>
      </c>
      <c r="C1134" s="6" t="str">
        <f>TEXT(Table3[[#This Row],[transaction_date]], "yyyy-mm")</f>
        <v>2025-06</v>
      </c>
      <c r="D1134" t="s">
        <v>85</v>
      </c>
      <c r="E1134" t="s">
        <v>3636</v>
      </c>
      <c r="F1134" t="s">
        <v>3605</v>
      </c>
      <c r="G1134" s="1">
        <v>3490883.9</v>
      </c>
    </row>
    <row r="1135" spans="1:7">
      <c r="A1135" t="s">
        <v>1230</v>
      </c>
      <c r="B1135" s="6">
        <v>45875</v>
      </c>
      <c r="C1135" s="6" t="str">
        <f>TEXT(Table3[[#This Row],[transaction_date]], "yyyy-mm")</f>
        <v>2025-08</v>
      </c>
      <c r="D1135" t="s">
        <v>82</v>
      </c>
      <c r="E1135" t="s">
        <v>3636</v>
      </c>
      <c r="F1135" t="s">
        <v>3607</v>
      </c>
      <c r="G1135" s="1">
        <v>12073392.720000001</v>
      </c>
    </row>
    <row r="1136" spans="1:7">
      <c r="A1136" t="s">
        <v>1231</v>
      </c>
      <c r="B1136" s="6">
        <v>45710</v>
      </c>
      <c r="C1136" s="6" t="str">
        <f>TEXT(Table3[[#This Row],[transaction_date]], "yyyy-mm")</f>
        <v>2025-02</v>
      </c>
      <c r="D1136" t="s">
        <v>3597</v>
      </c>
      <c r="E1136" t="s">
        <v>3636</v>
      </c>
      <c r="F1136" t="s">
        <v>3604</v>
      </c>
      <c r="G1136" s="1">
        <v>11891044.42</v>
      </c>
    </row>
    <row r="1137" spans="1:7">
      <c r="A1137" t="s">
        <v>1232</v>
      </c>
      <c r="B1137" s="6">
        <v>45672</v>
      </c>
      <c r="C1137" s="6" t="str">
        <f>TEXT(Table3[[#This Row],[transaction_date]], "yyyy-mm")</f>
        <v>2025-01</v>
      </c>
      <c r="D1137" t="s">
        <v>75</v>
      </c>
      <c r="E1137" t="s">
        <v>3636</v>
      </c>
      <c r="F1137" t="s">
        <v>3605</v>
      </c>
      <c r="G1137" s="1">
        <v>10171683.029999999</v>
      </c>
    </row>
    <row r="1138" spans="1:7">
      <c r="A1138" t="s">
        <v>1233</v>
      </c>
      <c r="B1138" s="6">
        <v>45689</v>
      </c>
      <c r="C1138" s="6" t="str">
        <f>TEXT(Table3[[#This Row],[transaction_date]], "yyyy-mm")</f>
        <v>2025-02</v>
      </c>
      <c r="D1138" t="s">
        <v>79</v>
      </c>
      <c r="E1138" t="s">
        <v>3636</v>
      </c>
      <c r="F1138" t="s">
        <v>3607</v>
      </c>
      <c r="G1138" s="1">
        <v>2453734.67</v>
      </c>
    </row>
    <row r="1139" spans="1:7">
      <c r="A1139" t="s">
        <v>1234</v>
      </c>
      <c r="B1139" s="6">
        <v>45954</v>
      </c>
      <c r="C1139" s="6" t="str">
        <f>TEXT(Table3[[#This Row],[transaction_date]], "yyyy-mm")</f>
        <v>2025-10</v>
      </c>
      <c r="D1139" t="s">
        <v>75</v>
      </c>
      <c r="E1139" t="s">
        <v>3636</v>
      </c>
      <c r="F1139" t="s">
        <v>3606</v>
      </c>
      <c r="G1139" s="1">
        <v>665061.55000000005</v>
      </c>
    </row>
    <row r="1140" spans="1:7">
      <c r="A1140" t="s">
        <v>1235</v>
      </c>
      <c r="B1140" s="6">
        <v>45686</v>
      </c>
      <c r="C1140" s="6" t="str">
        <f>TEXT(Table3[[#This Row],[transaction_date]], "yyyy-mm")</f>
        <v>2025-01</v>
      </c>
      <c r="D1140" t="s">
        <v>77</v>
      </c>
      <c r="E1140" t="s">
        <v>3637</v>
      </c>
      <c r="F1140" t="s">
        <v>3618</v>
      </c>
      <c r="G1140" s="1">
        <v>17113878.079999998</v>
      </c>
    </row>
    <row r="1141" spans="1:7">
      <c r="A1141" t="s">
        <v>1236</v>
      </c>
      <c r="B1141" s="6">
        <v>45850</v>
      </c>
      <c r="C1141" s="6" t="str">
        <f>TEXT(Table3[[#This Row],[transaction_date]], "yyyy-mm")</f>
        <v>2025-07</v>
      </c>
      <c r="D1141" t="s">
        <v>79</v>
      </c>
      <c r="E1141" t="s">
        <v>3637</v>
      </c>
      <c r="F1141" t="s">
        <v>3617</v>
      </c>
      <c r="G1141" s="1">
        <v>3910947.3</v>
      </c>
    </row>
    <row r="1142" spans="1:7">
      <c r="A1142" t="s">
        <v>1237</v>
      </c>
      <c r="B1142" s="6">
        <v>45758</v>
      </c>
      <c r="C1142" s="6" t="str">
        <f>TEXT(Table3[[#This Row],[transaction_date]], "yyyy-mm")</f>
        <v>2025-04</v>
      </c>
      <c r="D1142" t="s">
        <v>84</v>
      </c>
      <c r="E1142" t="s">
        <v>3637</v>
      </c>
      <c r="F1142" t="s">
        <v>3621</v>
      </c>
      <c r="G1142" s="1">
        <v>4415337</v>
      </c>
    </row>
    <row r="1143" spans="1:7">
      <c r="A1143" t="s">
        <v>1238</v>
      </c>
      <c r="B1143" s="6">
        <v>45895</v>
      </c>
      <c r="C1143" s="6" t="str">
        <f>TEXT(Table3[[#This Row],[transaction_date]], "yyyy-mm")</f>
        <v>2025-08</v>
      </c>
      <c r="D1143" t="s">
        <v>78</v>
      </c>
      <c r="E1143" t="s">
        <v>3636</v>
      </c>
      <c r="F1143" t="s">
        <v>3610</v>
      </c>
      <c r="G1143" s="1">
        <v>2147716.04</v>
      </c>
    </row>
    <row r="1144" spans="1:7">
      <c r="A1144" t="s">
        <v>1239</v>
      </c>
      <c r="B1144" s="6">
        <v>45944</v>
      </c>
      <c r="C1144" s="6" t="str">
        <f>TEXT(Table3[[#This Row],[transaction_date]], "yyyy-mm")</f>
        <v>2025-10</v>
      </c>
      <c r="D1144" t="s">
        <v>74</v>
      </c>
      <c r="E1144" t="s">
        <v>3637</v>
      </c>
      <c r="F1144" t="s">
        <v>3618</v>
      </c>
      <c r="G1144" s="1">
        <v>75146.84</v>
      </c>
    </row>
    <row r="1145" spans="1:7">
      <c r="A1145" t="s">
        <v>1240</v>
      </c>
      <c r="B1145" s="6">
        <v>45965</v>
      </c>
      <c r="C1145" s="6" t="str">
        <f>TEXT(Table3[[#This Row],[transaction_date]], "yyyy-mm")</f>
        <v>2025-11</v>
      </c>
      <c r="D1145" t="s">
        <v>73</v>
      </c>
      <c r="E1145" t="s">
        <v>3637</v>
      </c>
      <c r="F1145" t="s">
        <v>3622</v>
      </c>
      <c r="G1145" s="1">
        <v>148401.19</v>
      </c>
    </row>
    <row r="1146" spans="1:7">
      <c r="A1146" t="s">
        <v>1241</v>
      </c>
      <c r="B1146" s="6">
        <v>45708</v>
      </c>
      <c r="C1146" s="6" t="str">
        <f>TEXT(Table3[[#This Row],[transaction_date]], "yyyy-mm")</f>
        <v>2025-02</v>
      </c>
      <c r="D1146" t="s">
        <v>3597</v>
      </c>
      <c r="E1146" t="s">
        <v>3636</v>
      </c>
      <c r="F1146" t="s">
        <v>3613</v>
      </c>
      <c r="G1146" s="1">
        <v>3471939.82</v>
      </c>
    </row>
    <row r="1147" spans="1:7">
      <c r="A1147" t="s">
        <v>1242</v>
      </c>
      <c r="B1147" s="6">
        <v>45891</v>
      </c>
      <c r="C1147" s="6" t="str">
        <f>TEXT(Table3[[#This Row],[transaction_date]], "yyyy-mm")</f>
        <v>2025-08</v>
      </c>
      <c r="D1147" t="s">
        <v>75</v>
      </c>
      <c r="E1147" t="s">
        <v>3636</v>
      </c>
      <c r="F1147" t="s">
        <v>3612</v>
      </c>
      <c r="G1147" s="1">
        <v>7630829.0899999999</v>
      </c>
    </row>
    <row r="1148" spans="1:7">
      <c r="A1148" t="s">
        <v>1243</v>
      </c>
      <c r="B1148" s="6">
        <v>45860</v>
      </c>
      <c r="C1148" s="6" t="str">
        <f>TEXT(Table3[[#This Row],[transaction_date]], "yyyy-mm")</f>
        <v>2025-07</v>
      </c>
      <c r="D1148" t="s">
        <v>3597</v>
      </c>
      <c r="E1148" t="s">
        <v>3637</v>
      </c>
      <c r="F1148" t="s">
        <v>3623</v>
      </c>
      <c r="G1148" s="1">
        <v>1266508.79</v>
      </c>
    </row>
    <row r="1149" spans="1:7">
      <c r="A1149" t="s">
        <v>1244</v>
      </c>
      <c r="B1149" s="6">
        <v>45788</v>
      </c>
      <c r="C1149" s="6" t="str">
        <f>TEXT(Table3[[#This Row],[transaction_date]], "yyyy-mm")</f>
        <v>2025-05</v>
      </c>
      <c r="D1149" t="s">
        <v>3597</v>
      </c>
      <c r="E1149" t="s">
        <v>3637</v>
      </c>
      <c r="F1149" t="s">
        <v>3621</v>
      </c>
      <c r="G1149" s="1">
        <v>3174762.89</v>
      </c>
    </row>
    <row r="1150" spans="1:7">
      <c r="A1150" t="s">
        <v>1245</v>
      </c>
      <c r="B1150" s="6">
        <v>45746</v>
      </c>
      <c r="C1150" s="6" t="str">
        <f>TEXT(Table3[[#This Row],[transaction_date]], "yyyy-mm")</f>
        <v>2025-03</v>
      </c>
      <c r="D1150" t="s">
        <v>74</v>
      </c>
      <c r="E1150" t="s">
        <v>3636</v>
      </c>
      <c r="F1150" t="s">
        <v>3611</v>
      </c>
      <c r="G1150" s="1">
        <v>1391078.29</v>
      </c>
    </row>
    <row r="1151" spans="1:7">
      <c r="A1151" t="s">
        <v>1246</v>
      </c>
      <c r="B1151" s="6">
        <v>45865</v>
      </c>
      <c r="C1151" s="6" t="str">
        <f>TEXT(Table3[[#This Row],[transaction_date]], "yyyy-mm")</f>
        <v>2025-07</v>
      </c>
      <c r="D1151" t="s">
        <v>79</v>
      </c>
      <c r="E1151" t="s">
        <v>3636</v>
      </c>
      <c r="F1151" t="s">
        <v>3611</v>
      </c>
      <c r="G1151" s="1">
        <v>632564.38</v>
      </c>
    </row>
    <row r="1152" spans="1:7">
      <c r="A1152" t="s">
        <v>1247</v>
      </c>
      <c r="B1152" s="6">
        <v>45952</v>
      </c>
      <c r="C1152" s="6" t="str">
        <f>TEXT(Table3[[#This Row],[transaction_date]], "yyyy-mm")</f>
        <v>2025-10</v>
      </c>
      <c r="D1152" t="s">
        <v>95</v>
      </c>
      <c r="E1152" t="s">
        <v>3637</v>
      </c>
      <c r="F1152" t="s">
        <v>3616</v>
      </c>
      <c r="G1152" s="1">
        <v>682139.31</v>
      </c>
    </row>
    <row r="1153" spans="1:7">
      <c r="A1153" t="s">
        <v>1248</v>
      </c>
      <c r="B1153" s="6">
        <v>45715</v>
      </c>
      <c r="C1153" s="6" t="str">
        <f>TEXT(Table3[[#This Row],[transaction_date]], "yyyy-mm")</f>
        <v>2025-02</v>
      </c>
      <c r="D1153" t="s">
        <v>78</v>
      </c>
      <c r="E1153" t="s">
        <v>3637</v>
      </c>
      <c r="F1153" t="s">
        <v>3618</v>
      </c>
      <c r="G1153" s="1">
        <v>2298297.2200000002</v>
      </c>
    </row>
    <row r="1154" spans="1:7">
      <c r="A1154" t="s">
        <v>1249</v>
      </c>
      <c r="B1154" s="6">
        <v>45850</v>
      </c>
      <c r="C1154" s="6" t="str">
        <f>TEXT(Table3[[#This Row],[transaction_date]], "yyyy-mm")</f>
        <v>2025-07</v>
      </c>
      <c r="D1154" t="s">
        <v>76</v>
      </c>
      <c r="E1154" t="s">
        <v>3637</v>
      </c>
      <c r="F1154" t="s">
        <v>3615</v>
      </c>
      <c r="G1154" s="1">
        <v>1126128.55</v>
      </c>
    </row>
    <row r="1155" spans="1:7">
      <c r="A1155" t="s">
        <v>1250</v>
      </c>
      <c r="B1155" s="6">
        <v>45948</v>
      </c>
      <c r="C1155" s="6" t="str">
        <f>TEXT(Table3[[#This Row],[transaction_date]], "yyyy-mm")</f>
        <v>2025-10</v>
      </c>
      <c r="D1155" t="s">
        <v>82</v>
      </c>
      <c r="E1155" t="s">
        <v>3637</v>
      </c>
      <c r="F1155" t="s">
        <v>3618</v>
      </c>
      <c r="G1155" s="1">
        <v>21219435.920000002</v>
      </c>
    </row>
    <row r="1156" spans="1:7">
      <c r="A1156" t="s">
        <v>1251</v>
      </c>
      <c r="B1156" s="6">
        <v>45893</v>
      </c>
      <c r="C1156" s="6" t="str">
        <f>TEXT(Table3[[#This Row],[transaction_date]], "yyyy-mm")</f>
        <v>2025-08</v>
      </c>
      <c r="D1156" t="s">
        <v>85</v>
      </c>
      <c r="E1156" t="s">
        <v>3637</v>
      </c>
      <c r="F1156" t="s">
        <v>3621</v>
      </c>
      <c r="G1156" s="1">
        <v>486145.91</v>
      </c>
    </row>
    <row r="1157" spans="1:7">
      <c r="A1157" t="s">
        <v>1252</v>
      </c>
      <c r="B1157" s="6">
        <v>45875</v>
      </c>
      <c r="C1157" s="6" t="str">
        <f>TEXT(Table3[[#This Row],[transaction_date]], "yyyy-mm")</f>
        <v>2025-08</v>
      </c>
      <c r="D1157" t="s">
        <v>77</v>
      </c>
      <c r="E1157" t="s">
        <v>3637</v>
      </c>
      <c r="F1157" t="s">
        <v>3619</v>
      </c>
      <c r="G1157" s="1">
        <v>16893042.289999999</v>
      </c>
    </row>
    <row r="1158" spans="1:7">
      <c r="A1158" t="s">
        <v>1253</v>
      </c>
      <c r="B1158" s="6">
        <v>45687</v>
      </c>
      <c r="C1158" s="6" t="str">
        <f>TEXT(Table3[[#This Row],[transaction_date]], "yyyy-mm")</f>
        <v>2025-01</v>
      </c>
      <c r="D1158" t="s">
        <v>77</v>
      </c>
      <c r="E1158" t="s">
        <v>3636</v>
      </c>
      <c r="F1158" t="s">
        <v>3613</v>
      </c>
      <c r="G1158" s="1">
        <v>1699830.89</v>
      </c>
    </row>
    <row r="1159" spans="1:7">
      <c r="A1159" t="s">
        <v>1254</v>
      </c>
      <c r="B1159" s="6">
        <v>45869</v>
      </c>
      <c r="C1159" s="6" t="str">
        <f>TEXT(Table3[[#This Row],[transaction_date]], "yyyy-mm")</f>
        <v>2025-07</v>
      </c>
      <c r="D1159" t="s">
        <v>73</v>
      </c>
      <c r="E1159" t="s">
        <v>3636</v>
      </c>
      <c r="F1159" t="s">
        <v>3604</v>
      </c>
      <c r="G1159" s="1">
        <v>1901476.39</v>
      </c>
    </row>
    <row r="1160" spans="1:7">
      <c r="A1160" t="s">
        <v>1255</v>
      </c>
      <c r="B1160" s="6">
        <v>45993</v>
      </c>
      <c r="C1160" s="6" t="str">
        <f>TEXT(Table3[[#This Row],[transaction_date]], "yyyy-mm")</f>
        <v>2025-12</v>
      </c>
      <c r="D1160" t="s">
        <v>75</v>
      </c>
      <c r="E1160" t="s">
        <v>3636</v>
      </c>
      <c r="F1160" t="s">
        <v>3605</v>
      </c>
      <c r="G1160" s="1">
        <v>613712.06999999995</v>
      </c>
    </row>
    <row r="1161" spans="1:7">
      <c r="A1161" t="s">
        <v>1256</v>
      </c>
      <c r="B1161" s="6">
        <v>45936</v>
      </c>
      <c r="C1161" s="6" t="str">
        <f>TEXT(Table3[[#This Row],[transaction_date]], "yyyy-mm")</f>
        <v>2025-10</v>
      </c>
      <c r="D1161" t="s">
        <v>95</v>
      </c>
      <c r="E1161" t="s">
        <v>3636</v>
      </c>
      <c r="F1161" t="s">
        <v>3613</v>
      </c>
      <c r="G1161" s="1">
        <v>1682010.85</v>
      </c>
    </row>
    <row r="1162" spans="1:7">
      <c r="A1162" t="s">
        <v>1257</v>
      </c>
      <c r="B1162" s="6">
        <v>45796</v>
      </c>
      <c r="C1162" s="6" t="str">
        <f>TEXT(Table3[[#This Row],[transaction_date]], "yyyy-mm")</f>
        <v>2025-05</v>
      </c>
      <c r="D1162" t="s">
        <v>76</v>
      </c>
      <c r="E1162" t="s">
        <v>3637</v>
      </c>
      <c r="F1162" t="s">
        <v>3622</v>
      </c>
      <c r="G1162" s="1">
        <v>10981025.869999999</v>
      </c>
    </row>
    <row r="1163" spans="1:7">
      <c r="A1163" t="s">
        <v>1258</v>
      </c>
      <c r="B1163" s="6">
        <v>45995</v>
      </c>
      <c r="C1163" s="6" t="str">
        <f>TEXT(Table3[[#This Row],[transaction_date]], "yyyy-mm")</f>
        <v>2025-12</v>
      </c>
      <c r="D1163" t="s">
        <v>95</v>
      </c>
      <c r="E1163" t="s">
        <v>3636</v>
      </c>
      <c r="F1163" t="s">
        <v>3613</v>
      </c>
      <c r="G1163" s="1">
        <v>10209845.460000001</v>
      </c>
    </row>
    <row r="1164" spans="1:7">
      <c r="A1164" t="s">
        <v>1259</v>
      </c>
      <c r="B1164" s="6">
        <v>45719</v>
      </c>
      <c r="C1164" s="6" t="str">
        <f>TEXT(Table3[[#This Row],[transaction_date]], "yyyy-mm")</f>
        <v>2025-03</v>
      </c>
      <c r="D1164" t="s">
        <v>75</v>
      </c>
      <c r="E1164" t="s">
        <v>3637</v>
      </c>
      <c r="F1164" t="s">
        <v>3621</v>
      </c>
      <c r="G1164" s="1">
        <v>9089038.6099999994</v>
      </c>
    </row>
    <row r="1165" spans="1:7">
      <c r="A1165" t="s">
        <v>1260</v>
      </c>
      <c r="B1165" s="6">
        <v>45780</v>
      </c>
      <c r="C1165" s="6" t="str">
        <f>TEXT(Table3[[#This Row],[transaction_date]], "yyyy-mm")</f>
        <v>2025-05</v>
      </c>
      <c r="D1165" t="s">
        <v>73</v>
      </c>
      <c r="E1165" t="s">
        <v>3636</v>
      </c>
      <c r="F1165" t="s">
        <v>3611</v>
      </c>
      <c r="G1165" s="1">
        <v>5148540.3600000003</v>
      </c>
    </row>
    <row r="1166" spans="1:7">
      <c r="A1166" t="s">
        <v>1261</v>
      </c>
      <c r="B1166" s="6">
        <v>45918</v>
      </c>
      <c r="C1166" s="6" t="str">
        <f>TEXT(Table3[[#This Row],[transaction_date]], "yyyy-mm")</f>
        <v>2025-09</v>
      </c>
      <c r="D1166" t="s">
        <v>89</v>
      </c>
      <c r="E1166" t="s">
        <v>3637</v>
      </c>
      <c r="F1166" t="s">
        <v>3620</v>
      </c>
      <c r="G1166" s="1">
        <v>17477.669999999998</v>
      </c>
    </row>
    <row r="1167" spans="1:7">
      <c r="A1167" t="s">
        <v>1262</v>
      </c>
      <c r="B1167" s="6">
        <v>45767</v>
      </c>
      <c r="C1167" s="6" t="str">
        <f>TEXT(Table3[[#This Row],[transaction_date]], "yyyy-mm")</f>
        <v>2025-04</v>
      </c>
      <c r="D1167" t="s">
        <v>73</v>
      </c>
      <c r="E1167" t="s">
        <v>3637</v>
      </c>
      <c r="F1167" t="s">
        <v>3615</v>
      </c>
      <c r="G1167" s="1">
        <v>164873.95000000001</v>
      </c>
    </row>
    <row r="1168" spans="1:7">
      <c r="A1168" t="s">
        <v>1263</v>
      </c>
      <c r="B1168" s="6">
        <v>45734</v>
      </c>
      <c r="C1168" s="6" t="str">
        <f>TEXT(Table3[[#This Row],[transaction_date]], "yyyy-mm")</f>
        <v>2025-03</v>
      </c>
      <c r="D1168" t="s">
        <v>85</v>
      </c>
      <c r="E1168" t="s">
        <v>3637</v>
      </c>
      <c r="F1168" t="s">
        <v>3619</v>
      </c>
      <c r="G1168" s="1">
        <v>3706393.01</v>
      </c>
    </row>
    <row r="1169" spans="1:7">
      <c r="A1169" t="s">
        <v>1264</v>
      </c>
      <c r="B1169" s="6">
        <v>45887</v>
      </c>
      <c r="C1169" s="6" t="str">
        <f>TEXT(Table3[[#This Row],[transaction_date]], "yyyy-mm")</f>
        <v>2025-08</v>
      </c>
      <c r="D1169" t="s">
        <v>82</v>
      </c>
      <c r="E1169" t="s">
        <v>3637</v>
      </c>
      <c r="F1169" t="s">
        <v>3616</v>
      </c>
      <c r="G1169" s="1">
        <v>17764658.109999999</v>
      </c>
    </row>
    <row r="1170" spans="1:7">
      <c r="A1170" t="s">
        <v>1265</v>
      </c>
      <c r="B1170" s="6">
        <v>45852</v>
      </c>
      <c r="C1170" s="6" t="str">
        <f>TEXT(Table3[[#This Row],[transaction_date]], "yyyy-mm")</f>
        <v>2025-07</v>
      </c>
      <c r="D1170" t="s">
        <v>95</v>
      </c>
      <c r="E1170" t="s">
        <v>3636</v>
      </c>
      <c r="F1170" t="s">
        <v>3609</v>
      </c>
      <c r="G1170" s="1">
        <v>1743874.39</v>
      </c>
    </row>
    <row r="1171" spans="1:7">
      <c r="A1171" t="s">
        <v>1266</v>
      </c>
      <c r="B1171" s="6">
        <v>45871</v>
      </c>
      <c r="C1171" s="6" t="str">
        <f>TEXT(Table3[[#This Row],[transaction_date]], "yyyy-mm")</f>
        <v>2025-08</v>
      </c>
      <c r="D1171" t="s">
        <v>74</v>
      </c>
      <c r="E1171" t="s">
        <v>3636</v>
      </c>
      <c r="F1171" t="s">
        <v>3612</v>
      </c>
      <c r="G1171" s="1">
        <v>500585.08</v>
      </c>
    </row>
    <row r="1172" spans="1:7">
      <c r="A1172" t="s">
        <v>1267</v>
      </c>
      <c r="B1172" s="6">
        <v>45976</v>
      </c>
      <c r="C1172" s="6" t="str">
        <f>TEXT(Table3[[#This Row],[transaction_date]], "yyyy-mm")</f>
        <v>2025-11</v>
      </c>
      <c r="D1172" t="s">
        <v>77</v>
      </c>
      <c r="E1172" t="s">
        <v>3636</v>
      </c>
      <c r="F1172" t="s">
        <v>3606</v>
      </c>
      <c r="G1172" s="1">
        <v>267589.65999999997</v>
      </c>
    </row>
    <row r="1173" spans="1:7">
      <c r="A1173" t="s">
        <v>1268</v>
      </c>
      <c r="B1173" s="6">
        <v>45956</v>
      </c>
      <c r="C1173" s="6" t="str">
        <f>TEXT(Table3[[#This Row],[transaction_date]], "yyyy-mm")</f>
        <v>2025-10</v>
      </c>
      <c r="D1173" t="s">
        <v>73</v>
      </c>
      <c r="E1173" t="s">
        <v>3636</v>
      </c>
      <c r="F1173" t="s">
        <v>3607</v>
      </c>
      <c r="G1173" s="1">
        <v>380630.29</v>
      </c>
    </row>
    <row r="1174" spans="1:7">
      <c r="A1174" t="s">
        <v>1269</v>
      </c>
      <c r="B1174" s="6">
        <v>45845</v>
      </c>
      <c r="C1174" s="6" t="str">
        <f>TEXT(Table3[[#This Row],[transaction_date]], "yyyy-mm")</f>
        <v>2025-07</v>
      </c>
      <c r="D1174" t="s">
        <v>73</v>
      </c>
      <c r="E1174" t="s">
        <v>3636</v>
      </c>
      <c r="F1174" t="s">
        <v>3611</v>
      </c>
      <c r="G1174" s="1">
        <v>202882.3</v>
      </c>
    </row>
    <row r="1175" spans="1:7">
      <c r="A1175" t="s">
        <v>1270</v>
      </c>
      <c r="B1175" s="6">
        <v>45839</v>
      </c>
      <c r="C1175" s="6" t="str">
        <f>TEXT(Table3[[#This Row],[transaction_date]], "yyyy-mm")</f>
        <v>2025-07</v>
      </c>
      <c r="D1175" t="s">
        <v>78</v>
      </c>
      <c r="E1175" t="s">
        <v>3636</v>
      </c>
      <c r="F1175" t="s">
        <v>3613</v>
      </c>
      <c r="G1175" s="1">
        <v>8075671</v>
      </c>
    </row>
    <row r="1176" spans="1:7">
      <c r="A1176" t="s">
        <v>1271</v>
      </c>
      <c r="B1176" s="6">
        <v>45739</v>
      </c>
      <c r="C1176" s="6" t="str">
        <f>TEXT(Table3[[#This Row],[transaction_date]], "yyyy-mm")</f>
        <v>2025-03</v>
      </c>
      <c r="D1176" t="s">
        <v>90</v>
      </c>
      <c r="E1176" t="s">
        <v>3636</v>
      </c>
      <c r="F1176" t="s">
        <v>3604</v>
      </c>
      <c r="G1176" s="1">
        <v>370299.13</v>
      </c>
    </row>
    <row r="1177" spans="1:7">
      <c r="A1177" t="s">
        <v>1272</v>
      </c>
      <c r="B1177" s="6">
        <v>45764</v>
      </c>
      <c r="C1177" s="6" t="str">
        <f>TEXT(Table3[[#This Row],[transaction_date]], "yyyy-mm")</f>
        <v>2025-04</v>
      </c>
      <c r="D1177" t="s">
        <v>78</v>
      </c>
      <c r="E1177" t="s">
        <v>3636</v>
      </c>
      <c r="F1177" t="s">
        <v>3608</v>
      </c>
      <c r="G1177" s="1">
        <v>133402.74</v>
      </c>
    </row>
    <row r="1178" spans="1:7">
      <c r="A1178" t="s">
        <v>1273</v>
      </c>
      <c r="B1178" s="6">
        <v>46003</v>
      </c>
      <c r="C1178" s="6" t="str">
        <f>TEXT(Table3[[#This Row],[transaction_date]], "yyyy-mm")</f>
        <v>2025-12</v>
      </c>
      <c r="D1178" t="s">
        <v>77</v>
      </c>
      <c r="E1178" t="s">
        <v>3637</v>
      </c>
      <c r="F1178" t="s">
        <v>3618</v>
      </c>
      <c r="G1178" s="1">
        <v>2381985.2200000002</v>
      </c>
    </row>
    <row r="1179" spans="1:7">
      <c r="A1179" t="s">
        <v>1274</v>
      </c>
      <c r="B1179" s="6">
        <v>45684</v>
      </c>
      <c r="C1179" s="6" t="str">
        <f>TEXT(Table3[[#This Row],[transaction_date]], "yyyy-mm")</f>
        <v>2025-01</v>
      </c>
      <c r="D1179" t="s">
        <v>74</v>
      </c>
      <c r="E1179" t="s">
        <v>3636</v>
      </c>
      <c r="F1179" t="s">
        <v>3607</v>
      </c>
      <c r="G1179" s="1">
        <v>72160.710000000006</v>
      </c>
    </row>
    <row r="1180" spans="1:7">
      <c r="A1180" t="s">
        <v>1275</v>
      </c>
      <c r="B1180" s="6">
        <v>45770</v>
      </c>
      <c r="C1180" s="6" t="str">
        <f>TEXT(Table3[[#This Row],[transaction_date]], "yyyy-mm")</f>
        <v>2025-04</v>
      </c>
      <c r="D1180" t="s">
        <v>89</v>
      </c>
      <c r="E1180" t="s">
        <v>3636</v>
      </c>
      <c r="F1180" t="s">
        <v>3604</v>
      </c>
      <c r="G1180" s="1">
        <v>1063295.6000000001</v>
      </c>
    </row>
    <row r="1181" spans="1:7">
      <c r="A1181" t="s">
        <v>1276</v>
      </c>
      <c r="B1181" s="6">
        <v>45730</v>
      </c>
      <c r="C1181" s="6" t="str">
        <f>TEXT(Table3[[#This Row],[transaction_date]], "yyyy-mm")</f>
        <v>2025-03</v>
      </c>
      <c r="D1181" t="s">
        <v>79</v>
      </c>
      <c r="E1181" t="s">
        <v>3637</v>
      </c>
      <c r="F1181" t="s">
        <v>3620</v>
      </c>
      <c r="G1181" s="1">
        <v>576584.53</v>
      </c>
    </row>
    <row r="1182" spans="1:7">
      <c r="A1182" t="s">
        <v>1277</v>
      </c>
      <c r="B1182" s="6">
        <v>45699</v>
      </c>
      <c r="C1182" s="6" t="str">
        <f>TEXT(Table3[[#This Row],[transaction_date]], "yyyy-mm")</f>
        <v>2025-02</v>
      </c>
      <c r="D1182" t="s">
        <v>79</v>
      </c>
      <c r="E1182" t="s">
        <v>3637</v>
      </c>
      <c r="F1182" t="s">
        <v>3619</v>
      </c>
      <c r="G1182" s="1">
        <v>154597.94</v>
      </c>
    </row>
    <row r="1183" spans="1:7">
      <c r="A1183" t="s">
        <v>1278</v>
      </c>
      <c r="B1183" s="6">
        <v>45729</v>
      </c>
      <c r="C1183" s="6" t="str">
        <f>TEXT(Table3[[#This Row],[transaction_date]], "yyyy-mm")</f>
        <v>2025-03</v>
      </c>
      <c r="D1183" t="s">
        <v>77</v>
      </c>
      <c r="E1183" t="s">
        <v>3636</v>
      </c>
      <c r="F1183" t="s">
        <v>3613</v>
      </c>
      <c r="G1183" s="1">
        <v>1251604.48</v>
      </c>
    </row>
    <row r="1184" spans="1:7">
      <c r="A1184" t="s">
        <v>1279</v>
      </c>
      <c r="B1184" s="6">
        <v>45779</v>
      </c>
      <c r="C1184" s="6" t="str">
        <f>TEXT(Table3[[#This Row],[transaction_date]], "yyyy-mm")</f>
        <v>2025-05</v>
      </c>
      <c r="D1184" t="s">
        <v>75</v>
      </c>
      <c r="E1184" t="s">
        <v>3636</v>
      </c>
      <c r="F1184" t="s">
        <v>3608</v>
      </c>
      <c r="G1184" s="1">
        <v>15572758.890000001</v>
      </c>
    </row>
    <row r="1185" spans="1:7">
      <c r="A1185" t="s">
        <v>1280</v>
      </c>
      <c r="B1185" s="6">
        <v>46000</v>
      </c>
      <c r="C1185" s="6" t="str">
        <f>TEXT(Table3[[#This Row],[transaction_date]], "yyyy-mm")</f>
        <v>2025-12</v>
      </c>
      <c r="D1185" t="s">
        <v>89</v>
      </c>
      <c r="E1185" t="s">
        <v>3637</v>
      </c>
      <c r="F1185" t="s">
        <v>3617</v>
      </c>
      <c r="G1185" s="1">
        <v>204106.91</v>
      </c>
    </row>
    <row r="1186" spans="1:7">
      <c r="A1186" t="s">
        <v>1281</v>
      </c>
      <c r="B1186" s="6">
        <v>45923</v>
      </c>
      <c r="C1186" s="6" t="str">
        <f>TEXT(Table3[[#This Row],[transaction_date]], "yyyy-mm")</f>
        <v>2025-09</v>
      </c>
      <c r="D1186" t="s">
        <v>93</v>
      </c>
      <c r="E1186" t="s">
        <v>3637</v>
      </c>
      <c r="F1186" t="s">
        <v>3620</v>
      </c>
      <c r="G1186" s="1">
        <v>85586.17</v>
      </c>
    </row>
    <row r="1187" spans="1:7">
      <c r="A1187" t="s">
        <v>1282</v>
      </c>
      <c r="B1187" s="6">
        <v>45913</v>
      </c>
      <c r="C1187" s="6" t="str">
        <f>TEXT(Table3[[#This Row],[transaction_date]], "yyyy-mm")</f>
        <v>2025-09</v>
      </c>
      <c r="D1187" t="s">
        <v>75</v>
      </c>
      <c r="E1187" t="s">
        <v>3636</v>
      </c>
      <c r="F1187" t="s">
        <v>3612</v>
      </c>
      <c r="G1187" s="1">
        <v>2236221.61</v>
      </c>
    </row>
    <row r="1188" spans="1:7">
      <c r="A1188" t="s">
        <v>1283</v>
      </c>
      <c r="B1188" s="6">
        <v>45700</v>
      </c>
      <c r="C1188" s="6" t="str">
        <f>TEXT(Table3[[#This Row],[transaction_date]], "yyyy-mm")</f>
        <v>2025-02</v>
      </c>
      <c r="D1188" t="s">
        <v>85</v>
      </c>
      <c r="E1188" t="s">
        <v>3636</v>
      </c>
      <c r="F1188" t="s">
        <v>3606</v>
      </c>
      <c r="G1188" s="1">
        <v>259504.51</v>
      </c>
    </row>
    <row r="1189" spans="1:7">
      <c r="A1189" t="s">
        <v>1284</v>
      </c>
      <c r="B1189" s="6">
        <v>45934</v>
      </c>
      <c r="C1189" s="6" t="str">
        <f>TEXT(Table3[[#This Row],[transaction_date]], "yyyy-mm")</f>
        <v>2025-10</v>
      </c>
      <c r="D1189" t="s">
        <v>95</v>
      </c>
      <c r="E1189" t="s">
        <v>3636</v>
      </c>
      <c r="F1189" t="s">
        <v>3606</v>
      </c>
      <c r="G1189" s="1">
        <v>3270091.44</v>
      </c>
    </row>
    <row r="1190" spans="1:7">
      <c r="A1190" t="s">
        <v>1285</v>
      </c>
      <c r="B1190" s="6">
        <v>45681</v>
      </c>
      <c r="C1190" s="6" t="str">
        <f>TEXT(Table3[[#This Row],[transaction_date]], "yyyy-mm")</f>
        <v>2025-01</v>
      </c>
      <c r="D1190" t="s">
        <v>76</v>
      </c>
      <c r="E1190" t="s">
        <v>3637</v>
      </c>
      <c r="F1190" t="s">
        <v>3621</v>
      </c>
      <c r="G1190" s="1">
        <v>2675537.44</v>
      </c>
    </row>
    <row r="1191" spans="1:7">
      <c r="A1191" t="s">
        <v>1286</v>
      </c>
      <c r="B1191" s="6">
        <v>45965</v>
      </c>
      <c r="C1191" s="6" t="str">
        <f>TEXT(Table3[[#This Row],[transaction_date]], "yyyy-mm")</f>
        <v>2025-11</v>
      </c>
      <c r="D1191" t="s">
        <v>75</v>
      </c>
      <c r="E1191" t="s">
        <v>3637</v>
      </c>
      <c r="F1191" t="s">
        <v>3621</v>
      </c>
      <c r="G1191" s="1">
        <v>5978006.1799999997</v>
      </c>
    </row>
    <row r="1192" spans="1:7">
      <c r="A1192" t="s">
        <v>1287</v>
      </c>
      <c r="B1192" s="6">
        <v>45800</v>
      </c>
      <c r="C1192" s="6" t="str">
        <f>TEXT(Table3[[#This Row],[transaction_date]], "yyyy-mm")</f>
        <v>2025-05</v>
      </c>
      <c r="D1192" t="s">
        <v>85</v>
      </c>
      <c r="E1192" t="s">
        <v>3636</v>
      </c>
      <c r="F1192" t="s">
        <v>3607</v>
      </c>
      <c r="G1192" s="1">
        <v>2621283.5499999998</v>
      </c>
    </row>
    <row r="1193" spans="1:7">
      <c r="A1193" t="s">
        <v>1288</v>
      </c>
      <c r="B1193" s="6">
        <v>46020</v>
      </c>
      <c r="C1193" s="6" t="str">
        <f>TEXT(Table3[[#This Row],[transaction_date]], "yyyy-mm")</f>
        <v>2025-12</v>
      </c>
      <c r="D1193" t="s">
        <v>73</v>
      </c>
      <c r="E1193" t="s">
        <v>3637</v>
      </c>
      <c r="F1193" t="s">
        <v>3620</v>
      </c>
      <c r="G1193" s="1">
        <v>1531826.81</v>
      </c>
    </row>
    <row r="1194" spans="1:7">
      <c r="A1194" t="s">
        <v>1289</v>
      </c>
      <c r="B1194" s="6">
        <v>45901</v>
      </c>
      <c r="C1194" s="6" t="str">
        <f>TEXT(Table3[[#This Row],[transaction_date]], "yyyy-mm")</f>
        <v>2025-09</v>
      </c>
      <c r="D1194" t="s">
        <v>85</v>
      </c>
      <c r="E1194" t="s">
        <v>3637</v>
      </c>
      <c r="F1194" t="s">
        <v>3619</v>
      </c>
      <c r="G1194" s="1">
        <v>1757129.66</v>
      </c>
    </row>
    <row r="1195" spans="1:7">
      <c r="A1195" t="s">
        <v>1290</v>
      </c>
      <c r="B1195" s="6">
        <v>45836</v>
      </c>
      <c r="C1195" s="6" t="str">
        <f>TEXT(Table3[[#This Row],[transaction_date]], "yyyy-mm")</f>
        <v>2025-06</v>
      </c>
      <c r="D1195" t="s">
        <v>93</v>
      </c>
      <c r="E1195" t="s">
        <v>3636</v>
      </c>
      <c r="F1195" t="s">
        <v>3612</v>
      </c>
      <c r="G1195" s="1">
        <v>9195630.5099999998</v>
      </c>
    </row>
    <row r="1196" spans="1:7">
      <c r="A1196" t="s">
        <v>1291</v>
      </c>
      <c r="B1196" s="6">
        <v>45944</v>
      </c>
      <c r="C1196" s="6" t="str">
        <f>TEXT(Table3[[#This Row],[transaction_date]], "yyyy-mm")</f>
        <v>2025-10</v>
      </c>
      <c r="D1196" t="s">
        <v>93</v>
      </c>
      <c r="E1196" t="s">
        <v>3636</v>
      </c>
      <c r="F1196" t="s">
        <v>3609</v>
      </c>
      <c r="G1196" s="1">
        <v>6848663.4400000004</v>
      </c>
    </row>
    <row r="1197" spans="1:7">
      <c r="A1197" t="s">
        <v>1292</v>
      </c>
      <c r="B1197" s="6">
        <v>45745</v>
      </c>
      <c r="C1197" s="6" t="str">
        <f>TEXT(Table3[[#This Row],[transaction_date]], "yyyy-mm")</f>
        <v>2025-03</v>
      </c>
      <c r="D1197" t="s">
        <v>93</v>
      </c>
      <c r="E1197" t="s">
        <v>3637</v>
      </c>
      <c r="F1197" t="s">
        <v>3615</v>
      </c>
      <c r="G1197" s="1">
        <v>1649129.09</v>
      </c>
    </row>
    <row r="1198" spans="1:7">
      <c r="A1198" t="s">
        <v>1293</v>
      </c>
      <c r="B1198" s="6">
        <v>45909</v>
      </c>
      <c r="C1198" s="6" t="str">
        <f>TEXT(Table3[[#This Row],[transaction_date]], "yyyy-mm")</f>
        <v>2025-09</v>
      </c>
      <c r="D1198" t="s">
        <v>89</v>
      </c>
      <c r="E1198" t="s">
        <v>3637</v>
      </c>
      <c r="F1198" t="s">
        <v>3617</v>
      </c>
      <c r="G1198" s="1">
        <v>2098864.5699999998</v>
      </c>
    </row>
    <row r="1199" spans="1:7">
      <c r="A1199" t="s">
        <v>1294</v>
      </c>
      <c r="B1199" s="6">
        <v>45823</v>
      </c>
      <c r="C1199" s="6" t="str">
        <f>TEXT(Table3[[#This Row],[transaction_date]], "yyyy-mm")</f>
        <v>2025-06</v>
      </c>
      <c r="D1199" t="s">
        <v>89</v>
      </c>
      <c r="E1199" t="s">
        <v>3637</v>
      </c>
      <c r="F1199" t="s">
        <v>3617</v>
      </c>
      <c r="G1199" s="1">
        <v>2351561.39</v>
      </c>
    </row>
    <row r="1200" spans="1:7">
      <c r="A1200" t="s">
        <v>1295</v>
      </c>
      <c r="B1200" s="6">
        <v>46018</v>
      </c>
      <c r="C1200" s="6" t="str">
        <f>TEXT(Table3[[#This Row],[transaction_date]], "yyyy-mm")</f>
        <v>2025-12</v>
      </c>
      <c r="D1200" t="s">
        <v>95</v>
      </c>
      <c r="E1200" t="s">
        <v>3637</v>
      </c>
      <c r="F1200" t="s">
        <v>3620</v>
      </c>
      <c r="G1200" s="1">
        <v>7201175.6699999999</v>
      </c>
    </row>
    <row r="1201" spans="1:7">
      <c r="A1201" t="s">
        <v>1296</v>
      </c>
      <c r="B1201" s="6">
        <v>45903</v>
      </c>
      <c r="C1201" s="6" t="str">
        <f>TEXT(Table3[[#This Row],[transaction_date]], "yyyy-mm")</f>
        <v>2025-09</v>
      </c>
      <c r="D1201" t="s">
        <v>82</v>
      </c>
      <c r="E1201" t="s">
        <v>3637</v>
      </c>
      <c r="F1201" t="s">
        <v>3620</v>
      </c>
      <c r="G1201" s="1">
        <v>8720021.2699999996</v>
      </c>
    </row>
    <row r="1202" spans="1:7">
      <c r="A1202" t="s">
        <v>1297</v>
      </c>
      <c r="B1202" s="6">
        <v>45713</v>
      </c>
      <c r="C1202" s="6" t="str">
        <f>TEXT(Table3[[#This Row],[transaction_date]], "yyyy-mm")</f>
        <v>2025-02</v>
      </c>
      <c r="D1202" t="s">
        <v>89</v>
      </c>
      <c r="E1202" t="s">
        <v>3636</v>
      </c>
      <c r="F1202" t="s">
        <v>3604</v>
      </c>
      <c r="G1202" s="1">
        <v>1749744.03</v>
      </c>
    </row>
    <row r="1203" spans="1:7">
      <c r="A1203" t="s">
        <v>1298</v>
      </c>
      <c r="B1203" s="6">
        <v>45877</v>
      </c>
      <c r="C1203" s="6" t="str">
        <f>TEXT(Table3[[#This Row],[transaction_date]], "yyyy-mm")</f>
        <v>2025-08</v>
      </c>
      <c r="D1203" t="s">
        <v>79</v>
      </c>
      <c r="E1203" t="s">
        <v>3636</v>
      </c>
      <c r="F1203" t="s">
        <v>3605</v>
      </c>
      <c r="G1203" s="1">
        <v>645569.48</v>
      </c>
    </row>
    <row r="1204" spans="1:7">
      <c r="A1204" t="s">
        <v>1299</v>
      </c>
      <c r="B1204" s="6">
        <v>45977</v>
      </c>
      <c r="C1204" s="6" t="str">
        <f>TEXT(Table3[[#This Row],[transaction_date]], "yyyy-mm")</f>
        <v>2025-11</v>
      </c>
      <c r="D1204" t="s">
        <v>79</v>
      </c>
      <c r="E1204" t="s">
        <v>3637</v>
      </c>
      <c r="F1204" t="s">
        <v>3620</v>
      </c>
      <c r="G1204" s="1">
        <v>6592713.4900000002</v>
      </c>
    </row>
    <row r="1205" spans="1:7">
      <c r="A1205" t="s">
        <v>1300</v>
      </c>
      <c r="B1205" s="6">
        <v>45670</v>
      </c>
      <c r="C1205" s="6" t="str">
        <f>TEXT(Table3[[#This Row],[transaction_date]], "yyyy-mm")</f>
        <v>2025-01</v>
      </c>
      <c r="D1205" t="s">
        <v>79</v>
      </c>
      <c r="E1205" t="s">
        <v>3636</v>
      </c>
      <c r="F1205" t="s">
        <v>3605</v>
      </c>
      <c r="G1205" s="1">
        <v>674552.76</v>
      </c>
    </row>
    <row r="1206" spans="1:7">
      <c r="A1206" t="s">
        <v>1301</v>
      </c>
      <c r="B1206" s="6">
        <v>45880</v>
      </c>
      <c r="C1206" s="6" t="str">
        <f>TEXT(Table3[[#This Row],[transaction_date]], "yyyy-mm")</f>
        <v>2025-08</v>
      </c>
      <c r="D1206" t="s">
        <v>84</v>
      </c>
      <c r="E1206" t="s">
        <v>3637</v>
      </c>
      <c r="F1206" t="s">
        <v>3619</v>
      </c>
      <c r="G1206" s="1">
        <v>7939403.96</v>
      </c>
    </row>
    <row r="1207" spans="1:7">
      <c r="A1207" t="s">
        <v>1302</v>
      </c>
      <c r="B1207" s="6">
        <v>45824</v>
      </c>
      <c r="C1207" s="6" t="str">
        <f>TEXT(Table3[[#This Row],[transaction_date]], "yyyy-mm")</f>
        <v>2025-06</v>
      </c>
      <c r="D1207" t="s">
        <v>74</v>
      </c>
      <c r="E1207" t="s">
        <v>3636</v>
      </c>
      <c r="F1207" t="s">
        <v>3612</v>
      </c>
      <c r="G1207" s="1">
        <v>586602.79</v>
      </c>
    </row>
    <row r="1208" spans="1:7">
      <c r="A1208" t="s">
        <v>1303</v>
      </c>
      <c r="B1208" s="6">
        <v>45721</v>
      </c>
      <c r="C1208" s="6" t="str">
        <f>TEXT(Table3[[#This Row],[transaction_date]], "yyyy-mm")</f>
        <v>2025-03</v>
      </c>
      <c r="D1208" t="s">
        <v>95</v>
      </c>
      <c r="E1208" t="s">
        <v>3637</v>
      </c>
      <c r="F1208" t="s">
        <v>3621</v>
      </c>
      <c r="G1208" s="1">
        <v>13746154.800000001</v>
      </c>
    </row>
    <row r="1209" spans="1:7">
      <c r="A1209" t="s">
        <v>1304</v>
      </c>
      <c r="B1209" s="6">
        <v>45680</v>
      </c>
      <c r="C1209" s="6" t="str">
        <f>TEXT(Table3[[#This Row],[transaction_date]], "yyyy-mm")</f>
        <v>2025-01</v>
      </c>
      <c r="D1209" t="s">
        <v>74</v>
      </c>
      <c r="E1209" t="s">
        <v>3636</v>
      </c>
      <c r="F1209" t="s">
        <v>3611</v>
      </c>
      <c r="G1209" s="1">
        <v>663956.88</v>
      </c>
    </row>
    <row r="1210" spans="1:7">
      <c r="A1210" t="s">
        <v>1305</v>
      </c>
      <c r="B1210" s="6">
        <v>45886</v>
      </c>
      <c r="C1210" s="6" t="str">
        <f>TEXT(Table3[[#This Row],[transaction_date]], "yyyy-mm")</f>
        <v>2025-08</v>
      </c>
      <c r="D1210" t="s">
        <v>76</v>
      </c>
      <c r="E1210" t="s">
        <v>3637</v>
      </c>
      <c r="F1210" t="s">
        <v>3620</v>
      </c>
      <c r="G1210" s="1">
        <v>398936.62</v>
      </c>
    </row>
    <row r="1211" spans="1:7">
      <c r="A1211" t="s">
        <v>1306</v>
      </c>
      <c r="B1211" s="6">
        <v>45890</v>
      </c>
      <c r="C1211" s="6" t="str">
        <f>TEXT(Table3[[#This Row],[transaction_date]], "yyyy-mm")</f>
        <v>2025-08</v>
      </c>
      <c r="D1211" t="s">
        <v>84</v>
      </c>
      <c r="E1211" t="s">
        <v>3637</v>
      </c>
      <c r="F1211" t="s">
        <v>3614</v>
      </c>
      <c r="G1211" s="1">
        <v>22207797.940000001</v>
      </c>
    </row>
    <row r="1212" spans="1:7">
      <c r="A1212" t="s">
        <v>1307</v>
      </c>
      <c r="B1212" s="6">
        <v>45872</v>
      </c>
      <c r="C1212" s="6" t="str">
        <f>TEXT(Table3[[#This Row],[transaction_date]], "yyyy-mm")</f>
        <v>2025-08</v>
      </c>
      <c r="D1212" t="s">
        <v>90</v>
      </c>
      <c r="E1212" t="s">
        <v>3637</v>
      </c>
      <c r="F1212" t="s">
        <v>3615</v>
      </c>
      <c r="G1212" s="1">
        <v>3864209.95</v>
      </c>
    </row>
    <row r="1213" spans="1:7">
      <c r="A1213" t="s">
        <v>1308</v>
      </c>
      <c r="B1213" s="6">
        <v>45968</v>
      </c>
      <c r="C1213" s="6" t="str">
        <f>TEXT(Table3[[#This Row],[transaction_date]], "yyyy-mm")</f>
        <v>2025-11</v>
      </c>
      <c r="D1213" t="s">
        <v>90</v>
      </c>
      <c r="E1213" t="s">
        <v>3637</v>
      </c>
      <c r="F1213" t="s">
        <v>3617</v>
      </c>
      <c r="G1213" s="1">
        <v>21851553.59</v>
      </c>
    </row>
    <row r="1214" spans="1:7">
      <c r="A1214" t="s">
        <v>1309</v>
      </c>
      <c r="B1214" s="6">
        <v>45915</v>
      </c>
      <c r="C1214" s="6" t="str">
        <f>TEXT(Table3[[#This Row],[transaction_date]], "yyyy-mm")</f>
        <v>2025-09</v>
      </c>
      <c r="D1214" t="s">
        <v>73</v>
      </c>
      <c r="E1214" t="s">
        <v>3636</v>
      </c>
      <c r="F1214" t="s">
        <v>3612</v>
      </c>
      <c r="G1214" s="1">
        <v>3636492.55</v>
      </c>
    </row>
    <row r="1215" spans="1:7">
      <c r="A1215" t="s">
        <v>1310</v>
      </c>
      <c r="B1215" s="6">
        <v>45782</v>
      </c>
      <c r="C1215" s="6" t="str">
        <f>TEXT(Table3[[#This Row],[transaction_date]], "yyyy-mm")</f>
        <v>2025-05</v>
      </c>
      <c r="D1215" t="s">
        <v>75</v>
      </c>
      <c r="E1215" t="s">
        <v>3636</v>
      </c>
      <c r="F1215" t="s">
        <v>3612</v>
      </c>
      <c r="G1215" s="1">
        <v>6934789</v>
      </c>
    </row>
    <row r="1216" spans="1:7">
      <c r="A1216" t="s">
        <v>1311</v>
      </c>
      <c r="B1216" s="6">
        <v>45814</v>
      </c>
      <c r="C1216" s="6" t="str">
        <f>TEXT(Table3[[#This Row],[transaction_date]], "yyyy-mm")</f>
        <v>2025-06</v>
      </c>
      <c r="D1216" t="s">
        <v>78</v>
      </c>
      <c r="E1216" t="s">
        <v>3636</v>
      </c>
      <c r="F1216" t="s">
        <v>3612</v>
      </c>
      <c r="G1216" s="1">
        <v>8044280.2400000002</v>
      </c>
    </row>
    <row r="1217" spans="1:7">
      <c r="A1217" t="s">
        <v>1312</v>
      </c>
      <c r="B1217" s="6">
        <v>45848</v>
      </c>
      <c r="C1217" s="6" t="str">
        <f>TEXT(Table3[[#This Row],[transaction_date]], "yyyy-mm")</f>
        <v>2025-07</v>
      </c>
      <c r="D1217" t="s">
        <v>79</v>
      </c>
      <c r="E1217" t="s">
        <v>3636</v>
      </c>
      <c r="F1217" t="s">
        <v>3607</v>
      </c>
      <c r="G1217" s="1">
        <v>3649288.67</v>
      </c>
    </row>
    <row r="1218" spans="1:7">
      <c r="A1218" t="s">
        <v>1313</v>
      </c>
      <c r="B1218" s="6">
        <v>45697</v>
      </c>
      <c r="C1218" s="6" t="str">
        <f>TEXT(Table3[[#This Row],[transaction_date]], "yyyy-mm")</f>
        <v>2025-02</v>
      </c>
      <c r="D1218" t="s">
        <v>95</v>
      </c>
      <c r="E1218" t="s">
        <v>3637</v>
      </c>
      <c r="F1218" t="s">
        <v>3620</v>
      </c>
      <c r="G1218" s="1">
        <v>1104330.03</v>
      </c>
    </row>
    <row r="1219" spans="1:7">
      <c r="A1219" t="s">
        <v>1314</v>
      </c>
      <c r="B1219" s="6">
        <v>45897</v>
      </c>
      <c r="C1219" s="6" t="str">
        <f>TEXT(Table3[[#This Row],[transaction_date]], "yyyy-mm")</f>
        <v>2025-08</v>
      </c>
      <c r="D1219" t="s">
        <v>84</v>
      </c>
      <c r="E1219" t="s">
        <v>3637</v>
      </c>
      <c r="F1219" t="s">
        <v>3619</v>
      </c>
      <c r="G1219" s="1">
        <v>12997113.460000001</v>
      </c>
    </row>
    <row r="1220" spans="1:7">
      <c r="A1220" t="s">
        <v>1315</v>
      </c>
      <c r="B1220" s="6">
        <v>45850</v>
      </c>
      <c r="C1220" s="6" t="str">
        <f>TEXT(Table3[[#This Row],[transaction_date]], "yyyy-mm")</f>
        <v>2025-07</v>
      </c>
      <c r="D1220" t="s">
        <v>89</v>
      </c>
      <c r="E1220" t="s">
        <v>3637</v>
      </c>
      <c r="F1220" t="s">
        <v>3620</v>
      </c>
      <c r="G1220" s="1">
        <v>30966.75</v>
      </c>
    </row>
    <row r="1221" spans="1:7">
      <c r="A1221" t="s">
        <v>1316</v>
      </c>
      <c r="B1221" s="6">
        <v>45704</v>
      </c>
      <c r="C1221" s="6" t="str">
        <f>TEXT(Table3[[#This Row],[transaction_date]], "yyyy-mm")</f>
        <v>2025-02</v>
      </c>
      <c r="D1221" t="s">
        <v>73</v>
      </c>
      <c r="E1221" t="s">
        <v>3637</v>
      </c>
      <c r="F1221" t="s">
        <v>3621</v>
      </c>
      <c r="G1221" s="1">
        <v>407813.26</v>
      </c>
    </row>
    <row r="1222" spans="1:7">
      <c r="A1222" t="s">
        <v>1317</v>
      </c>
      <c r="B1222" s="6">
        <v>45777</v>
      </c>
      <c r="C1222" s="6" t="str">
        <f>TEXT(Table3[[#This Row],[transaction_date]], "yyyy-mm")</f>
        <v>2025-04</v>
      </c>
      <c r="D1222" t="s">
        <v>79</v>
      </c>
      <c r="E1222" t="s">
        <v>3636</v>
      </c>
      <c r="F1222" t="s">
        <v>3612</v>
      </c>
      <c r="G1222" s="1">
        <v>3369891.16</v>
      </c>
    </row>
    <row r="1223" spans="1:7">
      <c r="A1223" t="s">
        <v>1318</v>
      </c>
      <c r="B1223" s="6">
        <v>46015</v>
      </c>
      <c r="C1223" s="6" t="str">
        <f>TEXT(Table3[[#This Row],[transaction_date]], "yyyy-mm")</f>
        <v>2025-12</v>
      </c>
      <c r="D1223" t="s">
        <v>85</v>
      </c>
      <c r="E1223" t="s">
        <v>3637</v>
      </c>
      <c r="F1223" t="s">
        <v>3619</v>
      </c>
      <c r="G1223" s="1">
        <v>2963284.06</v>
      </c>
    </row>
    <row r="1224" spans="1:7">
      <c r="A1224" t="s">
        <v>1319</v>
      </c>
      <c r="B1224" s="6">
        <v>45898</v>
      </c>
      <c r="C1224" s="6" t="str">
        <f>TEXT(Table3[[#This Row],[transaction_date]], "yyyy-mm")</f>
        <v>2025-08</v>
      </c>
      <c r="D1224" t="s">
        <v>80</v>
      </c>
      <c r="E1224" t="s">
        <v>3637</v>
      </c>
      <c r="F1224" t="s">
        <v>3621</v>
      </c>
      <c r="G1224" s="1">
        <v>974015.05</v>
      </c>
    </row>
    <row r="1225" spans="1:7">
      <c r="A1225" t="s">
        <v>1320</v>
      </c>
      <c r="B1225" s="6">
        <v>45884</v>
      </c>
      <c r="C1225" s="6" t="str">
        <f>TEXT(Table3[[#This Row],[transaction_date]], "yyyy-mm")</f>
        <v>2025-08</v>
      </c>
      <c r="D1225" t="s">
        <v>73</v>
      </c>
      <c r="E1225" t="s">
        <v>3636</v>
      </c>
      <c r="F1225" t="s">
        <v>3613</v>
      </c>
      <c r="G1225" s="1">
        <v>1737185.93</v>
      </c>
    </row>
    <row r="1226" spans="1:7">
      <c r="A1226" t="s">
        <v>1321</v>
      </c>
      <c r="B1226" s="6">
        <v>45750</v>
      </c>
      <c r="C1226" s="6" t="str">
        <f>TEXT(Table3[[#This Row],[transaction_date]], "yyyy-mm")</f>
        <v>2025-04</v>
      </c>
      <c r="D1226" t="s">
        <v>82</v>
      </c>
      <c r="E1226" t="s">
        <v>3636</v>
      </c>
      <c r="F1226" t="s">
        <v>3609</v>
      </c>
      <c r="G1226" s="1">
        <v>27561883.739999998</v>
      </c>
    </row>
    <row r="1227" spans="1:7">
      <c r="A1227" t="s">
        <v>1322</v>
      </c>
      <c r="B1227" s="6">
        <v>45975</v>
      </c>
      <c r="C1227" s="6" t="str">
        <f>TEXT(Table3[[#This Row],[transaction_date]], "yyyy-mm")</f>
        <v>2025-11</v>
      </c>
      <c r="D1227" t="s">
        <v>73</v>
      </c>
      <c r="E1227" t="s">
        <v>3637</v>
      </c>
      <c r="F1227" t="s">
        <v>3623</v>
      </c>
      <c r="G1227" s="1">
        <v>1513689.35</v>
      </c>
    </row>
    <row r="1228" spans="1:7">
      <c r="A1228" t="s">
        <v>1323</v>
      </c>
      <c r="B1228" s="6">
        <v>45865</v>
      </c>
      <c r="C1228" s="6" t="str">
        <f>TEXT(Table3[[#This Row],[transaction_date]], "yyyy-mm")</f>
        <v>2025-07</v>
      </c>
      <c r="D1228" t="s">
        <v>3597</v>
      </c>
      <c r="E1228" t="s">
        <v>3637</v>
      </c>
      <c r="F1228" t="s">
        <v>3621</v>
      </c>
      <c r="G1228" s="1">
        <v>3461881.17</v>
      </c>
    </row>
    <row r="1229" spans="1:7">
      <c r="A1229" t="s">
        <v>1324</v>
      </c>
      <c r="B1229" s="6">
        <v>45840</v>
      </c>
      <c r="C1229" s="6" t="str">
        <f>TEXT(Table3[[#This Row],[transaction_date]], "yyyy-mm")</f>
        <v>2025-07</v>
      </c>
      <c r="D1229" t="s">
        <v>82</v>
      </c>
      <c r="E1229" t="s">
        <v>3636</v>
      </c>
      <c r="F1229" t="s">
        <v>3607</v>
      </c>
      <c r="G1229" s="1">
        <v>16275380.5</v>
      </c>
    </row>
    <row r="1230" spans="1:7">
      <c r="A1230" t="s">
        <v>1325</v>
      </c>
      <c r="B1230" s="6">
        <v>45984</v>
      </c>
      <c r="C1230" s="6" t="str">
        <f>TEXT(Table3[[#This Row],[transaction_date]], "yyyy-mm")</f>
        <v>2025-11</v>
      </c>
      <c r="D1230" t="s">
        <v>90</v>
      </c>
      <c r="E1230" t="s">
        <v>3636</v>
      </c>
      <c r="F1230" t="s">
        <v>3604</v>
      </c>
      <c r="G1230" s="1">
        <v>1204499.92</v>
      </c>
    </row>
    <row r="1231" spans="1:7">
      <c r="A1231" t="s">
        <v>1326</v>
      </c>
      <c r="B1231" s="6">
        <v>45795</v>
      </c>
      <c r="C1231" s="6" t="str">
        <f>TEXT(Table3[[#This Row],[transaction_date]], "yyyy-mm")</f>
        <v>2025-05</v>
      </c>
      <c r="D1231" t="s">
        <v>76</v>
      </c>
      <c r="E1231" t="s">
        <v>3637</v>
      </c>
      <c r="F1231" t="s">
        <v>3619</v>
      </c>
      <c r="G1231" s="1">
        <v>6065548.0899999999</v>
      </c>
    </row>
    <row r="1232" spans="1:7">
      <c r="A1232" t="s">
        <v>1327</v>
      </c>
      <c r="B1232" s="6">
        <v>45825</v>
      </c>
      <c r="C1232" s="6" t="str">
        <f>TEXT(Table3[[#This Row],[transaction_date]], "yyyy-mm")</f>
        <v>2025-06</v>
      </c>
      <c r="D1232" t="s">
        <v>75</v>
      </c>
      <c r="E1232" t="s">
        <v>3637</v>
      </c>
      <c r="F1232" t="s">
        <v>3622</v>
      </c>
      <c r="G1232" s="1">
        <v>617847.71</v>
      </c>
    </row>
    <row r="1233" spans="1:7">
      <c r="A1233" t="s">
        <v>1328</v>
      </c>
      <c r="B1233" s="6">
        <v>45758</v>
      </c>
      <c r="C1233" s="6" t="str">
        <f>TEXT(Table3[[#This Row],[transaction_date]], "yyyy-mm")</f>
        <v>2025-04</v>
      </c>
      <c r="D1233" t="s">
        <v>89</v>
      </c>
      <c r="E1233" t="s">
        <v>3636</v>
      </c>
      <c r="F1233" t="s">
        <v>3609</v>
      </c>
      <c r="G1233" s="1">
        <v>1394902.43</v>
      </c>
    </row>
    <row r="1234" spans="1:7">
      <c r="A1234" t="s">
        <v>1329</v>
      </c>
      <c r="B1234" s="6">
        <v>45989</v>
      </c>
      <c r="C1234" s="6" t="str">
        <f>TEXT(Table3[[#This Row],[transaction_date]], "yyyy-mm")</f>
        <v>2025-11</v>
      </c>
      <c r="D1234" t="s">
        <v>74</v>
      </c>
      <c r="E1234" t="s">
        <v>3636</v>
      </c>
      <c r="F1234" t="s">
        <v>3610</v>
      </c>
      <c r="G1234" s="1">
        <v>226225.58</v>
      </c>
    </row>
    <row r="1235" spans="1:7">
      <c r="A1235" t="s">
        <v>1330</v>
      </c>
      <c r="B1235" s="6">
        <v>45800</v>
      </c>
      <c r="C1235" s="6" t="str">
        <f>TEXT(Table3[[#This Row],[transaction_date]], "yyyy-mm")</f>
        <v>2025-05</v>
      </c>
      <c r="D1235" t="s">
        <v>95</v>
      </c>
      <c r="E1235" t="s">
        <v>3636</v>
      </c>
      <c r="F1235" t="s">
        <v>3613</v>
      </c>
      <c r="G1235" s="1">
        <v>13010720.9</v>
      </c>
    </row>
    <row r="1236" spans="1:7">
      <c r="A1236" t="s">
        <v>1331</v>
      </c>
      <c r="B1236" s="6">
        <v>45844</v>
      </c>
      <c r="C1236" s="6" t="str">
        <f>TEXT(Table3[[#This Row],[transaction_date]], "yyyy-mm")</f>
        <v>2025-07</v>
      </c>
      <c r="D1236" t="s">
        <v>90</v>
      </c>
      <c r="E1236" t="s">
        <v>3637</v>
      </c>
      <c r="F1236" t="s">
        <v>3619</v>
      </c>
      <c r="G1236" s="1">
        <v>7001934.96</v>
      </c>
    </row>
    <row r="1237" spans="1:7">
      <c r="A1237" t="s">
        <v>1332</v>
      </c>
      <c r="B1237" s="6">
        <v>45927</v>
      </c>
      <c r="C1237" s="6" t="str">
        <f>TEXT(Table3[[#This Row],[transaction_date]], "yyyy-mm")</f>
        <v>2025-09</v>
      </c>
      <c r="D1237" t="s">
        <v>73</v>
      </c>
      <c r="E1237" t="s">
        <v>3637</v>
      </c>
      <c r="F1237" t="s">
        <v>3621</v>
      </c>
      <c r="G1237" s="1">
        <v>6366511.9800000004</v>
      </c>
    </row>
    <row r="1238" spans="1:7">
      <c r="A1238" t="s">
        <v>1333</v>
      </c>
      <c r="B1238" s="6">
        <v>45992</v>
      </c>
      <c r="C1238" s="6" t="str">
        <f>TEXT(Table3[[#This Row],[transaction_date]], "yyyy-mm")</f>
        <v>2025-12</v>
      </c>
      <c r="D1238" t="s">
        <v>76</v>
      </c>
      <c r="E1238" t="s">
        <v>3636</v>
      </c>
      <c r="F1238" t="s">
        <v>3613</v>
      </c>
      <c r="G1238" s="1">
        <v>123063.64</v>
      </c>
    </row>
    <row r="1239" spans="1:7">
      <c r="A1239" t="s">
        <v>1334</v>
      </c>
      <c r="B1239" s="6">
        <v>45733</v>
      </c>
      <c r="C1239" s="6" t="str">
        <f>TEXT(Table3[[#This Row],[transaction_date]], "yyyy-mm")</f>
        <v>2025-03</v>
      </c>
      <c r="D1239" t="s">
        <v>90</v>
      </c>
      <c r="E1239" t="s">
        <v>3636</v>
      </c>
      <c r="F1239" t="s">
        <v>3607</v>
      </c>
      <c r="G1239" s="1">
        <v>9042435.9299999997</v>
      </c>
    </row>
    <row r="1240" spans="1:7">
      <c r="A1240" t="s">
        <v>1335</v>
      </c>
      <c r="B1240" s="6">
        <v>45883</v>
      </c>
      <c r="C1240" s="6" t="str">
        <f>TEXT(Table3[[#This Row],[transaction_date]], "yyyy-mm")</f>
        <v>2025-08</v>
      </c>
      <c r="D1240" t="s">
        <v>75</v>
      </c>
      <c r="E1240" t="s">
        <v>3636</v>
      </c>
      <c r="F1240" t="s">
        <v>3606</v>
      </c>
      <c r="G1240" s="1">
        <v>1931905.67</v>
      </c>
    </row>
    <row r="1241" spans="1:7">
      <c r="A1241" t="s">
        <v>1336</v>
      </c>
      <c r="B1241" s="6">
        <v>45703</v>
      </c>
      <c r="C1241" s="6" t="str">
        <f>TEXT(Table3[[#This Row],[transaction_date]], "yyyy-mm")</f>
        <v>2025-02</v>
      </c>
      <c r="D1241" t="s">
        <v>79</v>
      </c>
      <c r="E1241" t="s">
        <v>3637</v>
      </c>
      <c r="F1241" t="s">
        <v>3619</v>
      </c>
      <c r="G1241" s="1">
        <v>874022.55</v>
      </c>
    </row>
    <row r="1242" spans="1:7">
      <c r="A1242" t="s">
        <v>1337</v>
      </c>
      <c r="B1242" s="6">
        <v>45797</v>
      </c>
      <c r="C1242" s="6" t="str">
        <f>TEXT(Table3[[#This Row],[transaction_date]], "yyyy-mm")</f>
        <v>2025-05</v>
      </c>
      <c r="D1242" t="s">
        <v>80</v>
      </c>
      <c r="E1242" t="s">
        <v>3637</v>
      </c>
      <c r="F1242" t="s">
        <v>3615</v>
      </c>
      <c r="G1242" s="1">
        <v>448042.38</v>
      </c>
    </row>
    <row r="1243" spans="1:7">
      <c r="A1243" t="s">
        <v>1338</v>
      </c>
      <c r="B1243" s="6">
        <v>45781</v>
      </c>
      <c r="C1243" s="6" t="str">
        <f>TEXT(Table3[[#This Row],[transaction_date]], "yyyy-mm")</f>
        <v>2025-05</v>
      </c>
      <c r="D1243" t="s">
        <v>93</v>
      </c>
      <c r="E1243" t="s">
        <v>3636</v>
      </c>
      <c r="F1243" t="s">
        <v>3611</v>
      </c>
      <c r="G1243" s="1">
        <v>5932920.4699999997</v>
      </c>
    </row>
    <row r="1244" spans="1:7">
      <c r="A1244" t="s">
        <v>1339</v>
      </c>
      <c r="B1244" s="6">
        <v>45836</v>
      </c>
      <c r="C1244" s="6" t="str">
        <f>TEXT(Table3[[#This Row],[transaction_date]], "yyyy-mm")</f>
        <v>2025-06</v>
      </c>
      <c r="D1244" t="s">
        <v>93</v>
      </c>
      <c r="E1244" t="s">
        <v>3637</v>
      </c>
      <c r="F1244" t="s">
        <v>3615</v>
      </c>
      <c r="G1244" s="1">
        <v>2337936.37</v>
      </c>
    </row>
    <row r="1245" spans="1:7">
      <c r="A1245" t="s">
        <v>1340</v>
      </c>
      <c r="B1245" s="6">
        <v>45759</v>
      </c>
      <c r="C1245" s="6" t="str">
        <f>TEXT(Table3[[#This Row],[transaction_date]], "yyyy-mm")</f>
        <v>2025-04</v>
      </c>
      <c r="D1245" t="s">
        <v>3597</v>
      </c>
      <c r="E1245" t="s">
        <v>3637</v>
      </c>
      <c r="F1245" t="s">
        <v>3619</v>
      </c>
      <c r="G1245" s="1">
        <v>11606975.07</v>
      </c>
    </row>
    <row r="1246" spans="1:7">
      <c r="A1246" t="s">
        <v>1341</v>
      </c>
      <c r="B1246" s="6">
        <v>45885</v>
      </c>
      <c r="C1246" s="6" t="str">
        <f>TEXT(Table3[[#This Row],[transaction_date]], "yyyy-mm")</f>
        <v>2025-08</v>
      </c>
      <c r="D1246" t="s">
        <v>78</v>
      </c>
      <c r="E1246" t="s">
        <v>3637</v>
      </c>
      <c r="F1246" t="s">
        <v>3622</v>
      </c>
      <c r="G1246" s="1">
        <v>1690726.05</v>
      </c>
    </row>
    <row r="1247" spans="1:7">
      <c r="A1247" t="s">
        <v>1342</v>
      </c>
      <c r="B1247" s="6">
        <v>45920</v>
      </c>
      <c r="C1247" s="6" t="str">
        <f>TEXT(Table3[[#This Row],[transaction_date]], "yyyy-mm")</f>
        <v>2025-09</v>
      </c>
      <c r="D1247" t="s">
        <v>95</v>
      </c>
      <c r="E1247" t="s">
        <v>3636</v>
      </c>
      <c r="F1247" t="s">
        <v>3604</v>
      </c>
      <c r="G1247" s="1">
        <v>264876.62</v>
      </c>
    </row>
    <row r="1248" spans="1:7">
      <c r="A1248" t="s">
        <v>1343</v>
      </c>
      <c r="B1248" s="6">
        <v>45766</v>
      </c>
      <c r="C1248" s="6" t="str">
        <f>TEXT(Table3[[#This Row],[transaction_date]], "yyyy-mm")</f>
        <v>2025-04</v>
      </c>
      <c r="D1248" t="s">
        <v>82</v>
      </c>
      <c r="E1248" t="s">
        <v>3636</v>
      </c>
      <c r="F1248" t="s">
        <v>3605</v>
      </c>
      <c r="G1248" s="1">
        <v>2830323.03</v>
      </c>
    </row>
    <row r="1249" spans="1:7">
      <c r="A1249" t="s">
        <v>1344</v>
      </c>
      <c r="B1249" s="6">
        <v>45994</v>
      </c>
      <c r="C1249" s="6" t="str">
        <f>TEXT(Table3[[#This Row],[transaction_date]], "yyyy-mm")</f>
        <v>2025-12</v>
      </c>
      <c r="D1249" t="s">
        <v>90</v>
      </c>
      <c r="E1249" t="s">
        <v>3636</v>
      </c>
      <c r="F1249" t="s">
        <v>3610</v>
      </c>
      <c r="G1249" s="1">
        <v>2518427.13</v>
      </c>
    </row>
    <row r="1250" spans="1:7">
      <c r="A1250" t="s">
        <v>1345</v>
      </c>
      <c r="B1250" s="6">
        <v>45689</v>
      </c>
      <c r="C1250" s="6" t="str">
        <f>TEXT(Table3[[#This Row],[transaction_date]], "yyyy-mm")</f>
        <v>2025-02</v>
      </c>
      <c r="D1250" t="s">
        <v>75</v>
      </c>
      <c r="E1250" t="s">
        <v>3637</v>
      </c>
      <c r="F1250" t="s">
        <v>3622</v>
      </c>
      <c r="G1250" s="1">
        <v>5106536.08</v>
      </c>
    </row>
    <row r="1251" spans="1:7">
      <c r="A1251" t="s">
        <v>1346</v>
      </c>
      <c r="B1251" s="6">
        <v>45711</v>
      </c>
      <c r="C1251" s="6" t="str">
        <f>TEXT(Table3[[#This Row],[transaction_date]], "yyyy-mm")</f>
        <v>2025-02</v>
      </c>
      <c r="D1251" t="s">
        <v>79</v>
      </c>
      <c r="E1251" t="s">
        <v>3636</v>
      </c>
      <c r="F1251" t="s">
        <v>3604</v>
      </c>
      <c r="G1251" s="1">
        <v>2349258.83</v>
      </c>
    </row>
    <row r="1252" spans="1:7">
      <c r="A1252" t="s">
        <v>1347</v>
      </c>
      <c r="B1252" s="6">
        <v>45766</v>
      </c>
      <c r="C1252" s="6" t="str">
        <f>TEXT(Table3[[#This Row],[transaction_date]], "yyyy-mm")</f>
        <v>2025-04</v>
      </c>
      <c r="D1252" t="s">
        <v>76</v>
      </c>
      <c r="E1252" t="s">
        <v>3636</v>
      </c>
      <c r="F1252" t="s">
        <v>3613</v>
      </c>
      <c r="G1252" s="1">
        <v>696253.31</v>
      </c>
    </row>
    <row r="1253" spans="1:7">
      <c r="A1253" t="s">
        <v>1348</v>
      </c>
      <c r="B1253" s="6">
        <v>45730</v>
      </c>
      <c r="C1253" s="6" t="str">
        <f>TEXT(Table3[[#This Row],[transaction_date]], "yyyy-mm")</f>
        <v>2025-03</v>
      </c>
      <c r="D1253" t="s">
        <v>84</v>
      </c>
      <c r="E1253" t="s">
        <v>3636</v>
      </c>
      <c r="F1253" t="s">
        <v>3605</v>
      </c>
      <c r="G1253" s="1">
        <v>30492.83</v>
      </c>
    </row>
    <row r="1254" spans="1:7">
      <c r="A1254" t="s">
        <v>1349</v>
      </c>
      <c r="B1254" s="6">
        <v>45864</v>
      </c>
      <c r="C1254" s="6" t="str">
        <f>TEXT(Table3[[#This Row],[transaction_date]], "yyyy-mm")</f>
        <v>2025-07</v>
      </c>
      <c r="D1254" t="s">
        <v>95</v>
      </c>
      <c r="E1254" t="s">
        <v>3636</v>
      </c>
      <c r="F1254" t="s">
        <v>3609</v>
      </c>
      <c r="G1254" s="1">
        <v>7148748.0300000003</v>
      </c>
    </row>
    <row r="1255" spans="1:7">
      <c r="A1255" t="s">
        <v>1350</v>
      </c>
      <c r="B1255" s="6">
        <v>45780</v>
      </c>
      <c r="C1255" s="6" t="str">
        <f>TEXT(Table3[[#This Row],[transaction_date]], "yyyy-mm")</f>
        <v>2025-05</v>
      </c>
      <c r="D1255" t="s">
        <v>82</v>
      </c>
      <c r="E1255" t="s">
        <v>3636</v>
      </c>
      <c r="F1255" t="s">
        <v>3611</v>
      </c>
      <c r="G1255" s="1">
        <v>10957837.210000001</v>
      </c>
    </row>
    <row r="1256" spans="1:7">
      <c r="A1256" t="s">
        <v>1351</v>
      </c>
      <c r="B1256" s="6">
        <v>45659</v>
      </c>
      <c r="C1256" s="6" t="str">
        <f>TEXT(Table3[[#This Row],[transaction_date]], "yyyy-mm")</f>
        <v>2025-01</v>
      </c>
      <c r="D1256" t="s">
        <v>75</v>
      </c>
      <c r="E1256" t="s">
        <v>3637</v>
      </c>
      <c r="F1256" t="s">
        <v>3620</v>
      </c>
      <c r="G1256" s="1">
        <v>15778473.82</v>
      </c>
    </row>
    <row r="1257" spans="1:7">
      <c r="A1257" t="s">
        <v>1352</v>
      </c>
      <c r="B1257" s="6">
        <v>45894</v>
      </c>
      <c r="C1257" s="6" t="str">
        <f>TEXT(Table3[[#This Row],[transaction_date]], "yyyy-mm")</f>
        <v>2025-08</v>
      </c>
      <c r="D1257" t="s">
        <v>75</v>
      </c>
      <c r="E1257" t="s">
        <v>3636</v>
      </c>
      <c r="F1257" t="s">
        <v>3605</v>
      </c>
      <c r="G1257" s="1">
        <v>6894511.21</v>
      </c>
    </row>
    <row r="1258" spans="1:7">
      <c r="A1258" t="s">
        <v>1353</v>
      </c>
      <c r="B1258" s="6">
        <v>45891</v>
      </c>
      <c r="C1258" s="6" t="str">
        <f>TEXT(Table3[[#This Row],[transaction_date]], "yyyy-mm")</f>
        <v>2025-08</v>
      </c>
      <c r="D1258" t="s">
        <v>79</v>
      </c>
      <c r="E1258" t="s">
        <v>3636</v>
      </c>
      <c r="F1258" t="s">
        <v>3604</v>
      </c>
      <c r="G1258" s="1">
        <v>926168.94</v>
      </c>
    </row>
    <row r="1259" spans="1:7">
      <c r="A1259" t="s">
        <v>1354</v>
      </c>
      <c r="B1259" s="6">
        <v>45828</v>
      </c>
      <c r="C1259" s="6" t="str">
        <f>TEXT(Table3[[#This Row],[transaction_date]], "yyyy-mm")</f>
        <v>2025-06</v>
      </c>
      <c r="D1259" t="s">
        <v>82</v>
      </c>
      <c r="E1259" t="s">
        <v>3637</v>
      </c>
      <c r="F1259" t="s">
        <v>3616</v>
      </c>
      <c r="G1259" s="1">
        <v>6301102.1200000001</v>
      </c>
    </row>
    <row r="1260" spans="1:7">
      <c r="A1260" t="s">
        <v>1355</v>
      </c>
      <c r="B1260" s="6">
        <v>45870</v>
      </c>
      <c r="C1260" s="6" t="str">
        <f>TEXT(Table3[[#This Row],[transaction_date]], "yyyy-mm")</f>
        <v>2025-08</v>
      </c>
      <c r="D1260" t="s">
        <v>3597</v>
      </c>
      <c r="E1260" t="s">
        <v>3636</v>
      </c>
      <c r="F1260" t="s">
        <v>3607</v>
      </c>
      <c r="G1260" s="1">
        <v>3949230.22</v>
      </c>
    </row>
    <row r="1261" spans="1:7">
      <c r="A1261" t="s">
        <v>1356</v>
      </c>
      <c r="B1261" s="6">
        <v>45913</v>
      </c>
      <c r="C1261" s="6" t="str">
        <f>TEXT(Table3[[#This Row],[transaction_date]], "yyyy-mm")</f>
        <v>2025-09</v>
      </c>
      <c r="D1261" t="s">
        <v>75</v>
      </c>
      <c r="E1261" t="s">
        <v>3637</v>
      </c>
      <c r="F1261" t="s">
        <v>3617</v>
      </c>
      <c r="G1261" s="1">
        <v>8374139.0899999999</v>
      </c>
    </row>
    <row r="1262" spans="1:7">
      <c r="A1262" t="s">
        <v>1357</v>
      </c>
      <c r="B1262" s="6">
        <v>45956</v>
      </c>
      <c r="C1262" s="6" t="str">
        <f>TEXT(Table3[[#This Row],[transaction_date]], "yyyy-mm")</f>
        <v>2025-10</v>
      </c>
      <c r="D1262" t="s">
        <v>89</v>
      </c>
      <c r="E1262" t="s">
        <v>3636</v>
      </c>
      <c r="F1262" t="s">
        <v>3604</v>
      </c>
      <c r="G1262" s="1">
        <v>766287.52</v>
      </c>
    </row>
    <row r="1263" spans="1:7">
      <c r="A1263" t="s">
        <v>1358</v>
      </c>
      <c r="B1263" s="6">
        <v>45849</v>
      </c>
      <c r="C1263" s="6" t="str">
        <f>TEXT(Table3[[#This Row],[transaction_date]], "yyyy-mm")</f>
        <v>2025-07</v>
      </c>
      <c r="D1263" t="s">
        <v>79</v>
      </c>
      <c r="E1263" t="s">
        <v>3636</v>
      </c>
      <c r="F1263" t="s">
        <v>3611</v>
      </c>
      <c r="G1263" s="1">
        <v>993250.14</v>
      </c>
    </row>
    <row r="1264" spans="1:7">
      <c r="A1264" t="s">
        <v>1359</v>
      </c>
      <c r="B1264" s="6">
        <v>45811</v>
      </c>
      <c r="C1264" s="6" t="str">
        <f>TEXT(Table3[[#This Row],[transaction_date]], "yyyy-mm")</f>
        <v>2025-06</v>
      </c>
      <c r="D1264" t="s">
        <v>80</v>
      </c>
      <c r="E1264" t="s">
        <v>3637</v>
      </c>
      <c r="F1264" t="s">
        <v>3622</v>
      </c>
      <c r="G1264" s="1">
        <v>125086.95</v>
      </c>
    </row>
    <row r="1265" spans="1:7">
      <c r="A1265" t="s">
        <v>1360</v>
      </c>
      <c r="B1265" s="6">
        <v>45833</v>
      </c>
      <c r="C1265" s="6" t="str">
        <f>TEXT(Table3[[#This Row],[transaction_date]], "yyyy-mm")</f>
        <v>2025-06</v>
      </c>
      <c r="D1265" t="s">
        <v>90</v>
      </c>
      <c r="E1265" t="s">
        <v>3637</v>
      </c>
      <c r="F1265" t="s">
        <v>3617</v>
      </c>
      <c r="G1265" s="1">
        <v>29271852.469999999</v>
      </c>
    </row>
    <row r="1266" spans="1:7">
      <c r="A1266" t="s">
        <v>1361</v>
      </c>
      <c r="B1266" s="6">
        <v>45680</v>
      </c>
      <c r="C1266" s="6" t="str">
        <f>TEXT(Table3[[#This Row],[transaction_date]], "yyyy-mm")</f>
        <v>2025-01</v>
      </c>
      <c r="D1266" t="s">
        <v>85</v>
      </c>
      <c r="E1266" t="s">
        <v>3636</v>
      </c>
      <c r="F1266" t="s">
        <v>3612</v>
      </c>
      <c r="G1266" s="1">
        <v>189474.79</v>
      </c>
    </row>
    <row r="1267" spans="1:7">
      <c r="A1267" t="s">
        <v>1362</v>
      </c>
      <c r="B1267" s="6">
        <v>45706</v>
      </c>
      <c r="C1267" s="6" t="str">
        <f>TEXT(Table3[[#This Row],[transaction_date]], "yyyy-mm")</f>
        <v>2025-02</v>
      </c>
      <c r="D1267" t="s">
        <v>73</v>
      </c>
      <c r="E1267" t="s">
        <v>3637</v>
      </c>
      <c r="F1267" t="s">
        <v>3617</v>
      </c>
      <c r="G1267" s="1">
        <v>1224420.3</v>
      </c>
    </row>
    <row r="1268" spans="1:7">
      <c r="A1268" t="s">
        <v>1363</v>
      </c>
      <c r="B1268" s="6">
        <v>45925</v>
      </c>
      <c r="C1268" s="6" t="str">
        <f>TEXT(Table3[[#This Row],[transaction_date]], "yyyy-mm")</f>
        <v>2025-09</v>
      </c>
      <c r="D1268" t="s">
        <v>95</v>
      </c>
      <c r="E1268" t="s">
        <v>3637</v>
      </c>
      <c r="F1268" t="s">
        <v>3620</v>
      </c>
      <c r="G1268" s="1">
        <v>4163080.01</v>
      </c>
    </row>
    <row r="1269" spans="1:7">
      <c r="A1269" t="s">
        <v>1364</v>
      </c>
      <c r="B1269" s="6">
        <v>45758</v>
      </c>
      <c r="C1269" s="6" t="str">
        <f>TEXT(Table3[[#This Row],[transaction_date]], "yyyy-mm")</f>
        <v>2025-04</v>
      </c>
      <c r="D1269" t="s">
        <v>90</v>
      </c>
      <c r="E1269" t="s">
        <v>3637</v>
      </c>
      <c r="F1269" t="s">
        <v>3622</v>
      </c>
      <c r="G1269" s="1">
        <v>4593905.2699999996</v>
      </c>
    </row>
    <row r="1270" spans="1:7">
      <c r="A1270" t="s">
        <v>1365</v>
      </c>
      <c r="B1270" s="6">
        <v>45908</v>
      </c>
      <c r="C1270" s="6" t="str">
        <f>TEXT(Table3[[#This Row],[transaction_date]], "yyyy-mm")</f>
        <v>2025-09</v>
      </c>
      <c r="D1270" t="s">
        <v>85</v>
      </c>
      <c r="E1270" t="s">
        <v>3636</v>
      </c>
      <c r="F1270" t="s">
        <v>3612</v>
      </c>
      <c r="G1270" s="1">
        <v>679290.28</v>
      </c>
    </row>
    <row r="1271" spans="1:7">
      <c r="A1271" t="s">
        <v>1366</v>
      </c>
      <c r="B1271" s="6">
        <v>45953</v>
      </c>
      <c r="C1271" s="6" t="str">
        <f>TEXT(Table3[[#This Row],[transaction_date]], "yyyy-mm")</f>
        <v>2025-10</v>
      </c>
      <c r="D1271" t="s">
        <v>79</v>
      </c>
      <c r="E1271" t="s">
        <v>3637</v>
      </c>
      <c r="F1271" t="s">
        <v>3614</v>
      </c>
      <c r="G1271" s="1">
        <v>962557.65</v>
      </c>
    </row>
    <row r="1272" spans="1:7">
      <c r="A1272" t="s">
        <v>1367</v>
      </c>
      <c r="B1272" s="6">
        <v>45987</v>
      </c>
      <c r="C1272" s="6" t="str">
        <f>TEXT(Table3[[#This Row],[transaction_date]], "yyyy-mm")</f>
        <v>2025-11</v>
      </c>
      <c r="D1272" t="s">
        <v>93</v>
      </c>
      <c r="E1272" t="s">
        <v>3637</v>
      </c>
      <c r="F1272" t="s">
        <v>3621</v>
      </c>
      <c r="G1272" s="1">
        <v>2293987.4900000002</v>
      </c>
    </row>
    <row r="1273" spans="1:7">
      <c r="A1273" t="s">
        <v>1368</v>
      </c>
      <c r="B1273" s="6">
        <v>45740</v>
      </c>
      <c r="C1273" s="6" t="str">
        <f>TEXT(Table3[[#This Row],[transaction_date]], "yyyy-mm")</f>
        <v>2025-03</v>
      </c>
      <c r="D1273" t="s">
        <v>79</v>
      </c>
      <c r="E1273" t="s">
        <v>3636</v>
      </c>
      <c r="F1273" t="s">
        <v>3612</v>
      </c>
      <c r="G1273" s="1">
        <v>2508652.88</v>
      </c>
    </row>
    <row r="1274" spans="1:7">
      <c r="A1274" t="s">
        <v>1369</v>
      </c>
      <c r="B1274" s="6">
        <v>46012</v>
      </c>
      <c r="C1274" s="6" t="str">
        <f>TEXT(Table3[[#This Row],[transaction_date]], "yyyy-mm")</f>
        <v>2025-12</v>
      </c>
      <c r="D1274" t="s">
        <v>90</v>
      </c>
      <c r="E1274" t="s">
        <v>3637</v>
      </c>
      <c r="F1274" t="s">
        <v>3621</v>
      </c>
      <c r="G1274" s="1">
        <v>3785870.46</v>
      </c>
    </row>
    <row r="1275" spans="1:7">
      <c r="A1275" t="s">
        <v>1370</v>
      </c>
      <c r="B1275" s="6">
        <v>45737</v>
      </c>
      <c r="C1275" s="6" t="str">
        <f>TEXT(Table3[[#This Row],[transaction_date]], "yyyy-mm")</f>
        <v>2025-03</v>
      </c>
      <c r="D1275" t="s">
        <v>78</v>
      </c>
      <c r="E1275" t="s">
        <v>3636</v>
      </c>
      <c r="F1275" t="s">
        <v>3608</v>
      </c>
      <c r="G1275" s="1">
        <v>621383.22</v>
      </c>
    </row>
    <row r="1276" spans="1:7">
      <c r="A1276" t="s">
        <v>1371</v>
      </c>
      <c r="B1276" s="6">
        <v>45854</v>
      </c>
      <c r="C1276" s="6" t="str">
        <f>TEXT(Table3[[#This Row],[transaction_date]], "yyyy-mm")</f>
        <v>2025-07</v>
      </c>
      <c r="D1276" t="s">
        <v>75</v>
      </c>
      <c r="E1276" t="s">
        <v>3637</v>
      </c>
      <c r="F1276" t="s">
        <v>3621</v>
      </c>
      <c r="G1276" s="1">
        <v>6132005.0599999996</v>
      </c>
    </row>
    <row r="1277" spans="1:7">
      <c r="A1277" t="s">
        <v>1372</v>
      </c>
      <c r="B1277" s="6">
        <v>45920</v>
      </c>
      <c r="C1277" s="6" t="str">
        <f>TEXT(Table3[[#This Row],[transaction_date]], "yyyy-mm")</f>
        <v>2025-09</v>
      </c>
      <c r="D1277" t="s">
        <v>93</v>
      </c>
      <c r="E1277" t="s">
        <v>3636</v>
      </c>
      <c r="F1277" t="s">
        <v>3610</v>
      </c>
      <c r="G1277" s="1">
        <v>2893404.2</v>
      </c>
    </row>
    <row r="1278" spans="1:7">
      <c r="A1278" t="s">
        <v>1373</v>
      </c>
      <c r="B1278" s="6">
        <v>45719</v>
      </c>
      <c r="C1278" s="6" t="str">
        <f>TEXT(Table3[[#This Row],[transaction_date]], "yyyy-mm")</f>
        <v>2025-03</v>
      </c>
      <c r="D1278" t="s">
        <v>73</v>
      </c>
      <c r="E1278" t="s">
        <v>3637</v>
      </c>
      <c r="F1278" t="s">
        <v>3618</v>
      </c>
      <c r="G1278" s="1">
        <v>5164584.1900000004</v>
      </c>
    </row>
    <row r="1279" spans="1:7">
      <c r="A1279" t="s">
        <v>1374</v>
      </c>
      <c r="B1279" s="6">
        <v>45685</v>
      </c>
      <c r="C1279" s="6" t="str">
        <f>TEXT(Table3[[#This Row],[transaction_date]], "yyyy-mm")</f>
        <v>2025-01</v>
      </c>
      <c r="D1279" t="s">
        <v>82</v>
      </c>
      <c r="E1279" t="s">
        <v>3637</v>
      </c>
      <c r="F1279" t="s">
        <v>3616</v>
      </c>
      <c r="G1279" s="1">
        <v>16562363.82</v>
      </c>
    </row>
    <row r="1280" spans="1:7">
      <c r="A1280" t="s">
        <v>1375</v>
      </c>
      <c r="B1280" s="6">
        <v>45736</v>
      </c>
      <c r="C1280" s="6" t="str">
        <f>TEXT(Table3[[#This Row],[transaction_date]], "yyyy-mm")</f>
        <v>2025-03</v>
      </c>
      <c r="D1280" t="s">
        <v>82</v>
      </c>
      <c r="E1280" t="s">
        <v>3637</v>
      </c>
      <c r="F1280" t="s">
        <v>3618</v>
      </c>
      <c r="G1280" s="1">
        <v>16650304.07</v>
      </c>
    </row>
    <row r="1281" spans="1:7">
      <c r="A1281" t="s">
        <v>1376</v>
      </c>
      <c r="B1281" s="6">
        <v>45709</v>
      </c>
      <c r="C1281" s="6" t="str">
        <f>TEXT(Table3[[#This Row],[transaction_date]], "yyyy-mm")</f>
        <v>2025-02</v>
      </c>
      <c r="D1281" t="s">
        <v>79</v>
      </c>
      <c r="E1281" t="s">
        <v>3636</v>
      </c>
      <c r="F1281" t="s">
        <v>3605</v>
      </c>
      <c r="G1281" s="1">
        <v>887995.54</v>
      </c>
    </row>
    <row r="1282" spans="1:7">
      <c r="A1282" t="s">
        <v>1377</v>
      </c>
      <c r="B1282" s="6">
        <v>45939</v>
      </c>
      <c r="C1282" s="6" t="str">
        <f>TEXT(Table3[[#This Row],[transaction_date]], "yyyy-mm")</f>
        <v>2025-10</v>
      </c>
      <c r="D1282" t="s">
        <v>75</v>
      </c>
      <c r="E1282" t="s">
        <v>3636</v>
      </c>
      <c r="F1282" t="s">
        <v>3609</v>
      </c>
      <c r="G1282" s="1">
        <v>5852818.1500000004</v>
      </c>
    </row>
    <row r="1283" spans="1:7">
      <c r="A1283" t="s">
        <v>1378</v>
      </c>
      <c r="B1283" s="6">
        <v>45660</v>
      </c>
      <c r="C1283" s="6" t="str">
        <f>TEXT(Table3[[#This Row],[transaction_date]], "yyyy-mm")</f>
        <v>2025-01</v>
      </c>
      <c r="D1283" t="s">
        <v>93</v>
      </c>
      <c r="E1283" t="s">
        <v>3636</v>
      </c>
      <c r="F1283" t="s">
        <v>3604</v>
      </c>
      <c r="G1283" s="1">
        <v>1286728.6599999999</v>
      </c>
    </row>
    <row r="1284" spans="1:7">
      <c r="A1284" t="s">
        <v>1379</v>
      </c>
      <c r="B1284" s="6">
        <v>45786</v>
      </c>
      <c r="C1284" s="6" t="str">
        <f>TEXT(Table3[[#This Row],[transaction_date]], "yyyy-mm")</f>
        <v>2025-05</v>
      </c>
      <c r="D1284" t="s">
        <v>78</v>
      </c>
      <c r="E1284" t="s">
        <v>3636</v>
      </c>
      <c r="F1284" t="s">
        <v>3609</v>
      </c>
      <c r="G1284" s="1">
        <v>1692277.73</v>
      </c>
    </row>
    <row r="1285" spans="1:7">
      <c r="A1285" t="s">
        <v>1380</v>
      </c>
      <c r="B1285" s="6">
        <v>45961</v>
      </c>
      <c r="C1285" s="6" t="str">
        <f>TEXT(Table3[[#This Row],[transaction_date]], "yyyy-mm")</f>
        <v>2025-10</v>
      </c>
      <c r="D1285" t="s">
        <v>90</v>
      </c>
      <c r="E1285" t="s">
        <v>3637</v>
      </c>
      <c r="F1285" t="s">
        <v>3617</v>
      </c>
      <c r="G1285" s="1">
        <v>31475057.260000002</v>
      </c>
    </row>
    <row r="1286" spans="1:7">
      <c r="A1286" t="s">
        <v>1381</v>
      </c>
      <c r="B1286" s="6">
        <v>45929</v>
      </c>
      <c r="C1286" s="6" t="str">
        <f>TEXT(Table3[[#This Row],[transaction_date]], "yyyy-mm")</f>
        <v>2025-09</v>
      </c>
      <c r="D1286" t="s">
        <v>82</v>
      </c>
      <c r="E1286" t="s">
        <v>3637</v>
      </c>
      <c r="F1286" t="s">
        <v>3622</v>
      </c>
      <c r="G1286" s="1">
        <v>1192930.8899999999</v>
      </c>
    </row>
    <row r="1287" spans="1:7">
      <c r="A1287" t="s">
        <v>1382</v>
      </c>
      <c r="B1287" s="6">
        <v>45659</v>
      </c>
      <c r="C1287" s="6" t="str">
        <f>TEXT(Table3[[#This Row],[transaction_date]], "yyyy-mm")</f>
        <v>2025-01</v>
      </c>
      <c r="D1287" t="s">
        <v>89</v>
      </c>
      <c r="E1287" t="s">
        <v>3637</v>
      </c>
      <c r="F1287" t="s">
        <v>3614</v>
      </c>
      <c r="G1287" s="1">
        <v>1130621.49</v>
      </c>
    </row>
    <row r="1288" spans="1:7">
      <c r="A1288" t="s">
        <v>1383</v>
      </c>
      <c r="B1288" s="6">
        <v>46004</v>
      </c>
      <c r="C1288" s="6" t="str">
        <f>TEXT(Table3[[#This Row],[transaction_date]], "yyyy-mm")</f>
        <v>2025-12</v>
      </c>
      <c r="D1288" t="s">
        <v>84</v>
      </c>
      <c r="E1288" t="s">
        <v>3636</v>
      </c>
      <c r="F1288" t="s">
        <v>3610</v>
      </c>
      <c r="G1288" s="1">
        <v>6551933.5499999998</v>
      </c>
    </row>
    <row r="1289" spans="1:7">
      <c r="A1289" t="s">
        <v>1384</v>
      </c>
      <c r="B1289" s="6">
        <v>45665</v>
      </c>
      <c r="C1289" s="6" t="str">
        <f>TEXT(Table3[[#This Row],[transaction_date]], "yyyy-mm")</f>
        <v>2025-01</v>
      </c>
      <c r="D1289" t="s">
        <v>78</v>
      </c>
      <c r="E1289" t="s">
        <v>3637</v>
      </c>
      <c r="F1289" t="s">
        <v>3614</v>
      </c>
      <c r="G1289" s="1">
        <v>2161329.2999999998</v>
      </c>
    </row>
    <row r="1290" spans="1:7">
      <c r="A1290" t="s">
        <v>1385</v>
      </c>
      <c r="B1290" s="6">
        <v>45679</v>
      </c>
      <c r="C1290" s="6" t="str">
        <f>TEXT(Table3[[#This Row],[transaction_date]], "yyyy-mm")</f>
        <v>2025-01</v>
      </c>
      <c r="D1290" t="s">
        <v>73</v>
      </c>
      <c r="E1290" t="s">
        <v>3637</v>
      </c>
      <c r="F1290" t="s">
        <v>3618</v>
      </c>
      <c r="G1290" s="1">
        <v>345533.27</v>
      </c>
    </row>
    <row r="1291" spans="1:7">
      <c r="A1291" t="s">
        <v>1386</v>
      </c>
      <c r="B1291" s="6">
        <v>45840</v>
      </c>
      <c r="C1291" s="6" t="str">
        <f>TEXT(Table3[[#This Row],[transaction_date]], "yyyy-mm")</f>
        <v>2025-07</v>
      </c>
      <c r="D1291" t="s">
        <v>75</v>
      </c>
      <c r="E1291" t="s">
        <v>3636</v>
      </c>
      <c r="F1291" t="s">
        <v>3609</v>
      </c>
      <c r="G1291" s="1">
        <v>6042116.7300000004</v>
      </c>
    </row>
    <row r="1292" spans="1:7">
      <c r="A1292" t="s">
        <v>1387</v>
      </c>
      <c r="B1292" s="6">
        <v>45829</v>
      </c>
      <c r="C1292" s="6" t="str">
        <f>TEXT(Table3[[#This Row],[transaction_date]], "yyyy-mm")</f>
        <v>2025-06</v>
      </c>
      <c r="D1292" t="s">
        <v>80</v>
      </c>
      <c r="E1292" t="s">
        <v>3637</v>
      </c>
      <c r="F1292" t="s">
        <v>3618</v>
      </c>
      <c r="G1292" s="1">
        <v>553164.54</v>
      </c>
    </row>
    <row r="1293" spans="1:7">
      <c r="A1293" t="s">
        <v>1388</v>
      </c>
      <c r="B1293" s="6">
        <v>45869</v>
      </c>
      <c r="C1293" s="6" t="str">
        <f>TEXT(Table3[[#This Row],[transaction_date]], "yyyy-mm")</f>
        <v>2025-07</v>
      </c>
      <c r="D1293" t="s">
        <v>80</v>
      </c>
      <c r="E1293" t="s">
        <v>3637</v>
      </c>
      <c r="F1293" t="s">
        <v>3621</v>
      </c>
      <c r="G1293" s="1">
        <v>341491.01</v>
      </c>
    </row>
    <row r="1294" spans="1:7">
      <c r="A1294" t="s">
        <v>1389</v>
      </c>
      <c r="B1294" s="6">
        <v>45937</v>
      </c>
      <c r="C1294" s="6" t="str">
        <f>TEXT(Table3[[#This Row],[transaction_date]], "yyyy-mm")</f>
        <v>2025-10</v>
      </c>
      <c r="D1294" t="s">
        <v>3597</v>
      </c>
      <c r="E1294" t="s">
        <v>3636</v>
      </c>
      <c r="F1294" t="s">
        <v>3606</v>
      </c>
      <c r="G1294" s="1">
        <v>1343425.2</v>
      </c>
    </row>
    <row r="1295" spans="1:7">
      <c r="A1295" t="s">
        <v>1390</v>
      </c>
      <c r="B1295" s="6">
        <v>45787</v>
      </c>
      <c r="C1295" s="6" t="str">
        <f>TEXT(Table3[[#This Row],[transaction_date]], "yyyy-mm")</f>
        <v>2025-05</v>
      </c>
      <c r="D1295" t="s">
        <v>75</v>
      </c>
      <c r="E1295" t="s">
        <v>3637</v>
      </c>
      <c r="F1295" t="s">
        <v>3620</v>
      </c>
      <c r="G1295" s="1">
        <v>1039051.16</v>
      </c>
    </row>
    <row r="1296" spans="1:7">
      <c r="A1296" t="s">
        <v>1391</v>
      </c>
      <c r="B1296" s="6">
        <v>45921</v>
      </c>
      <c r="C1296" s="6" t="str">
        <f>TEXT(Table3[[#This Row],[transaction_date]], "yyyy-mm")</f>
        <v>2025-09</v>
      </c>
      <c r="D1296" t="s">
        <v>78</v>
      </c>
      <c r="E1296" t="s">
        <v>3637</v>
      </c>
      <c r="F1296" t="s">
        <v>3621</v>
      </c>
      <c r="G1296" s="1">
        <v>4031022.07</v>
      </c>
    </row>
    <row r="1297" spans="1:7">
      <c r="A1297" t="s">
        <v>1392</v>
      </c>
      <c r="B1297" s="6">
        <v>46009</v>
      </c>
      <c r="C1297" s="6" t="str">
        <f>TEXT(Table3[[#This Row],[transaction_date]], "yyyy-mm")</f>
        <v>2025-12</v>
      </c>
      <c r="D1297" t="s">
        <v>73</v>
      </c>
      <c r="E1297" t="s">
        <v>3637</v>
      </c>
      <c r="F1297" t="s">
        <v>3622</v>
      </c>
      <c r="G1297" s="1">
        <v>13055.77</v>
      </c>
    </row>
    <row r="1298" spans="1:7">
      <c r="A1298" t="s">
        <v>1393</v>
      </c>
      <c r="B1298" s="6">
        <v>45893</v>
      </c>
      <c r="C1298" s="6" t="str">
        <f>TEXT(Table3[[#This Row],[transaction_date]], "yyyy-mm")</f>
        <v>2025-08</v>
      </c>
      <c r="D1298" t="s">
        <v>75</v>
      </c>
      <c r="E1298" t="s">
        <v>3637</v>
      </c>
      <c r="F1298" t="s">
        <v>3617</v>
      </c>
      <c r="G1298" s="1">
        <v>11731106.779999999</v>
      </c>
    </row>
    <row r="1299" spans="1:7">
      <c r="A1299" t="s">
        <v>1394</v>
      </c>
      <c r="B1299" s="6">
        <v>45936</v>
      </c>
      <c r="C1299" s="6" t="str">
        <f>TEXT(Table3[[#This Row],[transaction_date]], "yyyy-mm")</f>
        <v>2025-10</v>
      </c>
      <c r="D1299" t="s">
        <v>76</v>
      </c>
      <c r="E1299" t="s">
        <v>3636</v>
      </c>
      <c r="F1299" t="s">
        <v>3611</v>
      </c>
      <c r="G1299" s="1">
        <v>2004974.65</v>
      </c>
    </row>
    <row r="1300" spans="1:7">
      <c r="A1300" t="s">
        <v>1395</v>
      </c>
      <c r="B1300" s="6">
        <v>45845</v>
      </c>
      <c r="C1300" s="6" t="str">
        <f>TEXT(Table3[[#This Row],[transaction_date]], "yyyy-mm")</f>
        <v>2025-07</v>
      </c>
      <c r="D1300" t="s">
        <v>73</v>
      </c>
      <c r="E1300" t="s">
        <v>3637</v>
      </c>
      <c r="F1300" t="s">
        <v>3617</v>
      </c>
      <c r="G1300" s="1">
        <v>151262.89000000001</v>
      </c>
    </row>
    <row r="1301" spans="1:7">
      <c r="A1301" t="s">
        <v>1396</v>
      </c>
      <c r="B1301" s="6">
        <v>45993</v>
      </c>
      <c r="C1301" s="6" t="str">
        <f>TEXT(Table3[[#This Row],[transaction_date]], "yyyy-mm")</f>
        <v>2025-12</v>
      </c>
      <c r="D1301" t="s">
        <v>77</v>
      </c>
      <c r="E1301" t="s">
        <v>3636</v>
      </c>
      <c r="F1301" t="s">
        <v>3609</v>
      </c>
      <c r="G1301" s="1">
        <v>141295.67999999999</v>
      </c>
    </row>
    <row r="1302" spans="1:7">
      <c r="A1302" t="s">
        <v>1397</v>
      </c>
      <c r="B1302" s="6">
        <v>45824</v>
      </c>
      <c r="C1302" s="6" t="str">
        <f>TEXT(Table3[[#This Row],[transaction_date]], "yyyy-mm")</f>
        <v>2025-06</v>
      </c>
      <c r="D1302" t="s">
        <v>73</v>
      </c>
      <c r="E1302" t="s">
        <v>3637</v>
      </c>
      <c r="F1302" t="s">
        <v>3619</v>
      </c>
      <c r="G1302" s="1">
        <v>4273524.03</v>
      </c>
    </row>
    <row r="1303" spans="1:7">
      <c r="A1303" t="s">
        <v>1398</v>
      </c>
      <c r="B1303" s="6">
        <v>45787</v>
      </c>
      <c r="C1303" s="6" t="str">
        <f>TEXT(Table3[[#This Row],[transaction_date]], "yyyy-mm")</f>
        <v>2025-05</v>
      </c>
      <c r="D1303" t="s">
        <v>76</v>
      </c>
      <c r="E1303" t="s">
        <v>3637</v>
      </c>
      <c r="F1303" t="s">
        <v>3618</v>
      </c>
      <c r="G1303" s="1">
        <v>14564311.550000001</v>
      </c>
    </row>
    <row r="1304" spans="1:7">
      <c r="A1304" t="s">
        <v>1399</v>
      </c>
      <c r="B1304" s="6">
        <v>45858</v>
      </c>
      <c r="C1304" s="6" t="str">
        <f>TEXT(Table3[[#This Row],[transaction_date]], "yyyy-mm")</f>
        <v>2025-07</v>
      </c>
      <c r="D1304" t="s">
        <v>90</v>
      </c>
      <c r="E1304" t="s">
        <v>3637</v>
      </c>
      <c r="F1304" t="s">
        <v>3621</v>
      </c>
      <c r="G1304" s="1">
        <v>6369681.8899999997</v>
      </c>
    </row>
    <row r="1305" spans="1:7">
      <c r="A1305" t="s">
        <v>1400</v>
      </c>
      <c r="B1305" s="6">
        <v>45754</v>
      </c>
      <c r="C1305" s="6" t="str">
        <f>TEXT(Table3[[#This Row],[transaction_date]], "yyyy-mm")</f>
        <v>2025-04</v>
      </c>
      <c r="D1305" t="s">
        <v>95</v>
      </c>
      <c r="E1305" t="s">
        <v>3636</v>
      </c>
      <c r="F1305" t="s">
        <v>3604</v>
      </c>
      <c r="G1305" s="1">
        <v>209802.38</v>
      </c>
    </row>
    <row r="1306" spans="1:7">
      <c r="A1306" t="s">
        <v>1401</v>
      </c>
      <c r="B1306" s="6">
        <v>45720</v>
      </c>
      <c r="C1306" s="6" t="str">
        <f>TEXT(Table3[[#This Row],[transaction_date]], "yyyy-mm")</f>
        <v>2025-03</v>
      </c>
      <c r="D1306" t="s">
        <v>77</v>
      </c>
      <c r="E1306" t="s">
        <v>3637</v>
      </c>
      <c r="F1306" t="s">
        <v>3620</v>
      </c>
      <c r="G1306" s="1">
        <v>2121680.5699999998</v>
      </c>
    </row>
    <row r="1307" spans="1:7">
      <c r="A1307" t="s">
        <v>1402</v>
      </c>
      <c r="B1307" s="6">
        <v>45710</v>
      </c>
      <c r="C1307" s="6" t="str">
        <f>TEXT(Table3[[#This Row],[transaction_date]], "yyyy-mm")</f>
        <v>2025-02</v>
      </c>
      <c r="D1307" t="s">
        <v>74</v>
      </c>
      <c r="E1307" t="s">
        <v>3637</v>
      </c>
      <c r="F1307" t="s">
        <v>3621</v>
      </c>
      <c r="G1307" s="1">
        <v>172227.42</v>
      </c>
    </row>
    <row r="1308" spans="1:7">
      <c r="A1308" t="s">
        <v>1403</v>
      </c>
      <c r="B1308" s="6">
        <v>45686</v>
      </c>
      <c r="C1308" s="6" t="str">
        <f>TEXT(Table3[[#This Row],[transaction_date]], "yyyy-mm")</f>
        <v>2025-01</v>
      </c>
      <c r="D1308" t="s">
        <v>73</v>
      </c>
      <c r="E1308" t="s">
        <v>3637</v>
      </c>
      <c r="F1308" t="s">
        <v>3622</v>
      </c>
      <c r="G1308" s="1">
        <v>7997980.4299999997</v>
      </c>
    </row>
    <row r="1309" spans="1:7">
      <c r="A1309" t="s">
        <v>1404</v>
      </c>
      <c r="B1309" s="6">
        <v>45699</v>
      </c>
      <c r="C1309" s="6" t="str">
        <f>TEXT(Table3[[#This Row],[transaction_date]], "yyyy-mm")</f>
        <v>2025-02</v>
      </c>
      <c r="D1309" t="s">
        <v>95</v>
      </c>
      <c r="E1309" t="s">
        <v>3636</v>
      </c>
      <c r="F1309" t="s">
        <v>3606</v>
      </c>
      <c r="G1309" s="1">
        <v>6320672.6500000004</v>
      </c>
    </row>
    <row r="1310" spans="1:7">
      <c r="A1310" t="s">
        <v>1405</v>
      </c>
      <c r="B1310" s="6">
        <v>45706</v>
      </c>
      <c r="C1310" s="6" t="str">
        <f>TEXT(Table3[[#This Row],[transaction_date]], "yyyy-mm")</f>
        <v>2025-02</v>
      </c>
      <c r="D1310" t="s">
        <v>84</v>
      </c>
      <c r="E1310" t="s">
        <v>3637</v>
      </c>
      <c r="F1310" t="s">
        <v>3614</v>
      </c>
      <c r="G1310" s="1">
        <v>18741974.190000001</v>
      </c>
    </row>
    <row r="1311" spans="1:7">
      <c r="A1311" t="s">
        <v>1406</v>
      </c>
      <c r="B1311" s="6">
        <v>46019</v>
      </c>
      <c r="C1311" s="6" t="str">
        <f>TEXT(Table3[[#This Row],[transaction_date]], "yyyy-mm")</f>
        <v>2025-12</v>
      </c>
      <c r="D1311" t="s">
        <v>76</v>
      </c>
      <c r="E1311" t="s">
        <v>3636</v>
      </c>
      <c r="F1311" t="s">
        <v>3611</v>
      </c>
      <c r="G1311" s="1">
        <v>14133238.66</v>
      </c>
    </row>
    <row r="1312" spans="1:7">
      <c r="A1312" t="s">
        <v>1407</v>
      </c>
      <c r="B1312" s="6">
        <v>45696</v>
      </c>
      <c r="C1312" s="6" t="str">
        <f>TEXT(Table3[[#This Row],[transaction_date]], "yyyy-mm")</f>
        <v>2025-02</v>
      </c>
      <c r="D1312" t="s">
        <v>95</v>
      </c>
      <c r="E1312" t="s">
        <v>3637</v>
      </c>
      <c r="F1312" t="s">
        <v>3616</v>
      </c>
      <c r="G1312" s="1">
        <v>2931741.8</v>
      </c>
    </row>
    <row r="1313" spans="1:7">
      <c r="A1313" t="s">
        <v>1408</v>
      </c>
      <c r="B1313" s="6">
        <v>45856</v>
      </c>
      <c r="C1313" s="6" t="str">
        <f>TEXT(Table3[[#This Row],[transaction_date]], "yyyy-mm")</f>
        <v>2025-07</v>
      </c>
      <c r="D1313" t="s">
        <v>84</v>
      </c>
      <c r="E1313" t="s">
        <v>3637</v>
      </c>
      <c r="F1313" t="s">
        <v>3614</v>
      </c>
      <c r="G1313" s="1">
        <v>22389203.57</v>
      </c>
    </row>
    <row r="1314" spans="1:7">
      <c r="A1314" t="s">
        <v>1409</v>
      </c>
      <c r="B1314" s="6">
        <v>45776</v>
      </c>
      <c r="C1314" s="6" t="str">
        <f>TEXT(Table3[[#This Row],[transaction_date]], "yyyy-mm")</f>
        <v>2025-04</v>
      </c>
      <c r="D1314" t="s">
        <v>95</v>
      </c>
      <c r="E1314" t="s">
        <v>3637</v>
      </c>
      <c r="F1314" t="s">
        <v>3622</v>
      </c>
      <c r="G1314" s="1">
        <v>5445441.6600000001</v>
      </c>
    </row>
    <row r="1315" spans="1:7">
      <c r="A1315" t="s">
        <v>1410</v>
      </c>
      <c r="B1315" s="6">
        <v>45731</v>
      </c>
      <c r="C1315" s="6" t="str">
        <f>TEXT(Table3[[#This Row],[transaction_date]], "yyyy-mm")</f>
        <v>2025-03</v>
      </c>
      <c r="D1315" t="s">
        <v>3597</v>
      </c>
      <c r="E1315" t="s">
        <v>3637</v>
      </c>
      <c r="F1315" t="s">
        <v>3614</v>
      </c>
      <c r="G1315" s="1">
        <v>1223598.21</v>
      </c>
    </row>
    <row r="1316" spans="1:7">
      <c r="A1316" t="s">
        <v>1411</v>
      </c>
      <c r="B1316" s="6">
        <v>45716</v>
      </c>
      <c r="C1316" s="6" t="str">
        <f>TEXT(Table3[[#This Row],[transaction_date]], "yyyy-mm")</f>
        <v>2025-02</v>
      </c>
      <c r="D1316" t="s">
        <v>84</v>
      </c>
      <c r="E1316" t="s">
        <v>3637</v>
      </c>
      <c r="F1316" t="s">
        <v>3615</v>
      </c>
      <c r="G1316" s="1">
        <v>1400178.46</v>
      </c>
    </row>
    <row r="1317" spans="1:7">
      <c r="A1317" t="s">
        <v>1412</v>
      </c>
      <c r="B1317" s="6">
        <v>46007</v>
      </c>
      <c r="C1317" s="6" t="str">
        <f>TEXT(Table3[[#This Row],[transaction_date]], "yyyy-mm")</f>
        <v>2025-12</v>
      </c>
      <c r="D1317" t="s">
        <v>89</v>
      </c>
      <c r="E1317" t="s">
        <v>3636</v>
      </c>
      <c r="F1317" t="s">
        <v>3604</v>
      </c>
      <c r="G1317" s="1">
        <v>973778.18</v>
      </c>
    </row>
    <row r="1318" spans="1:7">
      <c r="A1318" t="s">
        <v>1413</v>
      </c>
      <c r="B1318" s="6">
        <v>45827</v>
      </c>
      <c r="C1318" s="6" t="str">
        <f>TEXT(Table3[[#This Row],[transaction_date]], "yyyy-mm")</f>
        <v>2025-06</v>
      </c>
      <c r="D1318" t="s">
        <v>73</v>
      </c>
      <c r="E1318" t="s">
        <v>3637</v>
      </c>
      <c r="F1318" t="s">
        <v>3622</v>
      </c>
      <c r="G1318" s="1">
        <v>215306.12</v>
      </c>
    </row>
    <row r="1319" spans="1:7">
      <c r="A1319" t="s">
        <v>1414</v>
      </c>
      <c r="B1319" s="6">
        <v>45960</v>
      </c>
      <c r="C1319" s="6" t="str">
        <f>TEXT(Table3[[#This Row],[transaction_date]], "yyyy-mm")</f>
        <v>2025-10</v>
      </c>
      <c r="D1319" t="s">
        <v>89</v>
      </c>
      <c r="E1319" t="s">
        <v>3637</v>
      </c>
      <c r="F1319" t="s">
        <v>3618</v>
      </c>
      <c r="G1319" s="1">
        <v>1430329.44</v>
      </c>
    </row>
    <row r="1320" spans="1:7">
      <c r="A1320" t="s">
        <v>1415</v>
      </c>
      <c r="B1320" s="6">
        <v>46017</v>
      </c>
      <c r="C1320" s="6" t="str">
        <f>TEXT(Table3[[#This Row],[transaction_date]], "yyyy-mm")</f>
        <v>2025-12</v>
      </c>
      <c r="D1320" t="s">
        <v>74</v>
      </c>
      <c r="E1320" t="s">
        <v>3636</v>
      </c>
      <c r="F1320" t="s">
        <v>3606</v>
      </c>
      <c r="G1320" s="1">
        <v>201827.35</v>
      </c>
    </row>
    <row r="1321" spans="1:7">
      <c r="A1321" t="s">
        <v>1416</v>
      </c>
      <c r="B1321" s="6">
        <v>45891</v>
      </c>
      <c r="C1321" s="6" t="str">
        <f>TEXT(Table3[[#This Row],[transaction_date]], "yyyy-mm")</f>
        <v>2025-08</v>
      </c>
      <c r="D1321" t="s">
        <v>89</v>
      </c>
      <c r="E1321" t="s">
        <v>3637</v>
      </c>
      <c r="F1321" t="s">
        <v>3616</v>
      </c>
      <c r="G1321" s="1">
        <v>2701782.73</v>
      </c>
    </row>
    <row r="1322" spans="1:7">
      <c r="A1322" t="s">
        <v>1417</v>
      </c>
      <c r="B1322" s="6">
        <v>45924</v>
      </c>
      <c r="C1322" s="6" t="str">
        <f>TEXT(Table3[[#This Row],[transaction_date]], "yyyy-mm")</f>
        <v>2025-09</v>
      </c>
      <c r="D1322" t="s">
        <v>80</v>
      </c>
      <c r="E1322" t="s">
        <v>3636</v>
      </c>
      <c r="F1322" t="s">
        <v>3608</v>
      </c>
      <c r="G1322" s="1">
        <v>1008682.01</v>
      </c>
    </row>
    <row r="1323" spans="1:7">
      <c r="A1323" t="s">
        <v>1418</v>
      </c>
      <c r="B1323" s="6">
        <v>45929</v>
      </c>
      <c r="C1323" s="6" t="str">
        <f>TEXT(Table3[[#This Row],[transaction_date]], "yyyy-mm")</f>
        <v>2025-09</v>
      </c>
      <c r="D1323" t="s">
        <v>89</v>
      </c>
      <c r="E1323" t="s">
        <v>3637</v>
      </c>
      <c r="F1323" t="s">
        <v>3616</v>
      </c>
      <c r="G1323" s="1">
        <v>2968632.27</v>
      </c>
    </row>
    <row r="1324" spans="1:7">
      <c r="A1324" t="s">
        <v>1419</v>
      </c>
      <c r="B1324" s="6">
        <v>45981</v>
      </c>
      <c r="C1324" s="6" t="str">
        <f>TEXT(Table3[[#This Row],[transaction_date]], "yyyy-mm")</f>
        <v>2025-11</v>
      </c>
      <c r="D1324" t="s">
        <v>95</v>
      </c>
      <c r="E1324" t="s">
        <v>3636</v>
      </c>
      <c r="F1324" t="s">
        <v>3609</v>
      </c>
      <c r="G1324" s="1">
        <v>6637195</v>
      </c>
    </row>
    <row r="1325" spans="1:7">
      <c r="A1325" t="s">
        <v>1420</v>
      </c>
      <c r="B1325" s="6">
        <v>45686</v>
      </c>
      <c r="C1325" s="6" t="str">
        <f>TEXT(Table3[[#This Row],[transaction_date]], "yyyy-mm")</f>
        <v>2025-01</v>
      </c>
      <c r="D1325" t="s">
        <v>75</v>
      </c>
      <c r="E1325" t="s">
        <v>3637</v>
      </c>
      <c r="F1325" t="s">
        <v>3622</v>
      </c>
      <c r="G1325" s="1">
        <v>4960317.5199999996</v>
      </c>
    </row>
    <row r="1326" spans="1:7">
      <c r="A1326" t="s">
        <v>1421</v>
      </c>
      <c r="B1326" s="6">
        <v>45900</v>
      </c>
      <c r="C1326" s="6" t="str">
        <f>TEXT(Table3[[#This Row],[transaction_date]], "yyyy-mm")</f>
        <v>2025-08</v>
      </c>
      <c r="D1326" t="s">
        <v>75</v>
      </c>
      <c r="E1326" t="s">
        <v>3636</v>
      </c>
      <c r="F1326" t="s">
        <v>3612</v>
      </c>
      <c r="G1326" s="1">
        <v>7960677.8600000003</v>
      </c>
    </row>
    <row r="1327" spans="1:7">
      <c r="A1327" t="s">
        <v>1422</v>
      </c>
      <c r="B1327" s="6">
        <v>45798</v>
      </c>
      <c r="C1327" s="6" t="str">
        <f>TEXT(Table3[[#This Row],[transaction_date]], "yyyy-mm")</f>
        <v>2025-05</v>
      </c>
      <c r="D1327" t="s">
        <v>80</v>
      </c>
      <c r="E1327" t="s">
        <v>3637</v>
      </c>
      <c r="F1327" t="s">
        <v>3615</v>
      </c>
      <c r="G1327" s="1">
        <v>33336.910000000003</v>
      </c>
    </row>
    <row r="1328" spans="1:7">
      <c r="A1328" t="s">
        <v>1423</v>
      </c>
      <c r="B1328" s="6">
        <v>45966</v>
      </c>
      <c r="C1328" s="6" t="str">
        <f>TEXT(Table3[[#This Row],[transaction_date]], "yyyy-mm")</f>
        <v>2025-11</v>
      </c>
      <c r="D1328" t="s">
        <v>3597</v>
      </c>
      <c r="E1328" t="s">
        <v>3636</v>
      </c>
      <c r="F1328" t="s">
        <v>3605</v>
      </c>
      <c r="G1328" s="1">
        <v>325791.74</v>
      </c>
    </row>
    <row r="1329" spans="1:7">
      <c r="A1329" t="s">
        <v>1424</v>
      </c>
      <c r="B1329" s="6">
        <v>45765</v>
      </c>
      <c r="C1329" s="6" t="str">
        <f>TEXT(Table3[[#This Row],[transaction_date]], "yyyy-mm")</f>
        <v>2025-04</v>
      </c>
      <c r="D1329" t="s">
        <v>77</v>
      </c>
      <c r="E1329" t="s">
        <v>3637</v>
      </c>
      <c r="F1329" t="s">
        <v>3615</v>
      </c>
      <c r="G1329" s="1">
        <v>8259338.3899999997</v>
      </c>
    </row>
    <row r="1330" spans="1:7">
      <c r="A1330" t="s">
        <v>1425</v>
      </c>
      <c r="B1330" s="6">
        <v>45667</v>
      </c>
      <c r="C1330" s="6" t="str">
        <f>TEXT(Table3[[#This Row],[transaction_date]], "yyyy-mm")</f>
        <v>2025-01</v>
      </c>
      <c r="D1330" t="s">
        <v>79</v>
      </c>
      <c r="E1330" t="s">
        <v>3637</v>
      </c>
      <c r="F1330" t="s">
        <v>3620</v>
      </c>
      <c r="G1330" s="1">
        <v>377794.53</v>
      </c>
    </row>
    <row r="1331" spans="1:7">
      <c r="A1331" t="s">
        <v>1426</v>
      </c>
      <c r="B1331" s="6">
        <v>45900</v>
      </c>
      <c r="C1331" s="6" t="str">
        <f>TEXT(Table3[[#This Row],[transaction_date]], "yyyy-mm")</f>
        <v>2025-08</v>
      </c>
      <c r="D1331" t="s">
        <v>95</v>
      </c>
      <c r="E1331" t="s">
        <v>3637</v>
      </c>
      <c r="F1331" t="s">
        <v>3614</v>
      </c>
      <c r="G1331" s="1">
        <v>350387.13</v>
      </c>
    </row>
    <row r="1332" spans="1:7">
      <c r="A1332" t="s">
        <v>1427</v>
      </c>
      <c r="B1332" s="6">
        <v>45695</v>
      </c>
      <c r="C1332" s="6" t="str">
        <f>TEXT(Table3[[#This Row],[transaction_date]], "yyyy-mm")</f>
        <v>2025-02</v>
      </c>
      <c r="D1332" t="s">
        <v>76</v>
      </c>
      <c r="E1332" t="s">
        <v>3637</v>
      </c>
      <c r="F1332" t="s">
        <v>3622</v>
      </c>
      <c r="G1332" s="1">
        <v>6025464.9900000002</v>
      </c>
    </row>
    <row r="1333" spans="1:7">
      <c r="A1333" t="s">
        <v>1428</v>
      </c>
      <c r="B1333" s="6">
        <v>45675</v>
      </c>
      <c r="C1333" s="6" t="str">
        <f>TEXT(Table3[[#This Row],[transaction_date]], "yyyy-mm")</f>
        <v>2025-01</v>
      </c>
      <c r="D1333" t="s">
        <v>85</v>
      </c>
      <c r="E1333" t="s">
        <v>3637</v>
      </c>
      <c r="F1333" t="s">
        <v>3616</v>
      </c>
      <c r="G1333" s="1">
        <v>1546584.66</v>
      </c>
    </row>
    <row r="1334" spans="1:7">
      <c r="A1334" t="s">
        <v>1429</v>
      </c>
      <c r="B1334" s="6">
        <v>45950</v>
      </c>
      <c r="C1334" s="6" t="str">
        <f>TEXT(Table3[[#This Row],[transaction_date]], "yyyy-mm")</f>
        <v>2025-10</v>
      </c>
      <c r="D1334" t="s">
        <v>95</v>
      </c>
      <c r="E1334" t="s">
        <v>3636</v>
      </c>
      <c r="F1334" t="s">
        <v>3606</v>
      </c>
      <c r="G1334" s="1">
        <v>5100343.38</v>
      </c>
    </row>
    <row r="1335" spans="1:7">
      <c r="A1335" t="s">
        <v>1430</v>
      </c>
      <c r="B1335" s="6">
        <v>45800</v>
      </c>
      <c r="C1335" s="6" t="str">
        <f>TEXT(Table3[[#This Row],[transaction_date]], "yyyy-mm")</f>
        <v>2025-05</v>
      </c>
      <c r="D1335" t="s">
        <v>76</v>
      </c>
      <c r="E1335" t="s">
        <v>3637</v>
      </c>
      <c r="F1335" t="s">
        <v>3615</v>
      </c>
      <c r="G1335" s="1">
        <v>32048397.77</v>
      </c>
    </row>
    <row r="1336" spans="1:7">
      <c r="A1336" t="s">
        <v>1431</v>
      </c>
      <c r="B1336" s="6">
        <v>45676</v>
      </c>
      <c r="C1336" s="6" t="str">
        <f>TEXT(Table3[[#This Row],[transaction_date]], "yyyy-mm")</f>
        <v>2025-01</v>
      </c>
      <c r="D1336" t="s">
        <v>78</v>
      </c>
      <c r="E1336" t="s">
        <v>3636</v>
      </c>
      <c r="F1336" t="s">
        <v>3612</v>
      </c>
      <c r="G1336" s="1">
        <v>8223550.71</v>
      </c>
    </row>
    <row r="1337" spans="1:7">
      <c r="A1337" t="s">
        <v>1432</v>
      </c>
      <c r="B1337" s="6">
        <v>45812</v>
      </c>
      <c r="C1337" s="6" t="str">
        <f>TEXT(Table3[[#This Row],[transaction_date]], "yyyy-mm")</f>
        <v>2025-06</v>
      </c>
      <c r="D1337" t="s">
        <v>78</v>
      </c>
      <c r="E1337" t="s">
        <v>3636</v>
      </c>
      <c r="F1337" t="s">
        <v>3609</v>
      </c>
      <c r="G1337" s="1">
        <v>1979522.78</v>
      </c>
    </row>
    <row r="1338" spans="1:7">
      <c r="A1338" t="s">
        <v>1433</v>
      </c>
      <c r="B1338" s="6">
        <v>45887</v>
      </c>
      <c r="C1338" s="6" t="str">
        <f>TEXT(Table3[[#This Row],[transaction_date]], "yyyy-mm")</f>
        <v>2025-08</v>
      </c>
      <c r="D1338" t="s">
        <v>85</v>
      </c>
      <c r="E1338" t="s">
        <v>3637</v>
      </c>
      <c r="F1338" t="s">
        <v>3614</v>
      </c>
      <c r="G1338" s="1">
        <v>3129763.8</v>
      </c>
    </row>
    <row r="1339" spans="1:7">
      <c r="A1339" t="s">
        <v>1434</v>
      </c>
      <c r="B1339" s="6">
        <v>45859</v>
      </c>
      <c r="C1339" s="6" t="str">
        <f>TEXT(Table3[[#This Row],[transaction_date]], "yyyy-mm")</f>
        <v>2025-07</v>
      </c>
      <c r="D1339" t="s">
        <v>82</v>
      </c>
      <c r="E1339" t="s">
        <v>3637</v>
      </c>
      <c r="F1339" t="s">
        <v>3616</v>
      </c>
      <c r="G1339" s="1">
        <v>16396337.92</v>
      </c>
    </row>
    <row r="1340" spans="1:7">
      <c r="A1340" t="s">
        <v>1435</v>
      </c>
      <c r="B1340" s="6">
        <v>46020</v>
      </c>
      <c r="C1340" s="6" t="str">
        <f>TEXT(Table3[[#This Row],[transaction_date]], "yyyy-mm")</f>
        <v>2025-12</v>
      </c>
      <c r="D1340" t="s">
        <v>75</v>
      </c>
      <c r="E1340" t="s">
        <v>3636</v>
      </c>
      <c r="F1340" t="s">
        <v>3612</v>
      </c>
      <c r="G1340" s="1">
        <v>1015175.45</v>
      </c>
    </row>
    <row r="1341" spans="1:7">
      <c r="A1341" t="s">
        <v>1436</v>
      </c>
      <c r="B1341" s="6">
        <v>45711</v>
      </c>
      <c r="C1341" s="6" t="str">
        <f>TEXT(Table3[[#This Row],[transaction_date]], "yyyy-mm")</f>
        <v>2025-02</v>
      </c>
      <c r="D1341" t="s">
        <v>74</v>
      </c>
      <c r="E1341" t="s">
        <v>3637</v>
      </c>
      <c r="F1341" t="s">
        <v>3618</v>
      </c>
      <c r="G1341" s="1">
        <v>513055.13</v>
      </c>
    </row>
    <row r="1342" spans="1:7">
      <c r="A1342" t="s">
        <v>1437</v>
      </c>
      <c r="B1342" s="6">
        <v>45872</v>
      </c>
      <c r="C1342" s="6" t="str">
        <f>TEXT(Table3[[#This Row],[transaction_date]], "yyyy-mm")</f>
        <v>2025-08</v>
      </c>
      <c r="D1342" t="s">
        <v>73</v>
      </c>
      <c r="E1342" t="s">
        <v>3637</v>
      </c>
      <c r="F1342" t="s">
        <v>3615</v>
      </c>
      <c r="G1342" s="1">
        <v>800814.45</v>
      </c>
    </row>
    <row r="1343" spans="1:7">
      <c r="A1343" t="s">
        <v>1438</v>
      </c>
      <c r="B1343" s="6">
        <v>45663</v>
      </c>
      <c r="C1343" s="6" t="str">
        <f>TEXT(Table3[[#This Row],[transaction_date]], "yyyy-mm")</f>
        <v>2025-01</v>
      </c>
      <c r="D1343" t="s">
        <v>82</v>
      </c>
      <c r="E1343" t="s">
        <v>3636</v>
      </c>
      <c r="F1343" t="s">
        <v>3609</v>
      </c>
      <c r="G1343" s="1">
        <v>25193739.219999999</v>
      </c>
    </row>
    <row r="1344" spans="1:7">
      <c r="A1344" t="s">
        <v>1439</v>
      </c>
      <c r="B1344" s="6">
        <v>45973</v>
      </c>
      <c r="C1344" s="6" t="str">
        <f>TEXT(Table3[[#This Row],[transaction_date]], "yyyy-mm")</f>
        <v>2025-11</v>
      </c>
      <c r="D1344" t="s">
        <v>73</v>
      </c>
      <c r="E1344" t="s">
        <v>3636</v>
      </c>
      <c r="F1344" t="s">
        <v>3610</v>
      </c>
      <c r="G1344" s="1">
        <v>18394.650000000001</v>
      </c>
    </row>
    <row r="1345" spans="1:7">
      <c r="A1345" t="s">
        <v>1440</v>
      </c>
      <c r="B1345" s="6">
        <v>45712</v>
      </c>
      <c r="C1345" s="6" t="str">
        <f>TEXT(Table3[[#This Row],[transaction_date]], "yyyy-mm")</f>
        <v>2025-02</v>
      </c>
      <c r="D1345" t="s">
        <v>80</v>
      </c>
      <c r="E1345" t="s">
        <v>3637</v>
      </c>
      <c r="F1345" t="s">
        <v>3618</v>
      </c>
      <c r="G1345" s="1">
        <v>3570982.93</v>
      </c>
    </row>
    <row r="1346" spans="1:7">
      <c r="A1346" t="s">
        <v>1441</v>
      </c>
      <c r="B1346" s="6">
        <v>45769</v>
      </c>
      <c r="C1346" s="6" t="str">
        <f>TEXT(Table3[[#This Row],[transaction_date]], "yyyy-mm")</f>
        <v>2025-04</v>
      </c>
      <c r="D1346" t="s">
        <v>93</v>
      </c>
      <c r="E1346" t="s">
        <v>3636</v>
      </c>
      <c r="F1346" t="s">
        <v>3608</v>
      </c>
      <c r="G1346" s="1">
        <v>4047120.79</v>
      </c>
    </row>
    <row r="1347" spans="1:7">
      <c r="A1347" t="s">
        <v>1442</v>
      </c>
      <c r="B1347" s="6">
        <v>45708</v>
      </c>
      <c r="C1347" s="6" t="str">
        <f>TEXT(Table3[[#This Row],[transaction_date]], "yyyy-mm")</f>
        <v>2025-02</v>
      </c>
      <c r="D1347" t="s">
        <v>85</v>
      </c>
      <c r="E1347" t="s">
        <v>3636</v>
      </c>
      <c r="F1347" t="s">
        <v>3612</v>
      </c>
      <c r="G1347" s="1">
        <v>164024.53</v>
      </c>
    </row>
    <row r="1348" spans="1:7">
      <c r="A1348" t="s">
        <v>1443</v>
      </c>
      <c r="B1348" s="6">
        <v>45659</v>
      </c>
      <c r="C1348" s="6" t="str">
        <f>TEXT(Table3[[#This Row],[transaction_date]], "yyyy-mm")</f>
        <v>2025-01</v>
      </c>
      <c r="D1348" t="s">
        <v>76</v>
      </c>
      <c r="E1348" t="s">
        <v>3636</v>
      </c>
      <c r="F1348" t="s">
        <v>3605</v>
      </c>
      <c r="G1348" s="1">
        <v>994514.44</v>
      </c>
    </row>
    <row r="1349" spans="1:7">
      <c r="A1349" t="s">
        <v>1444</v>
      </c>
      <c r="B1349" s="6">
        <v>45811</v>
      </c>
      <c r="C1349" s="6" t="str">
        <f>TEXT(Table3[[#This Row],[transaction_date]], "yyyy-mm")</f>
        <v>2025-06</v>
      </c>
      <c r="D1349" t="s">
        <v>74</v>
      </c>
      <c r="E1349" t="s">
        <v>3637</v>
      </c>
      <c r="F1349" t="s">
        <v>3620</v>
      </c>
      <c r="G1349" s="1">
        <v>1071506.73</v>
      </c>
    </row>
    <row r="1350" spans="1:7">
      <c r="A1350" t="s">
        <v>1445</v>
      </c>
      <c r="B1350" s="6">
        <v>45671</v>
      </c>
      <c r="C1350" s="6" t="str">
        <f>TEXT(Table3[[#This Row],[transaction_date]], "yyyy-mm")</f>
        <v>2025-01</v>
      </c>
      <c r="D1350" t="s">
        <v>73</v>
      </c>
      <c r="E1350" t="s">
        <v>3636</v>
      </c>
      <c r="F1350" t="s">
        <v>3613</v>
      </c>
      <c r="G1350" s="1">
        <v>3158348.06</v>
      </c>
    </row>
    <row r="1351" spans="1:7">
      <c r="A1351" t="s">
        <v>1446</v>
      </c>
      <c r="B1351" s="6">
        <v>45801</v>
      </c>
      <c r="C1351" s="6" t="str">
        <f>TEXT(Table3[[#This Row],[transaction_date]], "yyyy-mm")</f>
        <v>2025-05</v>
      </c>
      <c r="D1351" t="s">
        <v>3597</v>
      </c>
      <c r="E1351" t="s">
        <v>3637</v>
      </c>
      <c r="F1351" t="s">
        <v>3623</v>
      </c>
      <c r="G1351" s="1">
        <v>392811.86</v>
      </c>
    </row>
    <row r="1352" spans="1:7">
      <c r="A1352" t="s">
        <v>1447</v>
      </c>
      <c r="B1352" s="6">
        <v>45810</v>
      </c>
      <c r="C1352" s="6" t="str">
        <f>TEXT(Table3[[#This Row],[transaction_date]], "yyyy-mm")</f>
        <v>2025-06</v>
      </c>
      <c r="D1352" t="s">
        <v>3597</v>
      </c>
      <c r="E1352" t="s">
        <v>3637</v>
      </c>
      <c r="F1352" t="s">
        <v>3619</v>
      </c>
      <c r="G1352" s="1">
        <v>8760465.3000000007</v>
      </c>
    </row>
    <row r="1353" spans="1:7">
      <c r="A1353" t="s">
        <v>1448</v>
      </c>
      <c r="B1353" s="6">
        <v>45673</v>
      </c>
      <c r="C1353" s="6" t="str">
        <f>TEXT(Table3[[#This Row],[transaction_date]], "yyyy-mm")</f>
        <v>2025-01</v>
      </c>
      <c r="D1353" t="s">
        <v>95</v>
      </c>
      <c r="E1353" t="s">
        <v>3637</v>
      </c>
      <c r="F1353" t="s">
        <v>3620</v>
      </c>
      <c r="G1353" s="1">
        <v>256903.11</v>
      </c>
    </row>
    <row r="1354" spans="1:7">
      <c r="A1354" t="s">
        <v>1449</v>
      </c>
      <c r="B1354" s="6">
        <v>45821</v>
      </c>
      <c r="C1354" s="6" t="str">
        <f>TEXT(Table3[[#This Row],[transaction_date]], "yyyy-mm")</f>
        <v>2025-06</v>
      </c>
      <c r="D1354" t="s">
        <v>95</v>
      </c>
      <c r="E1354" t="s">
        <v>3636</v>
      </c>
      <c r="F1354" t="s">
        <v>3610</v>
      </c>
      <c r="G1354" s="1">
        <v>717467.3</v>
      </c>
    </row>
    <row r="1355" spans="1:7">
      <c r="A1355" t="s">
        <v>1450</v>
      </c>
      <c r="B1355" s="6">
        <v>45860</v>
      </c>
      <c r="C1355" s="6" t="str">
        <f>TEXT(Table3[[#This Row],[transaction_date]], "yyyy-mm")</f>
        <v>2025-07</v>
      </c>
      <c r="D1355" t="s">
        <v>3597</v>
      </c>
      <c r="E1355" t="s">
        <v>3637</v>
      </c>
      <c r="F1355" t="s">
        <v>3618</v>
      </c>
      <c r="G1355" s="1">
        <v>10011509.49</v>
      </c>
    </row>
    <row r="1356" spans="1:7">
      <c r="A1356" t="s">
        <v>1451</v>
      </c>
      <c r="B1356" s="6">
        <v>45670</v>
      </c>
      <c r="C1356" s="6" t="str">
        <f>TEXT(Table3[[#This Row],[transaction_date]], "yyyy-mm")</f>
        <v>2025-01</v>
      </c>
      <c r="D1356" t="s">
        <v>93</v>
      </c>
      <c r="E1356" t="s">
        <v>3636</v>
      </c>
      <c r="F1356" t="s">
        <v>3607</v>
      </c>
      <c r="G1356" s="1">
        <v>12744356.74</v>
      </c>
    </row>
    <row r="1357" spans="1:7">
      <c r="A1357" t="s">
        <v>1452</v>
      </c>
      <c r="B1357" s="6">
        <v>45676</v>
      </c>
      <c r="C1357" s="6" t="str">
        <f>TEXT(Table3[[#This Row],[transaction_date]], "yyyy-mm")</f>
        <v>2025-01</v>
      </c>
      <c r="D1357" t="s">
        <v>73</v>
      </c>
      <c r="E1357" t="s">
        <v>3637</v>
      </c>
      <c r="F1357" t="s">
        <v>3622</v>
      </c>
      <c r="G1357" s="1">
        <v>536760.27</v>
      </c>
    </row>
    <row r="1358" spans="1:7">
      <c r="A1358" t="s">
        <v>1453</v>
      </c>
      <c r="B1358" s="6">
        <v>45807</v>
      </c>
      <c r="C1358" s="6" t="str">
        <f>TEXT(Table3[[#This Row],[transaction_date]], "yyyy-mm")</f>
        <v>2025-05</v>
      </c>
      <c r="D1358" t="s">
        <v>89</v>
      </c>
      <c r="E1358" t="s">
        <v>3636</v>
      </c>
      <c r="F1358" t="s">
        <v>3607</v>
      </c>
      <c r="G1358" s="1">
        <v>530612.41</v>
      </c>
    </row>
    <row r="1359" spans="1:7">
      <c r="A1359" t="s">
        <v>1454</v>
      </c>
      <c r="B1359" s="6">
        <v>45912</v>
      </c>
      <c r="C1359" s="6" t="str">
        <f>TEXT(Table3[[#This Row],[transaction_date]], "yyyy-mm")</f>
        <v>2025-09</v>
      </c>
      <c r="D1359" t="s">
        <v>80</v>
      </c>
      <c r="E1359" t="s">
        <v>3636</v>
      </c>
      <c r="F1359" t="s">
        <v>3608</v>
      </c>
      <c r="G1359" s="1">
        <v>3264157.79</v>
      </c>
    </row>
    <row r="1360" spans="1:7">
      <c r="A1360" t="s">
        <v>1455</v>
      </c>
      <c r="B1360" s="6">
        <v>45672</v>
      </c>
      <c r="C1360" s="6" t="str">
        <f>TEXT(Table3[[#This Row],[transaction_date]], "yyyy-mm")</f>
        <v>2025-01</v>
      </c>
      <c r="D1360" t="s">
        <v>85</v>
      </c>
      <c r="E1360" t="s">
        <v>3636</v>
      </c>
      <c r="F1360" t="s">
        <v>3604</v>
      </c>
      <c r="G1360" s="1">
        <v>370559.24</v>
      </c>
    </row>
    <row r="1361" spans="1:7">
      <c r="A1361" t="s">
        <v>1456</v>
      </c>
      <c r="B1361" s="6">
        <v>45950</v>
      </c>
      <c r="C1361" s="6" t="str">
        <f>TEXT(Table3[[#This Row],[transaction_date]], "yyyy-mm")</f>
        <v>2025-10</v>
      </c>
      <c r="D1361" t="s">
        <v>76</v>
      </c>
      <c r="E1361" t="s">
        <v>3636</v>
      </c>
      <c r="F1361" t="s">
        <v>3608</v>
      </c>
      <c r="G1361" s="1">
        <v>6271954.9000000004</v>
      </c>
    </row>
    <row r="1362" spans="1:7">
      <c r="A1362" t="s">
        <v>1457</v>
      </c>
      <c r="B1362" s="6">
        <v>45942</v>
      </c>
      <c r="C1362" s="6" t="str">
        <f>TEXT(Table3[[#This Row],[transaction_date]], "yyyy-mm")</f>
        <v>2025-10</v>
      </c>
      <c r="D1362" t="s">
        <v>95</v>
      </c>
      <c r="E1362" t="s">
        <v>3637</v>
      </c>
      <c r="F1362" t="s">
        <v>3614</v>
      </c>
      <c r="G1362" s="1">
        <v>2075133.09</v>
      </c>
    </row>
    <row r="1363" spans="1:7">
      <c r="A1363" t="s">
        <v>1458</v>
      </c>
      <c r="B1363" s="6">
        <v>45693</v>
      </c>
      <c r="C1363" s="6" t="str">
        <f>TEXT(Table3[[#This Row],[transaction_date]], "yyyy-mm")</f>
        <v>2025-02</v>
      </c>
      <c r="D1363" t="s">
        <v>95</v>
      </c>
      <c r="E1363" t="s">
        <v>3636</v>
      </c>
      <c r="F1363" t="s">
        <v>3610</v>
      </c>
      <c r="G1363" s="1">
        <v>585081.87</v>
      </c>
    </row>
    <row r="1364" spans="1:7">
      <c r="A1364" t="s">
        <v>1459</v>
      </c>
      <c r="B1364" s="6">
        <v>45870</v>
      </c>
      <c r="C1364" s="6" t="str">
        <f>TEXT(Table3[[#This Row],[transaction_date]], "yyyy-mm")</f>
        <v>2025-08</v>
      </c>
      <c r="D1364" t="s">
        <v>73</v>
      </c>
      <c r="E1364" t="s">
        <v>3636</v>
      </c>
      <c r="F1364" t="s">
        <v>3605</v>
      </c>
      <c r="G1364" s="1">
        <v>1103953.52</v>
      </c>
    </row>
    <row r="1365" spans="1:7">
      <c r="A1365" t="s">
        <v>1460</v>
      </c>
      <c r="B1365" s="6">
        <v>45964</v>
      </c>
      <c r="C1365" s="6" t="str">
        <f>TEXT(Table3[[#This Row],[transaction_date]], "yyyy-mm")</f>
        <v>2025-11</v>
      </c>
      <c r="D1365" t="s">
        <v>79</v>
      </c>
      <c r="E1365" t="s">
        <v>3636</v>
      </c>
      <c r="F1365" t="s">
        <v>3604</v>
      </c>
      <c r="G1365" s="1">
        <v>3858202.67</v>
      </c>
    </row>
    <row r="1366" spans="1:7">
      <c r="A1366" t="s">
        <v>1461</v>
      </c>
      <c r="B1366" s="6">
        <v>45848</v>
      </c>
      <c r="C1366" s="6" t="str">
        <f>TEXT(Table3[[#This Row],[transaction_date]], "yyyy-mm")</f>
        <v>2025-07</v>
      </c>
      <c r="D1366" t="s">
        <v>89</v>
      </c>
      <c r="E1366" t="s">
        <v>3636</v>
      </c>
      <c r="F1366" t="s">
        <v>3604</v>
      </c>
      <c r="G1366" s="1">
        <v>976065.9</v>
      </c>
    </row>
    <row r="1367" spans="1:7">
      <c r="A1367" t="s">
        <v>1462</v>
      </c>
      <c r="B1367" s="6">
        <v>45772</v>
      </c>
      <c r="C1367" s="6" t="str">
        <f>TEXT(Table3[[#This Row],[transaction_date]], "yyyy-mm")</f>
        <v>2025-04</v>
      </c>
      <c r="D1367" t="s">
        <v>77</v>
      </c>
      <c r="E1367" t="s">
        <v>3636</v>
      </c>
      <c r="F1367" t="s">
        <v>3611</v>
      </c>
      <c r="G1367" s="1">
        <v>4212247.78</v>
      </c>
    </row>
    <row r="1368" spans="1:7">
      <c r="A1368" t="s">
        <v>1463</v>
      </c>
      <c r="B1368" s="6">
        <v>45731</v>
      </c>
      <c r="C1368" s="6" t="str">
        <f>TEXT(Table3[[#This Row],[transaction_date]], "yyyy-mm")</f>
        <v>2025-03</v>
      </c>
      <c r="D1368" t="s">
        <v>73</v>
      </c>
      <c r="E1368" t="s">
        <v>3637</v>
      </c>
      <c r="F1368" t="s">
        <v>3621</v>
      </c>
      <c r="G1368" s="1">
        <v>157104.85</v>
      </c>
    </row>
    <row r="1369" spans="1:7">
      <c r="A1369" t="s">
        <v>1464</v>
      </c>
      <c r="B1369" s="6">
        <v>45788</v>
      </c>
      <c r="C1369" s="6" t="str">
        <f>TEXT(Table3[[#This Row],[transaction_date]], "yyyy-mm")</f>
        <v>2025-05</v>
      </c>
      <c r="D1369" t="s">
        <v>75</v>
      </c>
      <c r="E1369" t="s">
        <v>3636</v>
      </c>
      <c r="F1369" t="s">
        <v>3604</v>
      </c>
      <c r="G1369" s="1">
        <v>15731519.98</v>
      </c>
    </row>
    <row r="1370" spans="1:7">
      <c r="A1370" t="s">
        <v>1465</v>
      </c>
      <c r="B1370" s="6">
        <v>45987</v>
      </c>
      <c r="C1370" s="6" t="str">
        <f>TEXT(Table3[[#This Row],[transaction_date]], "yyyy-mm")</f>
        <v>2025-11</v>
      </c>
      <c r="D1370" t="s">
        <v>89</v>
      </c>
      <c r="E1370" t="s">
        <v>3637</v>
      </c>
      <c r="F1370" t="s">
        <v>3620</v>
      </c>
      <c r="G1370" s="1">
        <v>8492.8799999999992</v>
      </c>
    </row>
    <row r="1371" spans="1:7">
      <c r="A1371" t="s">
        <v>1466</v>
      </c>
      <c r="B1371" s="6">
        <v>45991</v>
      </c>
      <c r="C1371" s="6" t="str">
        <f>TEXT(Table3[[#This Row],[transaction_date]], "yyyy-mm")</f>
        <v>2025-11</v>
      </c>
      <c r="D1371" t="s">
        <v>79</v>
      </c>
      <c r="E1371" t="s">
        <v>3636</v>
      </c>
      <c r="F1371" t="s">
        <v>3611</v>
      </c>
      <c r="G1371" s="1">
        <v>2050991.08</v>
      </c>
    </row>
    <row r="1372" spans="1:7">
      <c r="A1372" t="s">
        <v>1467</v>
      </c>
      <c r="B1372" s="6">
        <v>45982</v>
      </c>
      <c r="C1372" s="6" t="str">
        <f>TEXT(Table3[[#This Row],[transaction_date]], "yyyy-mm")</f>
        <v>2025-11</v>
      </c>
      <c r="D1372" t="s">
        <v>74</v>
      </c>
      <c r="E1372" t="s">
        <v>3637</v>
      </c>
      <c r="F1372" t="s">
        <v>3616</v>
      </c>
      <c r="G1372" s="1">
        <v>137471.89000000001</v>
      </c>
    </row>
    <row r="1373" spans="1:7">
      <c r="A1373" t="s">
        <v>1468</v>
      </c>
      <c r="B1373" s="6">
        <v>45740</v>
      </c>
      <c r="C1373" s="6" t="str">
        <f>TEXT(Table3[[#This Row],[transaction_date]], "yyyy-mm")</f>
        <v>2025-03</v>
      </c>
      <c r="D1373" t="s">
        <v>89</v>
      </c>
      <c r="E1373" t="s">
        <v>3637</v>
      </c>
      <c r="F1373" t="s">
        <v>3620</v>
      </c>
      <c r="G1373" s="1">
        <v>33462.6</v>
      </c>
    </row>
    <row r="1374" spans="1:7">
      <c r="A1374" t="s">
        <v>1469</v>
      </c>
      <c r="B1374" s="6">
        <v>45672</v>
      </c>
      <c r="C1374" s="6" t="str">
        <f>TEXT(Table3[[#This Row],[transaction_date]], "yyyy-mm")</f>
        <v>2025-01</v>
      </c>
      <c r="D1374" t="s">
        <v>85</v>
      </c>
      <c r="E1374" t="s">
        <v>3636</v>
      </c>
      <c r="F1374" t="s">
        <v>3611</v>
      </c>
      <c r="G1374" s="1">
        <v>1156554.1000000001</v>
      </c>
    </row>
    <row r="1375" spans="1:7">
      <c r="A1375" t="s">
        <v>1470</v>
      </c>
      <c r="B1375" s="6">
        <v>45866</v>
      </c>
      <c r="C1375" s="6" t="str">
        <f>TEXT(Table3[[#This Row],[transaction_date]], "yyyy-mm")</f>
        <v>2025-07</v>
      </c>
      <c r="D1375" t="s">
        <v>76</v>
      </c>
      <c r="E1375" t="s">
        <v>3637</v>
      </c>
      <c r="F1375" t="s">
        <v>3622</v>
      </c>
      <c r="G1375" s="1">
        <v>6214131.8200000003</v>
      </c>
    </row>
    <row r="1376" spans="1:7">
      <c r="A1376" t="s">
        <v>1471</v>
      </c>
      <c r="B1376" s="6">
        <v>45687</v>
      </c>
      <c r="C1376" s="6" t="str">
        <f>TEXT(Table3[[#This Row],[transaction_date]], "yyyy-mm")</f>
        <v>2025-01</v>
      </c>
      <c r="D1376" t="s">
        <v>93</v>
      </c>
      <c r="E1376" t="s">
        <v>3637</v>
      </c>
      <c r="F1376" t="s">
        <v>3614</v>
      </c>
      <c r="G1376" s="1">
        <v>10469855.689999999</v>
      </c>
    </row>
    <row r="1377" spans="1:7">
      <c r="A1377" t="s">
        <v>1472</v>
      </c>
      <c r="B1377" s="6">
        <v>45859</v>
      </c>
      <c r="C1377" s="6" t="str">
        <f>TEXT(Table3[[#This Row],[transaction_date]], "yyyy-mm")</f>
        <v>2025-07</v>
      </c>
      <c r="D1377" t="s">
        <v>84</v>
      </c>
      <c r="E1377" t="s">
        <v>3637</v>
      </c>
      <c r="F1377" t="s">
        <v>3620</v>
      </c>
      <c r="G1377" s="1">
        <v>12603618.609999999</v>
      </c>
    </row>
    <row r="1378" spans="1:7">
      <c r="A1378" t="s">
        <v>1473</v>
      </c>
      <c r="B1378" s="6">
        <v>45754</v>
      </c>
      <c r="C1378" s="6" t="str">
        <f>TEXT(Table3[[#This Row],[transaction_date]], "yyyy-mm")</f>
        <v>2025-04</v>
      </c>
      <c r="D1378" t="s">
        <v>89</v>
      </c>
      <c r="E1378" t="s">
        <v>3637</v>
      </c>
      <c r="F1378" t="s">
        <v>3617</v>
      </c>
      <c r="G1378" s="1">
        <v>318084.51</v>
      </c>
    </row>
    <row r="1379" spans="1:7">
      <c r="A1379" t="s">
        <v>1474</v>
      </c>
      <c r="B1379" s="6">
        <v>45801</v>
      </c>
      <c r="C1379" s="6" t="str">
        <f>TEXT(Table3[[#This Row],[transaction_date]], "yyyy-mm")</f>
        <v>2025-05</v>
      </c>
      <c r="D1379" t="s">
        <v>95</v>
      </c>
      <c r="E1379" t="s">
        <v>3637</v>
      </c>
      <c r="F1379" t="s">
        <v>3614</v>
      </c>
      <c r="G1379" s="1">
        <v>2325466.29</v>
      </c>
    </row>
    <row r="1380" spans="1:7">
      <c r="A1380" t="s">
        <v>1475</v>
      </c>
      <c r="B1380" s="6">
        <v>45851</v>
      </c>
      <c r="C1380" s="6" t="str">
        <f>TEXT(Table3[[#This Row],[transaction_date]], "yyyy-mm")</f>
        <v>2025-07</v>
      </c>
      <c r="D1380" t="s">
        <v>75</v>
      </c>
      <c r="E1380" t="s">
        <v>3637</v>
      </c>
      <c r="F1380" t="s">
        <v>3614</v>
      </c>
      <c r="G1380" s="1">
        <v>3284358.02</v>
      </c>
    </row>
    <row r="1381" spans="1:7">
      <c r="A1381" t="s">
        <v>1476</v>
      </c>
      <c r="B1381" s="6">
        <v>45735</v>
      </c>
      <c r="C1381" s="6" t="str">
        <f>TEXT(Table3[[#This Row],[transaction_date]], "yyyy-mm")</f>
        <v>2025-03</v>
      </c>
      <c r="D1381" t="s">
        <v>77</v>
      </c>
      <c r="E1381" t="s">
        <v>3637</v>
      </c>
      <c r="F1381" t="s">
        <v>3617</v>
      </c>
      <c r="G1381" s="1">
        <v>1840440.11</v>
      </c>
    </row>
    <row r="1382" spans="1:7">
      <c r="A1382" t="s">
        <v>1477</v>
      </c>
      <c r="B1382" s="6">
        <v>46015</v>
      </c>
      <c r="C1382" s="6" t="str">
        <f>TEXT(Table3[[#This Row],[transaction_date]], "yyyy-mm")</f>
        <v>2025-12</v>
      </c>
      <c r="D1382" t="s">
        <v>75</v>
      </c>
      <c r="E1382" t="s">
        <v>3636</v>
      </c>
      <c r="F1382" t="s">
        <v>3604</v>
      </c>
      <c r="G1382" s="1">
        <v>24640634.949999999</v>
      </c>
    </row>
    <row r="1383" spans="1:7">
      <c r="A1383" t="s">
        <v>1478</v>
      </c>
      <c r="B1383" s="6">
        <v>45671</v>
      </c>
      <c r="C1383" s="6" t="str">
        <f>TEXT(Table3[[#This Row],[transaction_date]], "yyyy-mm")</f>
        <v>2025-01</v>
      </c>
      <c r="D1383" t="s">
        <v>3597</v>
      </c>
      <c r="E1383" t="s">
        <v>3636</v>
      </c>
      <c r="F1383" t="s">
        <v>3607</v>
      </c>
      <c r="G1383" s="1">
        <v>1848535.44</v>
      </c>
    </row>
    <row r="1384" spans="1:7">
      <c r="A1384" t="s">
        <v>1479</v>
      </c>
      <c r="B1384" s="6">
        <v>45989</v>
      </c>
      <c r="C1384" s="6" t="str">
        <f>TEXT(Table3[[#This Row],[transaction_date]], "yyyy-mm")</f>
        <v>2025-11</v>
      </c>
      <c r="D1384" t="s">
        <v>76</v>
      </c>
      <c r="E1384" t="s">
        <v>3637</v>
      </c>
      <c r="F1384" t="s">
        <v>3617</v>
      </c>
      <c r="G1384" s="1">
        <v>1165686.3999999999</v>
      </c>
    </row>
    <row r="1385" spans="1:7">
      <c r="A1385" t="s">
        <v>1480</v>
      </c>
      <c r="B1385" s="6">
        <v>46009</v>
      </c>
      <c r="C1385" s="6" t="str">
        <f>TEXT(Table3[[#This Row],[transaction_date]], "yyyy-mm")</f>
        <v>2025-12</v>
      </c>
      <c r="D1385" t="s">
        <v>78</v>
      </c>
      <c r="E1385" t="s">
        <v>3637</v>
      </c>
      <c r="F1385" t="s">
        <v>3615</v>
      </c>
      <c r="G1385" s="1">
        <v>2980089.37</v>
      </c>
    </row>
    <row r="1386" spans="1:7">
      <c r="A1386" t="s">
        <v>1481</v>
      </c>
      <c r="B1386" s="6">
        <v>45753</v>
      </c>
      <c r="C1386" s="6" t="str">
        <f>TEXT(Table3[[#This Row],[transaction_date]], "yyyy-mm")</f>
        <v>2025-04</v>
      </c>
      <c r="D1386" t="s">
        <v>84</v>
      </c>
      <c r="E1386" t="s">
        <v>3636</v>
      </c>
      <c r="F1386" t="s">
        <v>3608</v>
      </c>
      <c r="G1386" s="1">
        <v>555307.15</v>
      </c>
    </row>
    <row r="1387" spans="1:7">
      <c r="A1387" t="s">
        <v>1482</v>
      </c>
      <c r="B1387" s="6">
        <v>45668</v>
      </c>
      <c r="C1387" s="6" t="str">
        <f>TEXT(Table3[[#This Row],[transaction_date]], "yyyy-mm")</f>
        <v>2025-01</v>
      </c>
      <c r="D1387" t="s">
        <v>78</v>
      </c>
      <c r="E1387" t="s">
        <v>3636</v>
      </c>
      <c r="F1387" t="s">
        <v>3604</v>
      </c>
      <c r="G1387" s="1">
        <v>197358.34</v>
      </c>
    </row>
    <row r="1388" spans="1:7">
      <c r="A1388" t="s">
        <v>1483</v>
      </c>
      <c r="B1388" s="6">
        <v>45885</v>
      </c>
      <c r="C1388" s="6" t="str">
        <f>TEXT(Table3[[#This Row],[transaction_date]], "yyyy-mm")</f>
        <v>2025-08</v>
      </c>
      <c r="D1388" t="s">
        <v>95</v>
      </c>
      <c r="E1388" t="s">
        <v>3637</v>
      </c>
      <c r="F1388" t="s">
        <v>3620</v>
      </c>
      <c r="G1388" s="1">
        <v>4254107.09</v>
      </c>
    </row>
    <row r="1389" spans="1:7">
      <c r="A1389" t="s">
        <v>1484</v>
      </c>
      <c r="B1389" s="6">
        <v>45762</v>
      </c>
      <c r="C1389" s="6" t="str">
        <f>TEXT(Table3[[#This Row],[transaction_date]], "yyyy-mm")</f>
        <v>2025-04</v>
      </c>
      <c r="D1389" t="s">
        <v>90</v>
      </c>
      <c r="E1389" t="s">
        <v>3636</v>
      </c>
      <c r="F1389" t="s">
        <v>3609</v>
      </c>
      <c r="G1389" s="1">
        <v>33393259.640000001</v>
      </c>
    </row>
    <row r="1390" spans="1:7">
      <c r="A1390" t="s">
        <v>1485</v>
      </c>
      <c r="B1390" s="6">
        <v>45692</v>
      </c>
      <c r="C1390" s="6" t="str">
        <f>TEXT(Table3[[#This Row],[transaction_date]], "yyyy-mm")</f>
        <v>2025-02</v>
      </c>
      <c r="D1390" t="s">
        <v>78</v>
      </c>
      <c r="E1390" t="s">
        <v>3636</v>
      </c>
      <c r="F1390" t="s">
        <v>3604</v>
      </c>
      <c r="G1390" s="1">
        <v>794533.74</v>
      </c>
    </row>
    <row r="1391" spans="1:7">
      <c r="A1391" t="s">
        <v>1486</v>
      </c>
      <c r="B1391" s="6">
        <v>45970</v>
      </c>
      <c r="C1391" s="6" t="str">
        <f>TEXT(Table3[[#This Row],[transaction_date]], "yyyy-mm")</f>
        <v>2025-11</v>
      </c>
      <c r="D1391" t="s">
        <v>89</v>
      </c>
      <c r="E1391" t="s">
        <v>3636</v>
      </c>
      <c r="F1391" t="s">
        <v>3604</v>
      </c>
      <c r="G1391" s="1">
        <v>1759852.59</v>
      </c>
    </row>
    <row r="1392" spans="1:7">
      <c r="A1392" t="s">
        <v>1487</v>
      </c>
      <c r="B1392" s="6">
        <v>45691</v>
      </c>
      <c r="C1392" s="6" t="str">
        <f>TEXT(Table3[[#This Row],[transaction_date]], "yyyy-mm")</f>
        <v>2025-02</v>
      </c>
      <c r="D1392" t="s">
        <v>3597</v>
      </c>
      <c r="E1392" t="s">
        <v>3636</v>
      </c>
      <c r="F1392" t="s">
        <v>3604</v>
      </c>
      <c r="G1392" s="1">
        <v>4269936.6900000004</v>
      </c>
    </row>
    <row r="1393" spans="1:7">
      <c r="A1393" t="s">
        <v>1488</v>
      </c>
      <c r="B1393" s="6">
        <v>45949</v>
      </c>
      <c r="C1393" s="6" t="str">
        <f>TEXT(Table3[[#This Row],[transaction_date]], "yyyy-mm")</f>
        <v>2025-10</v>
      </c>
      <c r="D1393" t="s">
        <v>73</v>
      </c>
      <c r="E1393" t="s">
        <v>3637</v>
      </c>
      <c r="F1393" t="s">
        <v>3619</v>
      </c>
      <c r="G1393" s="1">
        <v>344525.04</v>
      </c>
    </row>
    <row r="1394" spans="1:7">
      <c r="A1394" t="s">
        <v>1489</v>
      </c>
      <c r="B1394" s="6">
        <v>45828</v>
      </c>
      <c r="C1394" s="6" t="str">
        <f>TEXT(Table3[[#This Row],[transaction_date]], "yyyy-mm")</f>
        <v>2025-06</v>
      </c>
      <c r="D1394" t="s">
        <v>3597</v>
      </c>
      <c r="E1394" t="s">
        <v>3636</v>
      </c>
      <c r="F1394" t="s">
        <v>3605</v>
      </c>
      <c r="G1394" s="1">
        <v>2345850.73</v>
      </c>
    </row>
    <row r="1395" spans="1:7">
      <c r="A1395" t="s">
        <v>1490</v>
      </c>
      <c r="B1395" s="6">
        <v>45952</v>
      </c>
      <c r="C1395" s="6" t="str">
        <f>TEXT(Table3[[#This Row],[transaction_date]], "yyyy-mm")</f>
        <v>2025-10</v>
      </c>
      <c r="D1395" t="s">
        <v>79</v>
      </c>
      <c r="E1395" t="s">
        <v>3636</v>
      </c>
      <c r="F1395" t="s">
        <v>3612</v>
      </c>
      <c r="G1395" s="1">
        <v>3611980.06</v>
      </c>
    </row>
    <row r="1396" spans="1:7">
      <c r="A1396" t="s">
        <v>1491</v>
      </c>
      <c r="B1396" s="6">
        <v>45792</v>
      </c>
      <c r="C1396" s="6" t="str">
        <f>TEXT(Table3[[#This Row],[transaction_date]], "yyyy-mm")</f>
        <v>2025-05</v>
      </c>
      <c r="D1396" t="s">
        <v>75</v>
      </c>
      <c r="E1396" t="s">
        <v>3637</v>
      </c>
      <c r="F1396" t="s">
        <v>3621</v>
      </c>
      <c r="G1396" s="1">
        <v>702485.95</v>
      </c>
    </row>
    <row r="1397" spans="1:7">
      <c r="A1397" t="s">
        <v>1492</v>
      </c>
      <c r="B1397" s="6">
        <v>45715</v>
      </c>
      <c r="C1397" s="6" t="str">
        <f>TEXT(Table3[[#This Row],[transaction_date]], "yyyy-mm")</f>
        <v>2025-02</v>
      </c>
      <c r="D1397" t="s">
        <v>79</v>
      </c>
      <c r="E1397" t="s">
        <v>3637</v>
      </c>
      <c r="F1397" t="s">
        <v>3614</v>
      </c>
      <c r="G1397" s="1">
        <v>2947781.86</v>
      </c>
    </row>
    <row r="1398" spans="1:7">
      <c r="A1398" t="s">
        <v>1493</v>
      </c>
      <c r="B1398" s="6">
        <v>45859</v>
      </c>
      <c r="C1398" s="6" t="str">
        <f>TEXT(Table3[[#This Row],[transaction_date]], "yyyy-mm")</f>
        <v>2025-07</v>
      </c>
      <c r="D1398" t="s">
        <v>73</v>
      </c>
      <c r="E1398" t="s">
        <v>3636</v>
      </c>
      <c r="F1398" t="s">
        <v>3604</v>
      </c>
      <c r="G1398" s="1">
        <v>367761.33</v>
      </c>
    </row>
    <row r="1399" spans="1:7">
      <c r="A1399" t="s">
        <v>1494</v>
      </c>
      <c r="B1399" s="6">
        <v>45959</v>
      </c>
      <c r="C1399" s="6" t="str">
        <f>TEXT(Table3[[#This Row],[transaction_date]], "yyyy-mm")</f>
        <v>2025-10</v>
      </c>
      <c r="D1399" t="s">
        <v>3597</v>
      </c>
      <c r="E1399" t="s">
        <v>3636</v>
      </c>
      <c r="F1399" t="s">
        <v>3613</v>
      </c>
      <c r="G1399" s="1">
        <v>3944579.27</v>
      </c>
    </row>
    <row r="1400" spans="1:7">
      <c r="A1400" t="s">
        <v>1495</v>
      </c>
      <c r="B1400" s="6">
        <v>45685</v>
      </c>
      <c r="C1400" s="6" t="str">
        <f>TEXT(Table3[[#This Row],[transaction_date]], "yyyy-mm")</f>
        <v>2025-01</v>
      </c>
      <c r="D1400" t="s">
        <v>76</v>
      </c>
      <c r="E1400" t="s">
        <v>3637</v>
      </c>
      <c r="F1400" t="s">
        <v>3619</v>
      </c>
      <c r="G1400" s="1">
        <v>1768248.66</v>
      </c>
    </row>
    <row r="1401" spans="1:7">
      <c r="A1401" t="s">
        <v>1496</v>
      </c>
      <c r="B1401" s="6">
        <v>45988</v>
      </c>
      <c r="C1401" s="6" t="str">
        <f>TEXT(Table3[[#This Row],[transaction_date]], "yyyy-mm")</f>
        <v>2025-11</v>
      </c>
      <c r="D1401" t="s">
        <v>77</v>
      </c>
      <c r="E1401" t="s">
        <v>3636</v>
      </c>
      <c r="F1401" t="s">
        <v>3610</v>
      </c>
      <c r="G1401" s="1">
        <v>2793358.55</v>
      </c>
    </row>
    <row r="1402" spans="1:7">
      <c r="A1402" t="s">
        <v>1497</v>
      </c>
      <c r="B1402" s="6">
        <v>45760</v>
      </c>
      <c r="C1402" s="6" t="str">
        <f>TEXT(Table3[[#This Row],[transaction_date]], "yyyy-mm")</f>
        <v>2025-04</v>
      </c>
      <c r="D1402" t="s">
        <v>78</v>
      </c>
      <c r="E1402" t="s">
        <v>3637</v>
      </c>
      <c r="F1402" t="s">
        <v>3622</v>
      </c>
      <c r="G1402" s="1">
        <v>7473665.7999999998</v>
      </c>
    </row>
    <row r="1403" spans="1:7">
      <c r="A1403" t="s">
        <v>1498</v>
      </c>
      <c r="B1403" s="6">
        <v>45710</v>
      </c>
      <c r="C1403" s="6" t="str">
        <f>TEXT(Table3[[#This Row],[transaction_date]], "yyyy-mm")</f>
        <v>2025-02</v>
      </c>
      <c r="D1403" t="s">
        <v>73</v>
      </c>
      <c r="E1403" t="s">
        <v>3636</v>
      </c>
      <c r="F1403" t="s">
        <v>3610</v>
      </c>
      <c r="G1403" s="1">
        <v>533248.92000000004</v>
      </c>
    </row>
    <row r="1404" spans="1:7">
      <c r="A1404" t="s">
        <v>1499</v>
      </c>
      <c r="B1404" s="6">
        <v>45776</v>
      </c>
      <c r="C1404" s="6" t="str">
        <f>TEXT(Table3[[#This Row],[transaction_date]], "yyyy-mm")</f>
        <v>2025-04</v>
      </c>
      <c r="D1404" t="s">
        <v>73</v>
      </c>
      <c r="E1404" t="s">
        <v>3637</v>
      </c>
      <c r="F1404" t="s">
        <v>3621</v>
      </c>
      <c r="G1404" s="1">
        <v>164231.46</v>
      </c>
    </row>
    <row r="1405" spans="1:7">
      <c r="A1405" t="s">
        <v>1500</v>
      </c>
      <c r="B1405" s="6">
        <v>45668</v>
      </c>
      <c r="C1405" s="6" t="str">
        <f>TEXT(Table3[[#This Row],[transaction_date]], "yyyy-mm")</f>
        <v>2025-01</v>
      </c>
      <c r="D1405" t="s">
        <v>95</v>
      </c>
      <c r="E1405" t="s">
        <v>3636</v>
      </c>
      <c r="F1405" t="s">
        <v>3608</v>
      </c>
      <c r="G1405" s="1">
        <v>19873119.210000001</v>
      </c>
    </row>
    <row r="1406" spans="1:7">
      <c r="A1406" t="s">
        <v>1501</v>
      </c>
      <c r="B1406" s="6">
        <v>45853</v>
      </c>
      <c r="C1406" s="6" t="str">
        <f>TEXT(Table3[[#This Row],[transaction_date]], "yyyy-mm")</f>
        <v>2025-07</v>
      </c>
      <c r="D1406" t="s">
        <v>95</v>
      </c>
      <c r="E1406" t="s">
        <v>3636</v>
      </c>
      <c r="F1406" t="s">
        <v>3612</v>
      </c>
      <c r="G1406" s="1">
        <v>135924.57</v>
      </c>
    </row>
    <row r="1407" spans="1:7">
      <c r="A1407" t="s">
        <v>1502</v>
      </c>
      <c r="B1407" s="6">
        <v>45918</v>
      </c>
      <c r="C1407" s="6" t="str">
        <f>TEXT(Table3[[#This Row],[transaction_date]], "yyyy-mm")</f>
        <v>2025-09</v>
      </c>
      <c r="D1407" t="s">
        <v>78</v>
      </c>
      <c r="E1407" t="s">
        <v>3636</v>
      </c>
      <c r="F1407" t="s">
        <v>3610</v>
      </c>
      <c r="G1407" s="1">
        <v>1747900.94</v>
      </c>
    </row>
    <row r="1408" spans="1:7">
      <c r="A1408" t="s">
        <v>1503</v>
      </c>
      <c r="B1408" s="6">
        <v>45847</v>
      </c>
      <c r="C1408" s="6" t="str">
        <f>TEXT(Table3[[#This Row],[transaction_date]], "yyyy-mm")</f>
        <v>2025-07</v>
      </c>
      <c r="D1408" t="s">
        <v>89</v>
      </c>
      <c r="E1408" t="s">
        <v>3636</v>
      </c>
      <c r="F1408" t="s">
        <v>3604</v>
      </c>
      <c r="G1408" s="1">
        <v>847327.43</v>
      </c>
    </row>
    <row r="1409" spans="1:7">
      <c r="A1409" t="s">
        <v>1504</v>
      </c>
      <c r="B1409" s="6">
        <v>45768</v>
      </c>
      <c r="C1409" s="6" t="str">
        <f>TEXT(Table3[[#This Row],[transaction_date]], "yyyy-mm")</f>
        <v>2025-04</v>
      </c>
      <c r="D1409" t="s">
        <v>75</v>
      </c>
      <c r="E1409" t="s">
        <v>3637</v>
      </c>
      <c r="F1409" t="s">
        <v>3621</v>
      </c>
      <c r="G1409" s="1">
        <v>14276242.640000001</v>
      </c>
    </row>
    <row r="1410" spans="1:7">
      <c r="A1410" t="s">
        <v>1505</v>
      </c>
      <c r="B1410" s="6">
        <v>45751</v>
      </c>
      <c r="C1410" s="6" t="str">
        <f>TEXT(Table3[[#This Row],[transaction_date]], "yyyy-mm")</f>
        <v>2025-04</v>
      </c>
      <c r="D1410" t="s">
        <v>80</v>
      </c>
      <c r="E1410" t="s">
        <v>3636</v>
      </c>
      <c r="F1410" t="s">
        <v>3608</v>
      </c>
      <c r="G1410" s="1">
        <v>2970072.68</v>
      </c>
    </row>
    <row r="1411" spans="1:7">
      <c r="A1411" t="s">
        <v>1506</v>
      </c>
      <c r="B1411" s="6">
        <v>46005</v>
      </c>
      <c r="C1411" s="6" t="str">
        <f>TEXT(Table3[[#This Row],[transaction_date]], "yyyy-mm")</f>
        <v>2025-12</v>
      </c>
      <c r="D1411" t="s">
        <v>78</v>
      </c>
      <c r="E1411" t="s">
        <v>3636</v>
      </c>
      <c r="F1411" t="s">
        <v>3610</v>
      </c>
      <c r="G1411" s="1">
        <v>113048.6</v>
      </c>
    </row>
    <row r="1412" spans="1:7">
      <c r="A1412" t="s">
        <v>1507</v>
      </c>
      <c r="B1412" s="6">
        <v>45901</v>
      </c>
      <c r="C1412" s="6" t="str">
        <f>TEXT(Table3[[#This Row],[transaction_date]], "yyyy-mm")</f>
        <v>2025-09</v>
      </c>
      <c r="D1412" t="s">
        <v>73</v>
      </c>
      <c r="E1412" t="s">
        <v>3636</v>
      </c>
      <c r="F1412" t="s">
        <v>3605</v>
      </c>
      <c r="G1412" s="1">
        <v>394715.47</v>
      </c>
    </row>
    <row r="1413" spans="1:7">
      <c r="A1413" t="s">
        <v>1508</v>
      </c>
      <c r="B1413" s="6">
        <v>46009</v>
      </c>
      <c r="C1413" s="6" t="str">
        <f>TEXT(Table3[[#This Row],[transaction_date]], "yyyy-mm")</f>
        <v>2025-12</v>
      </c>
      <c r="D1413" t="s">
        <v>79</v>
      </c>
      <c r="E1413" t="s">
        <v>3636</v>
      </c>
      <c r="F1413" t="s">
        <v>3611</v>
      </c>
      <c r="G1413" s="1">
        <v>4132510.25</v>
      </c>
    </row>
    <row r="1414" spans="1:7">
      <c r="A1414" t="s">
        <v>1509</v>
      </c>
      <c r="B1414" s="6">
        <v>45781</v>
      </c>
      <c r="C1414" s="6" t="str">
        <f>TEXT(Table3[[#This Row],[transaction_date]], "yyyy-mm")</f>
        <v>2025-05</v>
      </c>
      <c r="D1414" t="s">
        <v>73</v>
      </c>
      <c r="E1414" t="s">
        <v>3636</v>
      </c>
      <c r="F1414" t="s">
        <v>3611</v>
      </c>
      <c r="G1414" s="1">
        <v>105916.01</v>
      </c>
    </row>
    <row r="1415" spans="1:7">
      <c r="A1415" t="s">
        <v>1510</v>
      </c>
      <c r="B1415" s="6">
        <v>45916</v>
      </c>
      <c r="C1415" s="6" t="str">
        <f>TEXT(Table3[[#This Row],[transaction_date]], "yyyy-mm")</f>
        <v>2025-09</v>
      </c>
      <c r="D1415" t="s">
        <v>76</v>
      </c>
      <c r="E1415" t="s">
        <v>3636</v>
      </c>
      <c r="F1415" t="s">
        <v>3612</v>
      </c>
      <c r="G1415" s="1">
        <v>14011743.42</v>
      </c>
    </row>
    <row r="1416" spans="1:7">
      <c r="A1416" t="s">
        <v>1511</v>
      </c>
      <c r="B1416" s="6">
        <v>45838</v>
      </c>
      <c r="C1416" s="6" t="str">
        <f>TEXT(Table3[[#This Row],[transaction_date]], "yyyy-mm")</f>
        <v>2025-06</v>
      </c>
      <c r="D1416" t="s">
        <v>90</v>
      </c>
      <c r="E1416" t="s">
        <v>3636</v>
      </c>
      <c r="F1416" t="s">
        <v>3612</v>
      </c>
      <c r="G1416" s="1">
        <v>1271430.33</v>
      </c>
    </row>
    <row r="1417" spans="1:7">
      <c r="A1417" t="s">
        <v>1512</v>
      </c>
      <c r="B1417" s="6">
        <v>46019</v>
      </c>
      <c r="C1417" s="6" t="str">
        <f>TEXT(Table3[[#This Row],[transaction_date]], "yyyy-mm")</f>
        <v>2025-12</v>
      </c>
      <c r="D1417" t="s">
        <v>80</v>
      </c>
      <c r="E1417" t="s">
        <v>3637</v>
      </c>
      <c r="F1417" t="s">
        <v>3623</v>
      </c>
      <c r="G1417" s="1">
        <v>457423.34</v>
      </c>
    </row>
    <row r="1418" spans="1:7">
      <c r="A1418" t="s">
        <v>1513</v>
      </c>
      <c r="B1418" s="6">
        <v>45675</v>
      </c>
      <c r="C1418" s="6" t="str">
        <f>TEXT(Table3[[#This Row],[transaction_date]], "yyyy-mm")</f>
        <v>2025-01</v>
      </c>
      <c r="D1418" t="s">
        <v>80</v>
      </c>
      <c r="E1418" t="s">
        <v>3637</v>
      </c>
      <c r="F1418" t="s">
        <v>3614</v>
      </c>
      <c r="G1418" s="1">
        <v>3236357.79</v>
      </c>
    </row>
    <row r="1419" spans="1:7">
      <c r="A1419" t="s">
        <v>1514</v>
      </c>
      <c r="B1419" s="6">
        <v>45881</v>
      </c>
      <c r="C1419" s="6" t="str">
        <f>TEXT(Table3[[#This Row],[transaction_date]], "yyyy-mm")</f>
        <v>2025-08</v>
      </c>
      <c r="D1419" t="s">
        <v>76</v>
      </c>
      <c r="E1419" t="s">
        <v>3637</v>
      </c>
      <c r="F1419" t="s">
        <v>3618</v>
      </c>
      <c r="G1419" s="1">
        <v>16876070.23</v>
      </c>
    </row>
    <row r="1420" spans="1:7">
      <c r="A1420" t="s">
        <v>1515</v>
      </c>
      <c r="B1420" s="6">
        <v>45692</v>
      </c>
      <c r="C1420" s="6" t="str">
        <f>TEXT(Table3[[#This Row],[transaction_date]], "yyyy-mm")</f>
        <v>2025-02</v>
      </c>
      <c r="D1420" t="s">
        <v>79</v>
      </c>
      <c r="E1420" t="s">
        <v>3637</v>
      </c>
      <c r="F1420" t="s">
        <v>3622</v>
      </c>
      <c r="G1420" s="1">
        <v>467721.05</v>
      </c>
    </row>
    <row r="1421" spans="1:7">
      <c r="A1421" t="s">
        <v>1516</v>
      </c>
      <c r="B1421" s="6">
        <v>45754</v>
      </c>
      <c r="C1421" s="6" t="str">
        <f>TEXT(Table3[[#This Row],[transaction_date]], "yyyy-mm")</f>
        <v>2025-04</v>
      </c>
      <c r="D1421" t="s">
        <v>3597</v>
      </c>
      <c r="E1421" t="s">
        <v>3637</v>
      </c>
      <c r="F1421" t="s">
        <v>3618</v>
      </c>
      <c r="G1421" s="1">
        <v>6253224.04</v>
      </c>
    </row>
    <row r="1422" spans="1:7">
      <c r="A1422" t="s">
        <v>1517</v>
      </c>
      <c r="B1422" s="6">
        <v>45906</v>
      </c>
      <c r="C1422" s="6" t="str">
        <f>TEXT(Table3[[#This Row],[transaction_date]], "yyyy-mm")</f>
        <v>2025-09</v>
      </c>
      <c r="D1422" t="s">
        <v>3597</v>
      </c>
      <c r="E1422" t="s">
        <v>3636</v>
      </c>
      <c r="F1422" t="s">
        <v>3612</v>
      </c>
      <c r="G1422" s="1">
        <v>543647.80000000005</v>
      </c>
    </row>
    <row r="1423" spans="1:7">
      <c r="A1423" t="s">
        <v>1518</v>
      </c>
      <c r="B1423" s="6">
        <v>45759</v>
      </c>
      <c r="C1423" s="6" t="str">
        <f>TEXT(Table3[[#This Row],[transaction_date]], "yyyy-mm")</f>
        <v>2025-04</v>
      </c>
      <c r="D1423" t="s">
        <v>73</v>
      </c>
      <c r="E1423" t="s">
        <v>3637</v>
      </c>
      <c r="F1423" t="s">
        <v>3616</v>
      </c>
      <c r="G1423" s="1">
        <v>7929229.5999999996</v>
      </c>
    </row>
    <row r="1424" spans="1:7">
      <c r="A1424" t="s">
        <v>1519</v>
      </c>
      <c r="B1424" s="6">
        <v>45758</v>
      </c>
      <c r="C1424" s="6" t="str">
        <f>TEXT(Table3[[#This Row],[transaction_date]], "yyyy-mm")</f>
        <v>2025-04</v>
      </c>
      <c r="D1424" t="s">
        <v>93</v>
      </c>
      <c r="E1424" t="s">
        <v>3637</v>
      </c>
      <c r="F1424" t="s">
        <v>3615</v>
      </c>
      <c r="G1424" s="1">
        <v>874621.56</v>
      </c>
    </row>
    <row r="1425" spans="1:7">
      <c r="A1425" t="s">
        <v>1520</v>
      </c>
      <c r="B1425" s="6">
        <v>45934</v>
      </c>
      <c r="C1425" s="6" t="str">
        <f>TEXT(Table3[[#This Row],[transaction_date]], "yyyy-mm")</f>
        <v>2025-10</v>
      </c>
      <c r="D1425" t="s">
        <v>73</v>
      </c>
      <c r="E1425" t="s">
        <v>3637</v>
      </c>
      <c r="F1425" t="s">
        <v>3619</v>
      </c>
      <c r="G1425" s="1">
        <v>903020.44</v>
      </c>
    </row>
    <row r="1426" spans="1:7">
      <c r="A1426" t="s">
        <v>1521</v>
      </c>
      <c r="B1426" s="6">
        <v>45893</v>
      </c>
      <c r="C1426" s="6" t="str">
        <f>TEXT(Table3[[#This Row],[transaction_date]], "yyyy-mm")</f>
        <v>2025-08</v>
      </c>
      <c r="D1426" t="s">
        <v>95</v>
      </c>
      <c r="E1426" t="s">
        <v>3636</v>
      </c>
      <c r="F1426" t="s">
        <v>3609</v>
      </c>
      <c r="G1426" s="1">
        <v>1991155.08</v>
      </c>
    </row>
    <row r="1427" spans="1:7">
      <c r="A1427" t="s">
        <v>1522</v>
      </c>
      <c r="B1427" s="6">
        <v>45876</v>
      </c>
      <c r="C1427" s="6" t="str">
        <f>TEXT(Table3[[#This Row],[transaction_date]], "yyyy-mm")</f>
        <v>2025-08</v>
      </c>
      <c r="D1427" t="s">
        <v>89</v>
      </c>
      <c r="E1427" t="s">
        <v>3636</v>
      </c>
      <c r="F1427" t="s">
        <v>3613</v>
      </c>
      <c r="G1427" s="1">
        <v>766363.8</v>
      </c>
    </row>
    <row r="1428" spans="1:7">
      <c r="A1428" t="s">
        <v>1523</v>
      </c>
      <c r="B1428" s="6">
        <v>45690</v>
      </c>
      <c r="C1428" s="6" t="str">
        <f>TEXT(Table3[[#This Row],[transaction_date]], "yyyy-mm")</f>
        <v>2025-02</v>
      </c>
      <c r="D1428" t="s">
        <v>90</v>
      </c>
      <c r="E1428" t="s">
        <v>3636</v>
      </c>
      <c r="F1428" t="s">
        <v>3610</v>
      </c>
      <c r="G1428" s="1">
        <v>16611759.369999999</v>
      </c>
    </row>
    <row r="1429" spans="1:7">
      <c r="A1429" t="s">
        <v>1524</v>
      </c>
      <c r="B1429" s="6">
        <v>45856</v>
      </c>
      <c r="C1429" s="6" t="str">
        <f>TEXT(Table3[[#This Row],[transaction_date]], "yyyy-mm")</f>
        <v>2025-07</v>
      </c>
      <c r="D1429" t="s">
        <v>77</v>
      </c>
      <c r="E1429" t="s">
        <v>3636</v>
      </c>
      <c r="F1429" t="s">
        <v>3605</v>
      </c>
      <c r="G1429" s="1">
        <v>2197512.83</v>
      </c>
    </row>
    <row r="1430" spans="1:7">
      <c r="A1430" t="s">
        <v>1525</v>
      </c>
      <c r="B1430" s="6">
        <v>45821</v>
      </c>
      <c r="C1430" s="6" t="str">
        <f>TEXT(Table3[[#This Row],[transaction_date]], "yyyy-mm")</f>
        <v>2025-06</v>
      </c>
      <c r="D1430" t="s">
        <v>76</v>
      </c>
      <c r="E1430" t="s">
        <v>3636</v>
      </c>
      <c r="F1430" t="s">
        <v>3613</v>
      </c>
      <c r="G1430" s="1">
        <v>808718.36</v>
      </c>
    </row>
    <row r="1431" spans="1:7">
      <c r="A1431" t="s">
        <v>1526</v>
      </c>
      <c r="B1431" s="6">
        <v>45765</v>
      </c>
      <c r="C1431" s="6" t="str">
        <f>TEXT(Table3[[#This Row],[transaction_date]], "yyyy-mm")</f>
        <v>2025-04</v>
      </c>
      <c r="D1431" t="s">
        <v>76</v>
      </c>
      <c r="E1431" t="s">
        <v>3637</v>
      </c>
      <c r="F1431" t="s">
        <v>3621</v>
      </c>
      <c r="G1431" s="1">
        <v>1644952.6</v>
      </c>
    </row>
    <row r="1432" spans="1:7">
      <c r="A1432" t="s">
        <v>1527</v>
      </c>
      <c r="B1432" s="6">
        <v>45938</v>
      </c>
      <c r="C1432" s="6" t="str">
        <f>TEXT(Table3[[#This Row],[transaction_date]], "yyyy-mm")</f>
        <v>2025-10</v>
      </c>
      <c r="D1432" t="s">
        <v>73</v>
      </c>
      <c r="E1432" t="s">
        <v>3636</v>
      </c>
      <c r="F1432" t="s">
        <v>3609</v>
      </c>
      <c r="G1432" s="1">
        <v>180121.22</v>
      </c>
    </row>
    <row r="1433" spans="1:7">
      <c r="A1433" t="s">
        <v>1528</v>
      </c>
      <c r="B1433" s="6">
        <v>45821</v>
      </c>
      <c r="C1433" s="6" t="str">
        <f>TEXT(Table3[[#This Row],[transaction_date]], "yyyy-mm")</f>
        <v>2025-06</v>
      </c>
      <c r="D1433" t="s">
        <v>73</v>
      </c>
      <c r="E1433" t="s">
        <v>3637</v>
      </c>
      <c r="F1433" t="s">
        <v>3617</v>
      </c>
      <c r="G1433" s="1">
        <v>792385.29</v>
      </c>
    </row>
    <row r="1434" spans="1:7">
      <c r="A1434" t="s">
        <v>1529</v>
      </c>
      <c r="B1434" s="6">
        <v>46012</v>
      </c>
      <c r="C1434" s="6" t="str">
        <f>TEXT(Table3[[#This Row],[transaction_date]], "yyyy-mm")</f>
        <v>2025-12</v>
      </c>
      <c r="D1434" t="s">
        <v>84</v>
      </c>
      <c r="E1434" t="s">
        <v>3637</v>
      </c>
      <c r="F1434" t="s">
        <v>3615</v>
      </c>
      <c r="G1434" s="1">
        <v>15836457.890000001</v>
      </c>
    </row>
    <row r="1435" spans="1:7">
      <c r="A1435" t="s">
        <v>1530</v>
      </c>
      <c r="B1435" s="6">
        <v>45890</v>
      </c>
      <c r="C1435" s="6" t="str">
        <f>TEXT(Table3[[#This Row],[transaction_date]], "yyyy-mm")</f>
        <v>2025-08</v>
      </c>
      <c r="D1435" t="s">
        <v>3597</v>
      </c>
      <c r="E1435" t="s">
        <v>3637</v>
      </c>
      <c r="F1435" t="s">
        <v>3623</v>
      </c>
      <c r="G1435" s="1">
        <v>291404.21999999997</v>
      </c>
    </row>
    <row r="1436" spans="1:7">
      <c r="A1436" t="s">
        <v>1531</v>
      </c>
      <c r="B1436" s="6">
        <v>45907</v>
      </c>
      <c r="C1436" s="6" t="str">
        <f>TEXT(Table3[[#This Row],[transaction_date]], "yyyy-mm")</f>
        <v>2025-09</v>
      </c>
      <c r="D1436" t="s">
        <v>89</v>
      </c>
      <c r="E1436" t="s">
        <v>3636</v>
      </c>
      <c r="F1436" t="s">
        <v>3613</v>
      </c>
      <c r="G1436" s="1">
        <v>643888.80000000005</v>
      </c>
    </row>
    <row r="1437" spans="1:7">
      <c r="A1437" t="s">
        <v>1532</v>
      </c>
      <c r="B1437" s="6">
        <v>45975</v>
      </c>
      <c r="C1437" s="6" t="str">
        <f>TEXT(Table3[[#This Row],[transaction_date]], "yyyy-mm")</f>
        <v>2025-11</v>
      </c>
      <c r="D1437" t="s">
        <v>77</v>
      </c>
      <c r="E1437" t="s">
        <v>3637</v>
      </c>
      <c r="F1437" t="s">
        <v>3622</v>
      </c>
      <c r="G1437" s="1">
        <v>3426233.49</v>
      </c>
    </row>
    <row r="1438" spans="1:7">
      <c r="A1438" t="s">
        <v>1533</v>
      </c>
      <c r="B1438" s="6">
        <v>45956</v>
      </c>
      <c r="C1438" s="6" t="str">
        <f>TEXT(Table3[[#This Row],[transaction_date]], "yyyy-mm")</f>
        <v>2025-10</v>
      </c>
      <c r="D1438" t="s">
        <v>84</v>
      </c>
      <c r="E1438" t="s">
        <v>3636</v>
      </c>
      <c r="F1438" t="s">
        <v>3605</v>
      </c>
      <c r="G1438" s="1">
        <v>69114.38</v>
      </c>
    </row>
    <row r="1439" spans="1:7">
      <c r="A1439" t="s">
        <v>1534</v>
      </c>
      <c r="B1439" s="6">
        <v>45793</v>
      </c>
      <c r="C1439" s="6" t="str">
        <f>TEXT(Table3[[#This Row],[transaction_date]], "yyyy-mm")</f>
        <v>2025-05</v>
      </c>
      <c r="D1439" t="s">
        <v>89</v>
      </c>
      <c r="E1439" t="s">
        <v>3637</v>
      </c>
      <c r="F1439" t="s">
        <v>3617</v>
      </c>
      <c r="G1439" s="1">
        <v>2334747.34</v>
      </c>
    </row>
    <row r="1440" spans="1:7">
      <c r="A1440" t="s">
        <v>1535</v>
      </c>
      <c r="B1440" s="6">
        <v>45748</v>
      </c>
      <c r="C1440" s="6" t="str">
        <f>TEXT(Table3[[#This Row],[transaction_date]], "yyyy-mm")</f>
        <v>2025-04</v>
      </c>
      <c r="D1440" t="s">
        <v>74</v>
      </c>
      <c r="E1440" t="s">
        <v>3637</v>
      </c>
      <c r="F1440" t="s">
        <v>3616</v>
      </c>
      <c r="G1440" s="1">
        <v>117320.64</v>
      </c>
    </row>
    <row r="1441" spans="1:7">
      <c r="A1441" t="s">
        <v>1536</v>
      </c>
      <c r="B1441" s="6">
        <v>45979</v>
      </c>
      <c r="C1441" s="6" t="str">
        <f>TEXT(Table3[[#This Row],[transaction_date]], "yyyy-mm")</f>
        <v>2025-11</v>
      </c>
      <c r="D1441" t="s">
        <v>90</v>
      </c>
      <c r="E1441" t="s">
        <v>3637</v>
      </c>
      <c r="F1441" t="s">
        <v>3619</v>
      </c>
      <c r="G1441" s="1">
        <v>7818009.8499999996</v>
      </c>
    </row>
    <row r="1442" spans="1:7">
      <c r="A1442" t="s">
        <v>1537</v>
      </c>
      <c r="B1442" s="6">
        <v>45737</v>
      </c>
      <c r="C1442" s="6" t="str">
        <f>TEXT(Table3[[#This Row],[transaction_date]], "yyyy-mm")</f>
        <v>2025-03</v>
      </c>
      <c r="D1442" t="s">
        <v>80</v>
      </c>
      <c r="E1442" t="s">
        <v>3637</v>
      </c>
      <c r="F1442" t="s">
        <v>3623</v>
      </c>
      <c r="G1442" s="1">
        <v>1657555.61</v>
      </c>
    </row>
    <row r="1443" spans="1:7">
      <c r="A1443" t="s">
        <v>1538</v>
      </c>
      <c r="B1443" s="6">
        <v>45979</v>
      </c>
      <c r="C1443" s="6" t="str">
        <f>TEXT(Table3[[#This Row],[transaction_date]], "yyyy-mm")</f>
        <v>2025-11</v>
      </c>
      <c r="D1443" t="s">
        <v>73</v>
      </c>
      <c r="E1443" t="s">
        <v>3637</v>
      </c>
      <c r="F1443" t="s">
        <v>3617</v>
      </c>
      <c r="G1443" s="1">
        <v>743918.64</v>
      </c>
    </row>
    <row r="1444" spans="1:7">
      <c r="A1444" t="s">
        <v>1539</v>
      </c>
      <c r="B1444" s="6">
        <v>45872</v>
      </c>
      <c r="C1444" s="6" t="str">
        <f>TEXT(Table3[[#This Row],[transaction_date]], "yyyy-mm")</f>
        <v>2025-08</v>
      </c>
      <c r="D1444" t="s">
        <v>73</v>
      </c>
      <c r="E1444" t="s">
        <v>3636</v>
      </c>
      <c r="F1444" t="s">
        <v>3613</v>
      </c>
      <c r="G1444" s="1">
        <v>3204325.17</v>
      </c>
    </row>
    <row r="1445" spans="1:7">
      <c r="A1445" t="s">
        <v>1540</v>
      </c>
      <c r="B1445" s="6">
        <v>45996</v>
      </c>
      <c r="C1445" s="6" t="str">
        <f>TEXT(Table3[[#This Row],[transaction_date]], "yyyy-mm")</f>
        <v>2025-12</v>
      </c>
      <c r="D1445" t="s">
        <v>84</v>
      </c>
      <c r="E1445" t="s">
        <v>3636</v>
      </c>
      <c r="F1445" t="s">
        <v>3608</v>
      </c>
      <c r="G1445" s="1">
        <v>11929870.789999999</v>
      </c>
    </row>
    <row r="1446" spans="1:7">
      <c r="A1446" t="s">
        <v>1541</v>
      </c>
      <c r="B1446" s="6">
        <v>45979</v>
      </c>
      <c r="C1446" s="6" t="str">
        <f>TEXT(Table3[[#This Row],[transaction_date]], "yyyy-mm")</f>
        <v>2025-11</v>
      </c>
      <c r="D1446" t="s">
        <v>76</v>
      </c>
      <c r="E1446" t="s">
        <v>3637</v>
      </c>
      <c r="F1446" t="s">
        <v>3615</v>
      </c>
      <c r="G1446" s="1">
        <v>18940451.75</v>
      </c>
    </row>
    <row r="1447" spans="1:7">
      <c r="A1447" t="s">
        <v>1542</v>
      </c>
      <c r="B1447" s="6">
        <v>45928</v>
      </c>
      <c r="C1447" s="6" t="str">
        <f>TEXT(Table3[[#This Row],[transaction_date]], "yyyy-mm")</f>
        <v>2025-09</v>
      </c>
      <c r="D1447" t="s">
        <v>3597</v>
      </c>
      <c r="E1447" t="s">
        <v>3637</v>
      </c>
      <c r="F1447" t="s">
        <v>3623</v>
      </c>
      <c r="G1447" s="1">
        <v>1325091.3700000001</v>
      </c>
    </row>
    <row r="1448" spans="1:7">
      <c r="A1448" t="s">
        <v>1543</v>
      </c>
      <c r="B1448" s="6">
        <v>45747</v>
      </c>
      <c r="C1448" s="6" t="str">
        <f>TEXT(Table3[[#This Row],[transaction_date]], "yyyy-mm")</f>
        <v>2025-03</v>
      </c>
      <c r="D1448" t="s">
        <v>78</v>
      </c>
      <c r="E1448" t="s">
        <v>3637</v>
      </c>
      <c r="F1448" t="s">
        <v>3618</v>
      </c>
      <c r="G1448" s="1">
        <v>1862000.54</v>
      </c>
    </row>
    <row r="1449" spans="1:7">
      <c r="A1449" t="s">
        <v>1544</v>
      </c>
      <c r="B1449" s="6">
        <v>45712</v>
      </c>
      <c r="C1449" s="6" t="str">
        <f>TEXT(Table3[[#This Row],[transaction_date]], "yyyy-mm")</f>
        <v>2025-02</v>
      </c>
      <c r="D1449" t="s">
        <v>90</v>
      </c>
      <c r="E1449" t="s">
        <v>3637</v>
      </c>
      <c r="F1449" t="s">
        <v>3621</v>
      </c>
      <c r="G1449" s="1">
        <v>19103983.670000002</v>
      </c>
    </row>
    <row r="1450" spans="1:7">
      <c r="A1450" t="s">
        <v>1545</v>
      </c>
      <c r="B1450" s="6">
        <v>45768</v>
      </c>
      <c r="C1450" s="6" t="str">
        <f>TEXT(Table3[[#This Row],[transaction_date]], "yyyy-mm")</f>
        <v>2025-04</v>
      </c>
      <c r="D1450" t="s">
        <v>82</v>
      </c>
      <c r="E1450" t="s">
        <v>3637</v>
      </c>
      <c r="F1450" t="s">
        <v>3615</v>
      </c>
      <c r="G1450" s="1">
        <v>939838.36</v>
      </c>
    </row>
    <row r="1451" spans="1:7">
      <c r="A1451" t="s">
        <v>1546</v>
      </c>
      <c r="B1451" s="6">
        <v>45761</v>
      </c>
      <c r="C1451" s="6" t="str">
        <f>TEXT(Table3[[#This Row],[transaction_date]], "yyyy-mm")</f>
        <v>2025-04</v>
      </c>
      <c r="D1451" t="s">
        <v>77</v>
      </c>
      <c r="E1451" t="s">
        <v>3637</v>
      </c>
      <c r="F1451" t="s">
        <v>3618</v>
      </c>
      <c r="G1451" s="1">
        <v>9663086.5899999999</v>
      </c>
    </row>
    <row r="1452" spans="1:7">
      <c r="A1452" t="s">
        <v>1547</v>
      </c>
      <c r="B1452" s="6">
        <v>45863</v>
      </c>
      <c r="C1452" s="6" t="str">
        <f>TEXT(Table3[[#This Row],[transaction_date]], "yyyy-mm")</f>
        <v>2025-07</v>
      </c>
      <c r="D1452" t="s">
        <v>75</v>
      </c>
      <c r="E1452" t="s">
        <v>3637</v>
      </c>
      <c r="F1452" t="s">
        <v>3617</v>
      </c>
      <c r="G1452" s="1">
        <v>3786572.42</v>
      </c>
    </row>
    <row r="1453" spans="1:7">
      <c r="A1453" t="s">
        <v>1548</v>
      </c>
      <c r="B1453" s="6">
        <v>45700</v>
      </c>
      <c r="C1453" s="6" t="str">
        <f>TEXT(Table3[[#This Row],[transaction_date]], "yyyy-mm")</f>
        <v>2025-02</v>
      </c>
      <c r="D1453" t="s">
        <v>89</v>
      </c>
      <c r="E1453" t="s">
        <v>3637</v>
      </c>
      <c r="F1453" t="s">
        <v>3617</v>
      </c>
      <c r="G1453" s="1">
        <v>4044825.64</v>
      </c>
    </row>
    <row r="1454" spans="1:7">
      <c r="A1454" t="s">
        <v>1549</v>
      </c>
      <c r="B1454" s="6">
        <v>45965</v>
      </c>
      <c r="C1454" s="6" t="str">
        <f>TEXT(Table3[[#This Row],[transaction_date]], "yyyy-mm")</f>
        <v>2025-11</v>
      </c>
      <c r="D1454" t="s">
        <v>76</v>
      </c>
      <c r="E1454" t="s">
        <v>3637</v>
      </c>
      <c r="F1454" t="s">
        <v>3619</v>
      </c>
      <c r="G1454" s="1">
        <v>966559.09</v>
      </c>
    </row>
    <row r="1455" spans="1:7">
      <c r="A1455" t="s">
        <v>1550</v>
      </c>
      <c r="B1455" s="6">
        <v>45707</v>
      </c>
      <c r="C1455" s="6" t="str">
        <f>TEXT(Table3[[#This Row],[transaction_date]], "yyyy-mm")</f>
        <v>2025-02</v>
      </c>
      <c r="D1455" t="s">
        <v>93</v>
      </c>
      <c r="E1455" t="s">
        <v>3637</v>
      </c>
      <c r="F1455" t="s">
        <v>3623</v>
      </c>
      <c r="G1455" s="1">
        <v>11573086.189999999</v>
      </c>
    </row>
    <row r="1456" spans="1:7">
      <c r="A1456" t="s">
        <v>1551</v>
      </c>
      <c r="B1456" s="6">
        <v>46010</v>
      </c>
      <c r="C1456" s="6" t="str">
        <f>TEXT(Table3[[#This Row],[transaction_date]], "yyyy-mm")</f>
        <v>2025-12</v>
      </c>
      <c r="D1456" t="s">
        <v>76</v>
      </c>
      <c r="E1456" t="s">
        <v>3637</v>
      </c>
      <c r="F1456" t="s">
        <v>3617</v>
      </c>
      <c r="G1456" s="1">
        <v>3298503.66</v>
      </c>
    </row>
    <row r="1457" spans="1:7">
      <c r="A1457" t="s">
        <v>1552</v>
      </c>
      <c r="B1457" s="6">
        <v>45700</v>
      </c>
      <c r="C1457" s="6" t="str">
        <f>TEXT(Table3[[#This Row],[transaction_date]], "yyyy-mm")</f>
        <v>2025-02</v>
      </c>
      <c r="D1457" t="s">
        <v>82</v>
      </c>
      <c r="E1457" t="s">
        <v>3637</v>
      </c>
      <c r="F1457" t="s">
        <v>3618</v>
      </c>
      <c r="G1457" s="1">
        <v>9329066.1699999999</v>
      </c>
    </row>
    <row r="1458" spans="1:7">
      <c r="A1458" t="s">
        <v>1553</v>
      </c>
      <c r="B1458" s="6">
        <v>46003</v>
      </c>
      <c r="C1458" s="6" t="str">
        <f>TEXT(Table3[[#This Row],[transaction_date]], "yyyy-mm")</f>
        <v>2025-12</v>
      </c>
      <c r="D1458" t="s">
        <v>93</v>
      </c>
      <c r="E1458" t="s">
        <v>3637</v>
      </c>
      <c r="F1458" t="s">
        <v>3620</v>
      </c>
      <c r="G1458" s="1">
        <v>292632.73</v>
      </c>
    </row>
    <row r="1459" spans="1:7">
      <c r="A1459" t="s">
        <v>1554</v>
      </c>
      <c r="B1459" s="6">
        <v>45764</v>
      </c>
      <c r="C1459" s="6" t="str">
        <f>TEXT(Table3[[#This Row],[transaction_date]], "yyyy-mm")</f>
        <v>2025-04</v>
      </c>
      <c r="D1459" t="s">
        <v>90</v>
      </c>
      <c r="E1459" t="s">
        <v>3637</v>
      </c>
      <c r="F1459" t="s">
        <v>3619</v>
      </c>
      <c r="G1459" s="1">
        <v>929320.95</v>
      </c>
    </row>
    <row r="1460" spans="1:7">
      <c r="A1460" t="s">
        <v>1555</v>
      </c>
      <c r="B1460" s="6">
        <v>46021</v>
      </c>
      <c r="C1460" s="6" t="str">
        <f>TEXT(Table3[[#This Row],[transaction_date]], "yyyy-mm")</f>
        <v>2025-12</v>
      </c>
      <c r="D1460" t="s">
        <v>76</v>
      </c>
      <c r="E1460" t="s">
        <v>3636</v>
      </c>
      <c r="F1460" t="s">
        <v>3613</v>
      </c>
      <c r="G1460" s="1">
        <v>424348.9</v>
      </c>
    </row>
    <row r="1461" spans="1:7">
      <c r="A1461" t="s">
        <v>1556</v>
      </c>
      <c r="B1461" s="6">
        <v>45732</v>
      </c>
      <c r="C1461" s="6" t="str">
        <f>TEXT(Table3[[#This Row],[transaction_date]], "yyyy-mm")</f>
        <v>2025-03</v>
      </c>
      <c r="D1461" t="s">
        <v>3597</v>
      </c>
      <c r="E1461" t="s">
        <v>3636</v>
      </c>
      <c r="F1461" t="s">
        <v>3607</v>
      </c>
      <c r="G1461" s="1">
        <v>3599162.84</v>
      </c>
    </row>
    <row r="1462" spans="1:7">
      <c r="A1462" t="s">
        <v>1557</v>
      </c>
      <c r="B1462" s="6">
        <v>45711</v>
      </c>
      <c r="C1462" s="6" t="str">
        <f>TEXT(Table3[[#This Row],[transaction_date]], "yyyy-mm")</f>
        <v>2025-02</v>
      </c>
      <c r="D1462" t="s">
        <v>3597</v>
      </c>
      <c r="E1462" t="s">
        <v>3637</v>
      </c>
      <c r="F1462" t="s">
        <v>3618</v>
      </c>
      <c r="G1462" s="1">
        <v>2701161.77</v>
      </c>
    </row>
    <row r="1463" spans="1:7">
      <c r="A1463" t="s">
        <v>1558</v>
      </c>
      <c r="B1463" s="6">
        <v>45675</v>
      </c>
      <c r="C1463" s="6" t="str">
        <f>TEXT(Table3[[#This Row],[transaction_date]], "yyyy-mm")</f>
        <v>2025-01</v>
      </c>
      <c r="D1463" t="s">
        <v>3597</v>
      </c>
      <c r="E1463" t="s">
        <v>3637</v>
      </c>
      <c r="F1463" t="s">
        <v>3614</v>
      </c>
      <c r="G1463" s="1">
        <v>6405918.5499999998</v>
      </c>
    </row>
    <row r="1464" spans="1:7">
      <c r="A1464" t="s">
        <v>1559</v>
      </c>
      <c r="B1464" s="6">
        <v>45993</v>
      </c>
      <c r="C1464" s="6" t="str">
        <f>TEXT(Table3[[#This Row],[transaction_date]], "yyyy-mm")</f>
        <v>2025-12</v>
      </c>
      <c r="D1464" t="s">
        <v>77</v>
      </c>
      <c r="E1464" t="s">
        <v>3637</v>
      </c>
      <c r="F1464" t="s">
        <v>3619</v>
      </c>
      <c r="G1464" s="1">
        <v>7347951.4199999999</v>
      </c>
    </row>
    <row r="1465" spans="1:7">
      <c r="A1465" t="s">
        <v>1560</v>
      </c>
      <c r="B1465" s="6">
        <v>45768</v>
      </c>
      <c r="C1465" s="6" t="str">
        <f>TEXT(Table3[[#This Row],[transaction_date]], "yyyy-mm")</f>
        <v>2025-04</v>
      </c>
      <c r="D1465" t="s">
        <v>85</v>
      </c>
      <c r="E1465" t="s">
        <v>3636</v>
      </c>
      <c r="F1465" t="s">
        <v>3613</v>
      </c>
      <c r="G1465" s="1">
        <v>4006683.6</v>
      </c>
    </row>
    <row r="1466" spans="1:7">
      <c r="A1466" t="s">
        <v>1561</v>
      </c>
      <c r="B1466" s="6">
        <v>45839</v>
      </c>
      <c r="C1466" s="6" t="str">
        <f>TEXT(Table3[[#This Row],[transaction_date]], "yyyy-mm")</f>
        <v>2025-07</v>
      </c>
      <c r="D1466" t="s">
        <v>75</v>
      </c>
      <c r="E1466" t="s">
        <v>3636</v>
      </c>
      <c r="F1466" t="s">
        <v>3608</v>
      </c>
      <c r="G1466" s="1">
        <v>432522.57</v>
      </c>
    </row>
    <row r="1467" spans="1:7">
      <c r="A1467" t="s">
        <v>1562</v>
      </c>
      <c r="B1467" s="6">
        <v>45673</v>
      </c>
      <c r="C1467" s="6" t="str">
        <f>TEXT(Table3[[#This Row],[transaction_date]], "yyyy-mm")</f>
        <v>2025-01</v>
      </c>
      <c r="D1467" t="s">
        <v>90</v>
      </c>
      <c r="E1467" t="s">
        <v>3637</v>
      </c>
      <c r="F1467" t="s">
        <v>3619</v>
      </c>
      <c r="G1467" s="1">
        <v>3193531.2</v>
      </c>
    </row>
    <row r="1468" spans="1:7">
      <c r="A1468" t="s">
        <v>1563</v>
      </c>
      <c r="B1468" s="6">
        <v>45749</v>
      </c>
      <c r="C1468" s="6" t="str">
        <f>TEXT(Table3[[#This Row],[transaction_date]], "yyyy-mm")</f>
        <v>2025-04</v>
      </c>
      <c r="D1468" t="s">
        <v>90</v>
      </c>
      <c r="E1468" t="s">
        <v>3636</v>
      </c>
      <c r="F1468" t="s">
        <v>3608</v>
      </c>
      <c r="G1468" s="1">
        <v>19445191.16</v>
      </c>
    </row>
    <row r="1469" spans="1:7">
      <c r="A1469" t="s">
        <v>1564</v>
      </c>
      <c r="B1469" s="6">
        <v>45984</v>
      </c>
      <c r="C1469" s="6" t="str">
        <f>TEXT(Table3[[#This Row],[transaction_date]], "yyyy-mm")</f>
        <v>2025-11</v>
      </c>
      <c r="D1469" t="s">
        <v>82</v>
      </c>
      <c r="E1469" t="s">
        <v>3637</v>
      </c>
      <c r="F1469" t="s">
        <v>3623</v>
      </c>
      <c r="G1469" s="1">
        <v>16858624.550000001</v>
      </c>
    </row>
    <row r="1470" spans="1:7">
      <c r="A1470" t="s">
        <v>1565</v>
      </c>
      <c r="B1470" s="6">
        <v>46017</v>
      </c>
      <c r="C1470" s="6" t="str">
        <f>TEXT(Table3[[#This Row],[transaction_date]], "yyyy-mm")</f>
        <v>2025-12</v>
      </c>
      <c r="D1470" t="s">
        <v>85</v>
      </c>
      <c r="E1470" t="s">
        <v>3636</v>
      </c>
      <c r="F1470" t="s">
        <v>3612</v>
      </c>
      <c r="G1470" s="1">
        <v>295261.59999999998</v>
      </c>
    </row>
    <row r="1471" spans="1:7">
      <c r="A1471" t="s">
        <v>1566</v>
      </c>
      <c r="B1471" s="6">
        <v>45744</v>
      </c>
      <c r="C1471" s="6" t="str">
        <f>TEXT(Table3[[#This Row],[transaction_date]], "yyyy-mm")</f>
        <v>2025-03</v>
      </c>
      <c r="D1471" t="s">
        <v>75</v>
      </c>
      <c r="E1471" t="s">
        <v>3637</v>
      </c>
      <c r="F1471" t="s">
        <v>3618</v>
      </c>
      <c r="G1471" s="1">
        <v>77765.440000000002</v>
      </c>
    </row>
    <row r="1472" spans="1:7">
      <c r="A1472" t="s">
        <v>1567</v>
      </c>
      <c r="B1472" s="6">
        <v>45923</v>
      </c>
      <c r="C1472" s="6" t="str">
        <f>TEXT(Table3[[#This Row],[transaction_date]], "yyyy-mm")</f>
        <v>2025-09</v>
      </c>
      <c r="D1472" t="s">
        <v>73</v>
      </c>
      <c r="E1472" t="s">
        <v>3637</v>
      </c>
      <c r="F1472" t="s">
        <v>3623</v>
      </c>
      <c r="G1472" s="1">
        <v>767784.64</v>
      </c>
    </row>
    <row r="1473" spans="1:7">
      <c r="A1473" t="s">
        <v>1568</v>
      </c>
      <c r="B1473" s="6">
        <v>45928</v>
      </c>
      <c r="C1473" s="6" t="str">
        <f>TEXT(Table3[[#This Row],[transaction_date]], "yyyy-mm")</f>
        <v>2025-09</v>
      </c>
      <c r="D1473" t="s">
        <v>84</v>
      </c>
      <c r="E1473" t="s">
        <v>3637</v>
      </c>
      <c r="F1473" t="s">
        <v>3615</v>
      </c>
      <c r="G1473" s="1">
        <v>4444174.1500000004</v>
      </c>
    </row>
    <row r="1474" spans="1:7">
      <c r="A1474" t="s">
        <v>1569</v>
      </c>
      <c r="B1474" s="6">
        <v>45778</v>
      </c>
      <c r="C1474" s="6" t="str">
        <f>TEXT(Table3[[#This Row],[transaction_date]], "yyyy-mm")</f>
        <v>2025-05</v>
      </c>
      <c r="D1474" t="s">
        <v>77</v>
      </c>
      <c r="E1474" t="s">
        <v>3637</v>
      </c>
      <c r="F1474" t="s">
        <v>3617</v>
      </c>
      <c r="G1474" s="1">
        <v>2437399.13</v>
      </c>
    </row>
    <row r="1475" spans="1:7">
      <c r="A1475" t="s">
        <v>1570</v>
      </c>
      <c r="B1475" s="6">
        <v>45714</v>
      </c>
      <c r="C1475" s="6" t="str">
        <f>TEXT(Table3[[#This Row],[transaction_date]], "yyyy-mm")</f>
        <v>2025-02</v>
      </c>
      <c r="D1475" t="s">
        <v>89</v>
      </c>
      <c r="E1475" t="s">
        <v>3636</v>
      </c>
      <c r="F1475" t="s">
        <v>3611</v>
      </c>
      <c r="G1475" s="1">
        <v>1838012</v>
      </c>
    </row>
    <row r="1476" spans="1:7">
      <c r="A1476" t="s">
        <v>1571</v>
      </c>
      <c r="B1476" s="6">
        <v>45702</v>
      </c>
      <c r="C1476" s="6" t="str">
        <f>TEXT(Table3[[#This Row],[transaction_date]], "yyyy-mm")</f>
        <v>2025-02</v>
      </c>
      <c r="D1476" t="s">
        <v>73</v>
      </c>
      <c r="E1476" t="s">
        <v>3637</v>
      </c>
      <c r="F1476" t="s">
        <v>3619</v>
      </c>
      <c r="G1476" s="1">
        <v>1187414.71</v>
      </c>
    </row>
    <row r="1477" spans="1:7">
      <c r="A1477" t="s">
        <v>1572</v>
      </c>
      <c r="B1477" s="6">
        <v>45961</v>
      </c>
      <c r="C1477" s="6" t="str">
        <f>TEXT(Table3[[#This Row],[transaction_date]], "yyyy-mm")</f>
        <v>2025-10</v>
      </c>
      <c r="D1477" t="s">
        <v>84</v>
      </c>
      <c r="E1477" t="s">
        <v>3637</v>
      </c>
      <c r="F1477" t="s">
        <v>3615</v>
      </c>
      <c r="G1477" s="1">
        <v>9242595.3499999996</v>
      </c>
    </row>
    <row r="1478" spans="1:7">
      <c r="A1478" t="s">
        <v>1573</v>
      </c>
      <c r="B1478" s="6">
        <v>45661</v>
      </c>
      <c r="C1478" s="6" t="str">
        <f>TEXT(Table3[[#This Row],[transaction_date]], "yyyy-mm")</f>
        <v>2025-01</v>
      </c>
      <c r="D1478" t="s">
        <v>78</v>
      </c>
      <c r="E1478" t="s">
        <v>3637</v>
      </c>
      <c r="F1478" t="s">
        <v>3620</v>
      </c>
      <c r="G1478" s="1">
        <v>2252195.52</v>
      </c>
    </row>
    <row r="1479" spans="1:7">
      <c r="A1479" t="s">
        <v>1574</v>
      </c>
      <c r="B1479" s="6">
        <v>45869</v>
      </c>
      <c r="C1479" s="6" t="str">
        <f>TEXT(Table3[[#This Row],[transaction_date]], "yyyy-mm")</f>
        <v>2025-07</v>
      </c>
      <c r="D1479" t="s">
        <v>89</v>
      </c>
      <c r="E1479" t="s">
        <v>3636</v>
      </c>
      <c r="F1479" t="s">
        <v>3604</v>
      </c>
      <c r="G1479" s="1">
        <v>1322766.6499999999</v>
      </c>
    </row>
    <row r="1480" spans="1:7">
      <c r="A1480" t="s">
        <v>1575</v>
      </c>
      <c r="B1480" s="6">
        <v>45960</v>
      </c>
      <c r="C1480" s="6" t="str">
        <f>TEXT(Table3[[#This Row],[transaction_date]], "yyyy-mm")</f>
        <v>2025-10</v>
      </c>
      <c r="D1480" t="s">
        <v>3597</v>
      </c>
      <c r="E1480" t="s">
        <v>3637</v>
      </c>
      <c r="F1480" t="s">
        <v>3618</v>
      </c>
      <c r="G1480" s="1">
        <v>2457407.63</v>
      </c>
    </row>
    <row r="1481" spans="1:7">
      <c r="A1481" t="s">
        <v>1576</v>
      </c>
      <c r="B1481" s="6">
        <v>45804</v>
      </c>
      <c r="C1481" s="6" t="str">
        <f>TEXT(Table3[[#This Row],[transaction_date]], "yyyy-mm")</f>
        <v>2025-05</v>
      </c>
      <c r="D1481" t="s">
        <v>77</v>
      </c>
      <c r="E1481" t="s">
        <v>3637</v>
      </c>
      <c r="F1481" t="s">
        <v>3622</v>
      </c>
      <c r="G1481" s="1">
        <v>6160288.5199999996</v>
      </c>
    </row>
    <row r="1482" spans="1:7">
      <c r="A1482" t="s">
        <v>1577</v>
      </c>
      <c r="B1482" s="6">
        <v>45703</v>
      </c>
      <c r="C1482" s="6" t="str">
        <f>TEXT(Table3[[#This Row],[transaction_date]], "yyyy-mm")</f>
        <v>2025-02</v>
      </c>
      <c r="D1482" t="s">
        <v>90</v>
      </c>
      <c r="E1482" t="s">
        <v>3637</v>
      </c>
      <c r="F1482" t="s">
        <v>3622</v>
      </c>
      <c r="G1482" s="1">
        <v>4037905.27</v>
      </c>
    </row>
    <row r="1483" spans="1:7">
      <c r="A1483" t="s">
        <v>1578</v>
      </c>
      <c r="B1483" s="6">
        <v>45756</v>
      </c>
      <c r="C1483" s="6" t="str">
        <f>TEXT(Table3[[#This Row],[transaction_date]], "yyyy-mm")</f>
        <v>2025-04</v>
      </c>
      <c r="D1483" t="s">
        <v>80</v>
      </c>
      <c r="E1483" t="s">
        <v>3637</v>
      </c>
      <c r="F1483" t="s">
        <v>3614</v>
      </c>
      <c r="G1483" s="1">
        <v>2317914.0099999998</v>
      </c>
    </row>
    <row r="1484" spans="1:7">
      <c r="A1484" t="s">
        <v>1579</v>
      </c>
      <c r="B1484" s="6">
        <v>45665</v>
      </c>
      <c r="C1484" s="6" t="str">
        <f>TEXT(Table3[[#This Row],[transaction_date]], "yyyy-mm")</f>
        <v>2025-01</v>
      </c>
      <c r="D1484" t="s">
        <v>95</v>
      </c>
      <c r="E1484" t="s">
        <v>3636</v>
      </c>
      <c r="F1484" t="s">
        <v>3606</v>
      </c>
      <c r="G1484" s="1">
        <v>15884940.99</v>
      </c>
    </row>
    <row r="1485" spans="1:7">
      <c r="A1485" t="s">
        <v>1580</v>
      </c>
      <c r="B1485" s="6">
        <v>46011</v>
      </c>
      <c r="C1485" s="6" t="str">
        <f>TEXT(Table3[[#This Row],[transaction_date]], "yyyy-mm")</f>
        <v>2025-12</v>
      </c>
      <c r="D1485" t="s">
        <v>77</v>
      </c>
      <c r="E1485" t="s">
        <v>3637</v>
      </c>
      <c r="F1485" t="s">
        <v>3620</v>
      </c>
      <c r="G1485" s="1">
        <v>7055396.2599999998</v>
      </c>
    </row>
    <row r="1486" spans="1:7">
      <c r="A1486" t="s">
        <v>1581</v>
      </c>
      <c r="B1486" s="6">
        <v>45867</v>
      </c>
      <c r="C1486" s="6" t="str">
        <f>TEXT(Table3[[#This Row],[transaction_date]], "yyyy-mm")</f>
        <v>2025-07</v>
      </c>
      <c r="D1486" t="s">
        <v>95</v>
      </c>
      <c r="E1486" t="s">
        <v>3636</v>
      </c>
      <c r="F1486" t="s">
        <v>3610</v>
      </c>
      <c r="G1486" s="1">
        <v>496093.99</v>
      </c>
    </row>
    <row r="1487" spans="1:7">
      <c r="A1487" t="s">
        <v>1582</v>
      </c>
      <c r="B1487" s="6">
        <v>45671</v>
      </c>
      <c r="C1487" s="6" t="str">
        <f>TEXT(Table3[[#This Row],[transaction_date]], "yyyy-mm")</f>
        <v>2025-01</v>
      </c>
      <c r="D1487" t="s">
        <v>85</v>
      </c>
      <c r="E1487" t="s">
        <v>3636</v>
      </c>
      <c r="F1487" t="s">
        <v>3613</v>
      </c>
      <c r="G1487" s="1">
        <v>3973333.69</v>
      </c>
    </row>
    <row r="1488" spans="1:7">
      <c r="A1488" t="s">
        <v>1583</v>
      </c>
      <c r="B1488" s="6">
        <v>45995</v>
      </c>
      <c r="C1488" s="6" t="str">
        <f>TEXT(Table3[[#This Row],[transaction_date]], "yyyy-mm")</f>
        <v>2025-12</v>
      </c>
      <c r="D1488" t="s">
        <v>85</v>
      </c>
      <c r="E1488" t="s">
        <v>3636</v>
      </c>
      <c r="F1488" t="s">
        <v>3604</v>
      </c>
      <c r="G1488" s="1">
        <v>266367.5</v>
      </c>
    </row>
    <row r="1489" spans="1:7">
      <c r="A1489" t="s">
        <v>1584</v>
      </c>
      <c r="B1489" s="6">
        <v>45769</v>
      </c>
      <c r="C1489" s="6" t="str">
        <f>TEXT(Table3[[#This Row],[transaction_date]], "yyyy-mm")</f>
        <v>2025-04</v>
      </c>
      <c r="D1489" t="s">
        <v>85</v>
      </c>
      <c r="E1489" t="s">
        <v>3637</v>
      </c>
      <c r="F1489" t="s">
        <v>3623</v>
      </c>
      <c r="G1489" s="1">
        <v>919854.92</v>
      </c>
    </row>
    <row r="1490" spans="1:7">
      <c r="A1490" t="s">
        <v>1585</v>
      </c>
      <c r="B1490" s="6">
        <v>45913</v>
      </c>
      <c r="C1490" s="6" t="str">
        <f>TEXT(Table3[[#This Row],[transaction_date]], "yyyy-mm")</f>
        <v>2025-09</v>
      </c>
      <c r="D1490" t="s">
        <v>89</v>
      </c>
      <c r="E1490" t="s">
        <v>3636</v>
      </c>
      <c r="F1490" t="s">
        <v>3613</v>
      </c>
      <c r="G1490" s="1">
        <v>632595.14</v>
      </c>
    </row>
    <row r="1491" spans="1:7">
      <c r="A1491" t="s">
        <v>1586</v>
      </c>
      <c r="B1491" s="6">
        <v>46004</v>
      </c>
      <c r="C1491" s="6" t="str">
        <f>TEXT(Table3[[#This Row],[transaction_date]], "yyyy-mm")</f>
        <v>2025-12</v>
      </c>
      <c r="D1491" t="s">
        <v>90</v>
      </c>
      <c r="E1491" t="s">
        <v>3637</v>
      </c>
      <c r="F1491" t="s">
        <v>3623</v>
      </c>
      <c r="G1491" s="1">
        <v>4875714.57</v>
      </c>
    </row>
    <row r="1492" spans="1:7">
      <c r="A1492" t="s">
        <v>1587</v>
      </c>
      <c r="B1492" s="6">
        <v>45678</v>
      </c>
      <c r="C1492" s="6" t="str">
        <f>TEXT(Table3[[#This Row],[transaction_date]], "yyyy-mm")</f>
        <v>2025-01</v>
      </c>
      <c r="D1492" t="s">
        <v>73</v>
      </c>
      <c r="E1492" t="s">
        <v>3636</v>
      </c>
      <c r="F1492" t="s">
        <v>3607</v>
      </c>
      <c r="G1492" s="1">
        <v>689956.91</v>
      </c>
    </row>
    <row r="1493" spans="1:7">
      <c r="A1493" t="s">
        <v>1588</v>
      </c>
      <c r="B1493" s="6">
        <v>45690</v>
      </c>
      <c r="C1493" s="6" t="str">
        <f>TEXT(Table3[[#This Row],[transaction_date]], "yyyy-mm")</f>
        <v>2025-02</v>
      </c>
      <c r="D1493" t="s">
        <v>77</v>
      </c>
      <c r="E1493" t="s">
        <v>3637</v>
      </c>
      <c r="F1493" t="s">
        <v>3615</v>
      </c>
      <c r="G1493" s="1">
        <v>9824270.2899999991</v>
      </c>
    </row>
    <row r="1494" spans="1:7">
      <c r="A1494" t="s">
        <v>1589</v>
      </c>
      <c r="B1494" s="6">
        <v>45830</v>
      </c>
      <c r="C1494" s="6" t="str">
        <f>TEXT(Table3[[#This Row],[transaction_date]], "yyyy-mm")</f>
        <v>2025-06</v>
      </c>
      <c r="D1494" t="s">
        <v>82</v>
      </c>
      <c r="E1494" t="s">
        <v>3637</v>
      </c>
      <c r="F1494" t="s">
        <v>3616</v>
      </c>
      <c r="G1494" s="1">
        <v>3088891.83</v>
      </c>
    </row>
    <row r="1495" spans="1:7">
      <c r="A1495" t="s">
        <v>1590</v>
      </c>
      <c r="B1495" s="6">
        <v>45852</v>
      </c>
      <c r="C1495" s="6" t="str">
        <f>TEXT(Table3[[#This Row],[transaction_date]], "yyyy-mm")</f>
        <v>2025-07</v>
      </c>
      <c r="D1495" t="s">
        <v>80</v>
      </c>
      <c r="E1495" t="s">
        <v>3636</v>
      </c>
      <c r="F1495" t="s">
        <v>3605</v>
      </c>
      <c r="G1495" s="1">
        <v>2106226.0299999998</v>
      </c>
    </row>
    <row r="1496" spans="1:7">
      <c r="A1496" t="s">
        <v>1591</v>
      </c>
      <c r="B1496" s="6">
        <v>45753</v>
      </c>
      <c r="C1496" s="6" t="str">
        <f>TEXT(Table3[[#This Row],[transaction_date]], "yyyy-mm")</f>
        <v>2025-04</v>
      </c>
      <c r="D1496" t="s">
        <v>89</v>
      </c>
      <c r="E1496" t="s">
        <v>3637</v>
      </c>
      <c r="F1496" t="s">
        <v>3617</v>
      </c>
      <c r="G1496" s="1">
        <v>1621537.56</v>
      </c>
    </row>
    <row r="1497" spans="1:7">
      <c r="A1497" t="s">
        <v>1592</v>
      </c>
      <c r="B1497" s="6">
        <v>45936</v>
      </c>
      <c r="C1497" s="6" t="str">
        <f>TEXT(Table3[[#This Row],[transaction_date]], "yyyy-mm")</f>
        <v>2025-10</v>
      </c>
      <c r="D1497" t="s">
        <v>76</v>
      </c>
      <c r="E1497" t="s">
        <v>3637</v>
      </c>
      <c r="F1497" t="s">
        <v>3618</v>
      </c>
      <c r="G1497" s="1">
        <v>11516565.199999999</v>
      </c>
    </row>
    <row r="1498" spans="1:7">
      <c r="A1498" t="s">
        <v>1593</v>
      </c>
      <c r="B1498" s="6">
        <v>45850</v>
      </c>
      <c r="C1498" s="6" t="str">
        <f>TEXT(Table3[[#This Row],[transaction_date]], "yyyy-mm")</f>
        <v>2025-07</v>
      </c>
      <c r="D1498" t="s">
        <v>73</v>
      </c>
      <c r="E1498" t="s">
        <v>3636</v>
      </c>
      <c r="F1498" t="s">
        <v>3605</v>
      </c>
      <c r="G1498" s="1">
        <v>1321522.07</v>
      </c>
    </row>
    <row r="1499" spans="1:7">
      <c r="A1499" t="s">
        <v>1594</v>
      </c>
      <c r="B1499" s="6">
        <v>45800</v>
      </c>
      <c r="C1499" s="6" t="str">
        <f>TEXT(Table3[[#This Row],[transaction_date]], "yyyy-mm")</f>
        <v>2025-05</v>
      </c>
      <c r="D1499" t="s">
        <v>90</v>
      </c>
      <c r="E1499" t="s">
        <v>3637</v>
      </c>
      <c r="F1499" t="s">
        <v>3623</v>
      </c>
      <c r="G1499" s="1">
        <v>35292583.409999996</v>
      </c>
    </row>
    <row r="1500" spans="1:7">
      <c r="A1500" t="s">
        <v>1595</v>
      </c>
      <c r="B1500" s="6">
        <v>45832</v>
      </c>
      <c r="C1500" s="6" t="str">
        <f>TEXT(Table3[[#This Row],[transaction_date]], "yyyy-mm")</f>
        <v>2025-06</v>
      </c>
      <c r="D1500" t="s">
        <v>73</v>
      </c>
      <c r="E1500" t="s">
        <v>3637</v>
      </c>
      <c r="F1500" t="s">
        <v>3615</v>
      </c>
      <c r="G1500" s="1">
        <v>835879.33</v>
      </c>
    </row>
    <row r="1501" spans="1:7">
      <c r="A1501" t="s">
        <v>1596</v>
      </c>
      <c r="B1501" s="6">
        <v>45843</v>
      </c>
      <c r="C1501" s="6" t="str">
        <f>TEXT(Table3[[#This Row],[transaction_date]], "yyyy-mm")</f>
        <v>2025-07</v>
      </c>
      <c r="D1501" t="s">
        <v>74</v>
      </c>
      <c r="E1501" t="s">
        <v>3636</v>
      </c>
      <c r="F1501" t="s">
        <v>3611</v>
      </c>
      <c r="G1501" s="1">
        <v>636170.22</v>
      </c>
    </row>
    <row r="1502" spans="1:7">
      <c r="A1502" t="s">
        <v>1597</v>
      </c>
      <c r="B1502" s="6">
        <v>45782</v>
      </c>
      <c r="C1502" s="6" t="str">
        <f>TEXT(Table3[[#This Row],[transaction_date]], "yyyy-mm")</f>
        <v>2025-05</v>
      </c>
      <c r="D1502" t="s">
        <v>80</v>
      </c>
      <c r="E1502" t="s">
        <v>3637</v>
      </c>
      <c r="F1502" t="s">
        <v>3622</v>
      </c>
      <c r="G1502" s="1">
        <v>976357.04</v>
      </c>
    </row>
    <row r="1503" spans="1:7">
      <c r="A1503" t="s">
        <v>1598</v>
      </c>
      <c r="B1503" s="6">
        <v>45822</v>
      </c>
      <c r="C1503" s="6" t="str">
        <f>TEXT(Table3[[#This Row],[transaction_date]], "yyyy-mm")</f>
        <v>2025-06</v>
      </c>
      <c r="D1503" t="s">
        <v>74</v>
      </c>
      <c r="E1503" t="s">
        <v>3636</v>
      </c>
      <c r="F1503" t="s">
        <v>3611</v>
      </c>
      <c r="G1503" s="1">
        <v>1146171.3600000001</v>
      </c>
    </row>
    <row r="1504" spans="1:7">
      <c r="A1504" t="s">
        <v>1599</v>
      </c>
      <c r="B1504" s="6">
        <v>45927</v>
      </c>
      <c r="C1504" s="6" t="str">
        <f>TEXT(Table3[[#This Row],[transaction_date]], "yyyy-mm")</f>
        <v>2025-09</v>
      </c>
      <c r="D1504" t="s">
        <v>89</v>
      </c>
      <c r="E1504" t="s">
        <v>3636</v>
      </c>
      <c r="F1504" t="s">
        <v>3607</v>
      </c>
      <c r="G1504" s="1">
        <v>689778.58</v>
      </c>
    </row>
    <row r="1505" spans="1:7">
      <c r="A1505" t="s">
        <v>1600</v>
      </c>
      <c r="B1505" s="6">
        <v>46006</v>
      </c>
      <c r="C1505" s="6" t="str">
        <f>TEXT(Table3[[#This Row],[transaction_date]], "yyyy-mm")</f>
        <v>2025-12</v>
      </c>
      <c r="D1505" t="s">
        <v>77</v>
      </c>
      <c r="E1505" t="s">
        <v>3636</v>
      </c>
      <c r="F1505" t="s">
        <v>3608</v>
      </c>
      <c r="G1505" s="1">
        <v>15508208.859999999</v>
      </c>
    </row>
    <row r="1506" spans="1:7">
      <c r="A1506" t="s">
        <v>1601</v>
      </c>
      <c r="B1506" s="6">
        <v>45762</v>
      </c>
      <c r="C1506" s="6" t="str">
        <f>TEXT(Table3[[#This Row],[transaction_date]], "yyyy-mm")</f>
        <v>2025-04</v>
      </c>
      <c r="D1506" t="s">
        <v>84</v>
      </c>
      <c r="E1506" t="s">
        <v>3637</v>
      </c>
      <c r="F1506" t="s">
        <v>3620</v>
      </c>
      <c r="G1506" s="1">
        <v>10961066.310000001</v>
      </c>
    </row>
    <row r="1507" spans="1:7">
      <c r="A1507" t="s">
        <v>1602</v>
      </c>
      <c r="B1507" s="6">
        <v>45853</v>
      </c>
      <c r="C1507" s="6" t="str">
        <f>TEXT(Table3[[#This Row],[transaction_date]], "yyyy-mm")</f>
        <v>2025-07</v>
      </c>
      <c r="D1507" t="s">
        <v>95</v>
      </c>
      <c r="E1507" t="s">
        <v>3636</v>
      </c>
      <c r="F1507" t="s">
        <v>3610</v>
      </c>
      <c r="G1507" s="1">
        <v>98867.06</v>
      </c>
    </row>
    <row r="1508" spans="1:7">
      <c r="A1508" t="s">
        <v>1603</v>
      </c>
      <c r="B1508" s="6">
        <v>45742</v>
      </c>
      <c r="C1508" s="6" t="str">
        <f>TEXT(Table3[[#This Row],[transaction_date]], "yyyy-mm")</f>
        <v>2025-03</v>
      </c>
      <c r="D1508" t="s">
        <v>75</v>
      </c>
      <c r="E1508" t="s">
        <v>3636</v>
      </c>
      <c r="F1508" t="s">
        <v>3605</v>
      </c>
      <c r="G1508" s="1">
        <v>3291340.7999999998</v>
      </c>
    </row>
    <row r="1509" spans="1:7">
      <c r="A1509" t="s">
        <v>1604</v>
      </c>
      <c r="B1509" s="6">
        <v>45944</v>
      </c>
      <c r="C1509" s="6" t="str">
        <f>TEXT(Table3[[#This Row],[transaction_date]], "yyyy-mm")</f>
        <v>2025-10</v>
      </c>
      <c r="D1509" t="s">
        <v>73</v>
      </c>
      <c r="E1509" t="s">
        <v>3637</v>
      </c>
      <c r="F1509" t="s">
        <v>3617</v>
      </c>
      <c r="G1509" s="1">
        <v>553134.16</v>
      </c>
    </row>
    <row r="1510" spans="1:7">
      <c r="A1510" t="s">
        <v>1605</v>
      </c>
      <c r="B1510" s="6">
        <v>45900</v>
      </c>
      <c r="C1510" s="6" t="str">
        <f>TEXT(Table3[[#This Row],[transaction_date]], "yyyy-mm")</f>
        <v>2025-08</v>
      </c>
      <c r="D1510" t="s">
        <v>76</v>
      </c>
      <c r="E1510" t="s">
        <v>3637</v>
      </c>
      <c r="F1510" t="s">
        <v>3620</v>
      </c>
      <c r="G1510" s="1">
        <v>6182687</v>
      </c>
    </row>
    <row r="1511" spans="1:7">
      <c r="A1511" t="s">
        <v>1606</v>
      </c>
      <c r="B1511" s="6">
        <v>45979</v>
      </c>
      <c r="C1511" s="6" t="str">
        <f>TEXT(Table3[[#This Row],[transaction_date]], "yyyy-mm")</f>
        <v>2025-11</v>
      </c>
      <c r="D1511" t="s">
        <v>73</v>
      </c>
      <c r="E1511" t="s">
        <v>3637</v>
      </c>
      <c r="F1511" t="s">
        <v>3614</v>
      </c>
      <c r="G1511" s="1">
        <v>1307850.83</v>
      </c>
    </row>
    <row r="1512" spans="1:7">
      <c r="A1512" t="s">
        <v>1607</v>
      </c>
      <c r="B1512" s="6">
        <v>45855</v>
      </c>
      <c r="C1512" s="6" t="str">
        <f>TEXT(Table3[[#This Row],[transaction_date]], "yyyy-mm")</f>
        <v>2025-07</v>
      </c>
      <c r="D1512" t="s">
        <v>85</v>
      </c>
      <c r="E1512" t="s">
        <v>3636</v>
      </c>
      <c r="F1512" t="s">
        <v>3606</v>
      </c>
      <c r="G1512" s="1">
        <v>1070646.74</v>
      </c>
    </row>
    <row r="1513" spans="1:7">
      <c r="A1513" t="s">
        <v>1608</v>
      </c>
      <c r="B1513" s="6">
        <v>45667</v>
      </c>
      <c r="C1513" s="6" t="str">
        <f>TEXT(Table3[[#This Row],[transaction_date]], "yyyy-mm")</f>
        <v>2025-01</v>
      </c>
      <c r="D1513" t="s">
        <v>80</v>
      </c>
      <c r="E1513" t="s">
        <v>3637</v>
      </c>
      <c r="F1513" t="s">
        <v>3618</v>
      </c>
      <c r="G1513" s="1">
        <v>2011352.21</v>
      </c>
    </row>
    <row r="1514" spans="1:7">
      <c r="A1514" t="s">
        <v>1609</v>
      </c>
      <c r="B1514" s="6">
        <v>45736</v>
      </c>
      <c r="C1514" s="6" t="str">
        <f>TEXT(Table3[[#This Row],[transaction_date]], "yyyy-mm")</f>
        <v>2025-03</v>
      </c>
      <c r="D1514" t="s">
        <v>95</v>
      </c>
      <c r="E1514" t="s">
        <v>3637</v>
      </c>
      <c r="F1514" t="s">
        <v>3621</v>
      </c>
      <c r="G1514" s="1">
        <v>17234484.390000001</v>
      </c>
    </row>
    <row r="1515" spans="1:7">
      <c r="A1515" t="s">
        <v>1610</v>
      </c>
      <c r="B1515" s="6">
        <v>45826</v>
      </c>
      <c r="C1515" s="6" t="str">
        <f>TEXT(Table3[[#This Row],[transaction_date]], "yyyy-mm")</f>
        <v>2025-06</v>
      </c>
      <c r="D1515" t="s">
        <v>84</v>
      </c>
      <c r="E1515" t="s">
        <v>3637</v>
      </c>
      <c r="F1515" t="s">
        <v>3619</v>
      </c>
      <c r="G1515" s="1">
        <v>8174642.3200000003</v>
      </c>
    </row>
    <row r="1516" spans="1:7">
      <c r="A1516" t="s">
        <v>1611</v>
      </c>
      <c r="B1516" s="6">
        <v>45963</v>
      </c>
      <c r="C1516" s="6" t="str">
        <f>TEXT(Table3[[#This Row],[transaction_date]], "yyyy-mm")</f>
        <v>2025-11</v>
      </c>
      <c r="D1516" t="s">
        <v>75</v>
      </c>
      <c r="E1516" t="s">
        <v>3637</v>
      </c>
      <c r="F1516" t="s">
        <v>3622</v>
      </c>
      <c r="G1516" s="1">
        <v>1810640.27</v>
      </c>
    </row>
    <row r="1517" spans="1:7">
      <c r="A1517" t="s">
        <v>1612</v>
      </c>
      <c r="B1517" s="6">
        <v>45667</v>
      </c>
      <c r="C1517" s="6" t="str">
        <f>TEXT(Table3[[#This Row],[transaction_date]], "yyyy-mm")</f>
        <v>2025-01</v>
      </c>
      <c r="D1517" t="s">
        <v>76</v>
      </c>
      <c r="E1517" t="s">
        <v>3637</v>
      </c>
      <c r="F1517" t="s">
        <v>3618</v>
      </c>
      <c r="G1517" s="1">
        <v>7035033.2599999998</v>
      </c>
    </row>
    <row r="1518" spans="1:7">
      <c r="A1518" t="s">
        <v>1613</v>
      </c>
      <c r="B1518" s="6">
        <v>45768</v>
      </c>
      <c r="C1518" s="6" t="str">
        <f>TEXT(Table3[[#This Row],[transaction_date]], "yyyy-mm")</f>
        <v>2025-04</v>
      </c>
      <c r="D1518" t="s">
        <v>73</v>
      </c>
      <c r="E1518" t="s">
        <v>3637</v>
      </c>
      <c r="F1518" t="s">
        <v>3620</v>
      </c>
      <c r="G1518" s="1">
        <v>1738539.22</v>
      </c>
    </row>
    <row r="1519" spans="1:7">
      <c r="A1519" t="s">
        <v>1614</v>
      </c>
      <c r="B1519" s="6">
        <v>45947</v>
      </c>
      <c r="C1519" s="6" t="str">
        <f>TEXT(Table3[[#This Row],[transaction_date]], "yyyy-mm")</f>
        <v>2025-10</v>
      </c>
      <c r="D1519" t="s">
        <v>76</v>
      </c>
      <c r="E1519" t="s">
        <v>3636</v>
      </c>
      <c r="F1519" t="s">
        <v>3608</v>
      </c>
      <c r="G1519" s="1">
        <v>3079563.58</v>
      </c>
    </row>
    <row r="1520" spans="1:7">
      <c r="A1520" t="s">
        <v>1615</v>
      </c>
      <c r="B1520" s="6">
        <v>45892</v>
      </c>
      <c r="C1520" s="6" t="str">
        <f>TEXT(Table3[[#This Row],[transaction_date]], "yyyy-mm")</f>
        <v>2025-08</v>
      </c>
      <c r="D1520" t="s">
        <v>80</v>
      </c>
      <c r="E1520" t="s">
        <v>3636</v>
      </c>
      <c r="F1520" t="s">
        <v>3610</v>
      </c>
      <c r="G1520" s="1">
        <v>326987.98</v>
      </c>
    </row>
    <row r="1521" spans="1:7">
      <c r="A1521" t="s">
        <v>1616</v>
      </c>
      <c r="B1521" s="6">
        <v>45864</v>
      </c>
      <c r="C1521" s="6" t="str">
        <f>TEXT(Table3[[#This Row],[transaction_date]], "yyyy-mm")</f>
        <v>2025-07</v>
      </c>
      <c r="D1521" t="s">
        <v>3597</v>
      </c>
      <c r="E1521" t="s">
        <v>3636</v>
      </c>
      <c r="F1521" t="s">
        <v>3613</v>
      </c>
      <c r="G1521" s="1">
        <v>10623399.210000001</v>
      </c>
    </row>
    <row r="1522" spans="1:7">
      <c r="A1522" t="s">
        <v>1617</v>
      </c>
      <c r="B1522" s="6">
        <v>45845</v>
      </c>
      <c r="C1522" s="6" t="str">
        <f>TEXT(Table3[[#This Row],[transaction_date]], "yyyy-mm")</f>
        <v>2025-07</v>
      </c>
      <c r="D1522" t="s">
        <v>82</v>
      </c>
      <c r="E1522" t="s">
        <v>3636</v>
      </c>
      <c r="F1522" t="s">
        <v>3605</v>
      </c>
      <c r="G1522" s="1">
        <v>3108495.65</v>
      </c>
    </row>
    <row r="1523" spans="1:7">
      <c r="A1523" t="s">
        <v>1618</v>
      </c>
      <c r="B1523" s="6">
        <v>45970</v>
      </c>
      <c r="C1523" s="6" t="str">
        <f>TEXT(Table3[[#This Row],[transaction_date]], "yyyy-mm")</f>
        <v>2025-11</v>
      </c>
      <c r="D1523" t="s">
        <v>79</v>
      </c>
      <c r="E1523" t="s">
        <v>3637</v>
      </c>
      <c r="F1523" t="s">
        <v>3623</v>
      </c>
      <c r="G1523" s="1">
        <v>1722121.17</v>
      </c>
    </row>
    <row r="1524" spans="1:7">
      <c r="A1524" t="s">
        <v>1619</v>
      </c>
      <c r="B1524" s="6">
        <v>46017</v>
      </c>
      <c r="C1524" s="6" t="str">
        <f>TEXT(Table3[[#This Row],[transaction_date]], "yyyy-mm")</f>
        <v>2025-12</v>
      </c>
      <c r="D1524" t="s">
        <v>76</v>
      </c>
      <c r="E1524" t="s">
        <v>3636</v>
      </c>
      <c r="F1524" t="s">
        <v>3612</v>
      </c>
      <c r="G1524" s="1">
        <v>3456443.37</v>
      </c>
    </row>
    <row r="1525" spans="1:7">
      <c r="A1525" t="s">
        <v>1620</v>
      </c>
      <c r="B1525" s="6">
        <v>45984</v>
      </c>
      <c r="C1525" s="6" t="str">
        <f>TEXT(Table3[[#This Row],[transaction_date]], "yyyy-mm")</f>
        <v>2025-11</v>
      </c>
      <c r="D1525" t="s">
        <v>75</v>
      </c>
      <c r="E1525" t="s">
        <v>3637</v>
      </c>
      <c r="F1525" t="s">
        <v>3617</v>
      </c>
      <c r="G1525" s="1">
        <v>10530787.800000001</v>
      </c>
    </row>
    <row r="1526" spans="1:7">
      <c r="A1526" t="s">
        <v>1621</v>
      </c>
      <c r="B1526" s="6">
        <v>45949</v>
      </c>
      <c r="C1526" s="6" t="str">
        <f>TEXT(Table3[[#This Row],[transaction_date]], "yyyy-mm")</f>
        <v>2025-10</v>
      </c>
      <c r="D1526" t="s">
        <v>74</v>
      </c>
      <c r="E1526" t="s">
        <v>3636</v>
      </c>
      <c r="F1526" t="s">
        <v>3613</v>
      </c>
      <c r="G1526" s="1">
        <v>2417737.8199999998</v>
      </c>
    </row>
    <row r="1527" spans="1:7">
      <c r="A1527" t="s">
        <v>1622</v>
      </c>
      <c r="B1527" s="6">
        <v>45680</v>
      </c>
      <c r="C1527" s="6" t="str">
        <f>TEXT(Table3[[#This Row],[transaction_date]], "yyyy-mm")</f>
        <v>2025-01</v>
      </c>
      <c r="D1527" t="s">
        <v>76</v>
      </c>
      <c r="E1527" t="s">
        <v>3636</v>
      </c>
      <c r="F1527" t="s">
        <v>3612</v>
      </c>
      <c r="G1527" s="1">
        <v>4807201.8499999996</v>
      </c>
    </row>
    <row r="1528" spans="1:7">
      <c r="A1528" t="s">
        <v>1623</v>
      </c>
      <c r="B1528" s="6">
        <v>45890</v>
      </c>
      <c r="C1528" s="6" t="str">
        <f>TEXT(Table3[[#This Row],[transaction_date]], "yyyy-mm")</f>
        <v>2025-08</v>
      </c>
      <c r="D1528" t="s">
        <v>80</v>
      </c>
      <c r="E1528" t="s">
        <v>3636</v>
      </c>
      <c r="F1528" t="s">
        <v>3607</v>
      </c>
      <c r="G1528" s="1">
        <v>3082031.07</v>
      </c>
    </row>
    <row r="1529" spans="1:7">
      <c r="A1529" t="s">
        <v>1624</v>
      </c>
      <c r="B1529" s="6">
        <v>45684</v>
      </c>
      <c r="C1529" s="6" t="str">
        <f>TEXT(Table3[[#This Row],[transaction_date]], "yyyy-mm")</f>
        <v>2025-01</v>
      </c>
      <c r="D1529" t="s">
        <v>3597</v>
      </c>
      <c r="E1529" t="s">
        <v>3637</v>
      </c>
      <c r="F1529" t="s">
        <v>3620</v>
      </c>
      <c r="G1529" s="1">
        <v>8168727.2599999998</v>
      </c>
    </row>
    <row r="1530" spans="1:7">
      <c r="A1530" t="s">
        <v>1625</v>
      </c>
      <c r="B1530" s="6">
        <v>45890</v>
      </c>
      <c r="C1530" s="6" t="str">
        <f>TEXT(Table3[[#This Row],[transaction_date]], "yyyy-mm")</f>
        <v>2025-08</v>
      </c>
      <c r="D1530" t="s">
        <v>3597</v>
      </c>
      <c r="E1530" t="s">
        <v>3636</v>
      </c>
      <c r="F1530" t="s">
        <v>3612</v>
      </c>
      <c r="G1530" s="1">
        <v>552055.52</v>
      </c>
    </row>
    <row r="1531" spans="1:7">
      <c r="A1531" t="s">
        <v>1626</v>
      </c>
      <c r="B1531" s="6">
        <v>45908</v>
      </c>
      <c r="C1531" s="6" t="str">
        <f>TEXT(Table3[[#This Row],[transaction_date]], "yyyy-mm")</f>
        <v>2025-09</v>
      </c>
      <c r="D1531" t="s">
        <v>76</v>
      </c>
      <c r="E1531" t="s">
        <v>3636</v>
      </c>
      <c r="F1531" t="s">
        <v>3612</v>
      </c>
      <c r="G1531" s="1">
        <v>10524448.43</v>
      </c>
    </row>
    <row r="1532" spans="1:7">
      <c r="A1532" t="s">
        <v>1627</v>
      </c>
      <c r="B1532" s="6">
        <v>45721</v>
      </c>
      <c r="C1532" s="6" t="str">
        <f>TEXT(Table3[[#This Row],[transaction_date]], "yyyy-mm")</f>
        <v>2025-03</v>
      </c>
      <c r="D1532" t="s">
        <v>79</v>
      </c>
      <c r="E1532" t="s">
        <v>3636</v>
      </c>
      <c r="F1532" t="s">
        <v>3611</v>
      </c>
      <c r="G1532" s="1">
        <v>1266944.67</v>
      </c>
    </row>
    <row r="1533" spans="1:7">
      <c r="A1533" t="s">
        <v>1628</v>
      </c>
      <c r="B1533" s="6">
        <v>45884</v>
      </c>
      <c r="C1533" s="6" t="str">
        <f>TEXT(Table3[[#This Row],[transaction_date]], "yyyy-mm")</f>
        <v>2025-08</v>
      </c>
      <c r="D1533" t="s">
        <v>77</v>
      </c>
      <c r="E1533" t="s">
        <v>3636</v>
      </c>
      <c r="F1533" t="s">
        <v>3609</v>
      </c>
      <c r="G1533" s="1">
        <v>198487.7</v>
      </c>
    </row>
    <row r="1534" spans="1:7">
      <c r="A1534" t="s">
        <v>1629</v>
      </c>
      <c r="B1534" s="6">
        <v>45911</v>
      </c>
      <c r="C1534" s="6" t="str">
        <f>TEXT(Table3[[#This Row],[transaction_date]], "yyyy-mm")</f>
        <v>2025-09</v>
      </c>
      <c r="D1534" t="s">
        <v>95</v>
      </c>
      <c r="E1534" t="s">
        <v>3636</v>
      </c>
      <c r="F1534" t="s">
        <v>3604</v>
      </c>
      <c r="G1534" s="1">
        <v>33943.51</v>
      </c>
    </row>
    <row r="1535" spans="1:7">
      <c r="A1535" t="s">
        <v>1630</v>
      </c>
      <c r="B1535" s="6">
        <v>45667</v>
      </c>
      <c r="C1535" s="6" t="str">
        <f>TEXT(Table3[[#This Row],[transaction_date]], "yyyy-mm")</f>
        <v>2025-01</v>
      </c>
      <c r="D1535" t="s">
        <v>76</v>
      </c>
      <c r="E1535" t="s">
        <v>3636</v>
      </c>
      <c r="F1535" t="s">
        <v>3609</v>
      </c>
      <c r="G1535" s="1">
        <v>36189916.950000003</v>
      </c>
    </row>
    <row r="1536" spans="1:7">
      <c r="A1536" t="s">
        <v>1631</v>
      </c>
      <c r="B1536" s="6">
        <v>45710</v>
      </c>
      <c r="C1536" s="6" t="str">
        <f>TEXT(Table3[[#This Row],[transaction_date]], "yyyy-mm")</f>
        <v>2025-02</v>
      </c>
      <c r="D1536" t="s">
        <v>78</v>
      </c>
      <c r="E1536" t="s">
        <v>3636</v>
      </c>
      <c r="F1536" t="s">
        <v>3604</v>
      </c>
      <c r="G1536" s="1">
        <v>2350623.94</v>
      </c>
    </row>
    <row r="1537" spans="1:7">
      <c r="A1537" t="s">
        <v>1632</v>
      </c>
      <c r="B1537" s="6">
        <v>45778</v>
      </c>
      <c r="C1537" s="6" t="str">
        <f>TEXT(Table3[[#This Row],[transaction_date]], "yyyy-mm")</f>
        <v>2025-05</v>
      </c>
      <c r="D1537" t="s">
        <v>74</v>
      </c>
      <c r="E1537" t="s">
        <v>3636</v>
      </c>
      <c r="F1537" t="s">
        <v>3606</v>
      </c>
      <c r="G1537" s="1">
        <v>658388.96</v>
      </c>
    </row>
    <row r="1538" spans="1:7">
      <c r="A1538" t="s">
        <v>1633</v>
      </c>
      <c r="B1538" s="6">
        <v>45832</v>
      </c>
      <c r="C1538" s="6" t="str">
        <f>TEXT(Table3[[#This Row],[transaction_date]], "yyyy-mm")</f>
        <v>2025-06</v>
      </c>
      <c r="D1538" t="s">
        <v>93</v>
      </c>
      <c r="E1538" t="s">
        <v>3636</v>
      </c>
      <c r="F1538" t="s">
        <v>3608</v>
      </c>
      <c r="G1538" s="1">
        <v>2856081.18</v>
      </c>
    </row>
    <row r="1539" spans="1:7">
      <c r="A1539" t="s">
        <v>1634</v>
      </c>
      <c r="B1539" s="6">
        <v>45754</v>
      </c>
      <c r="C1539" s="6" t="str">
        <f>TEXT(Table3[[#This Row],[transaction_date]], "yyyy-mm")</f>
        <v>2025-04</v>
      </c>
      <c r="D1539" t="s">
        <v>75</v>
      </c>
      <c r="E1539" t="s">
        <v>3637</v>
      </c>
      <c r="F1539" t="s">
        <v>3617</v>
      </c>
      <c r="G1539" s="1">
        <v>9281473.1600000001</v>
      </c>
    </row>
    <row r="1540" spans="1:7">
      <c r="A1540" t="s">
        <v>1635</v>
      </c>
      <c r="B1540" s="6">
        <v>45970</v>
      </c>
      <c r="C1540" s="6" t="str">
        <f>TEXT(Table3[[#This Row],[transaction_date]], "yyyy-mm")</f>
        <v>2025-11</v>
      </c>
      <c r="D1540" t="s">
        <v>73</v>
      </c>
      <c r="E1540" t="s">
        <v>3637</v>
      </c>
      <c r="F1540" t="s">
        <v>3619</v>
      </c>
      <c r="G1540" s="1">
        <v>505715.93</v>
      </c>
    </row>
    <row r="1541" spans="1:7">
      <c r="A1541" t="s">
        <v>1636</v>
      </c>
      <c r="B1541" s="6">
        <v>45662</v>
      </c>
      <c r="C1541" s="6" t="str">
        <f>TEXT(Table3[[#This Row],[transaction_date]], "yyyy-mm")</f>
        <v>2025-01</v>
      </c>
      <c r="D1541" t="s">
        <v>79</v>
      </c>
      <c r="E1541" t="s">
        <v>3637</v>
      </c>
      <c r="F1541" t="s">
        <v>3618</v>
      </c>
      <c r="G1541" s="1">
        <v>2893980.26</v>
      </c>
    </row>
    <row r="1542" spans="1:7">
      <c r="A1542" t="s">
        <v>1637</v>
      </c>
      <c r="B1542" s="6">
        <v>45682</v>
      </c>
      <c r="C1542" s="6" t="str">
        <f>TEXT(Table3[[#This Row],[transaction_date]], "yyyy-mm")</f>
        <v>2025-01</v>
      </c>
      <c r="D1542" t="s">
        <v>75</v>
      </c>
      <c r="E1542" t="s">
        <v>3637</v>
      </c>
      <c r="F1542" t="s">
        <v>3620</v>
      </c>
      <c r="G1542" s="1">
        <v>12448193.380000001</v>
      </c>
    </row>
    <row r="1543" spans="1:7">
      <c r="A1543" t="s">
        <v>1638</v>
      </c>
      <c r="B1543" s="6">
        <v>45914</v>
      </c>
      <c r="C1543" s="6" t="str">
        <f>TEXT(Table3[[#This Row],[transaction_date]], "yyyy-mm")</f>
        <v>2025-09</v>
      </c>
      <c r="D1543" t="s">
        <v>89</v>
      </c>
      <c r="E1543" t="s">
        <v>3637</v>
      </c>
      <c r="F1543" t="s">
        <v>3623</v>
      </c>
      <c r="G1543" s="1">
        <v>648705.03</v>
      </c>
    </row>
    <row r="1544" spans="1:7">
      <c r="A1544" t="s">
        <v>1639</v>
      </c>
      <c r="B1544" s="6">
        <v>45956</v>
      </c>
      <c r="C1544" s="6" t="str">
        <f>TEXT(Table3[[#This Row],[transaction_date]], "yyyy-mm")</f>
        <v>2025-10</v>
      </c>
      <c r="D1544" t="s">
        <v>76</v>
      </c>
      <c r="E1544" t="s">
        <v>3636</v>
      </c>
      <c r="F1544" t="s">
        <v>3612</v>
      </c>
      <c r="G1544" s="1">
        <v>8527999.6799999997</v>
      </c>
    </row>
    <row r="1545" spans="1:7">
      <c r="A1545" t="s">
        <v>1640</v>
      </c>
      <c r="B1545" s="6">
        <v>45712</v>
      </c>
      <c r="C1545" s="6" t="str">
        <f>TEXT(Table3[[#This Row],[transaction_date]], "yyyy-mm")</f>
        <v>2025-02</v>
      </c>
      <c r="D1545" t="s">
        <v>82</v>
      </c>
      <c r="E1545" t="s">
        <v>3636</v>
      </c>
      <c r="F1545" t="s">
        <v>3611</v>
      </c>
      <c r="G1545" s="1">
        <v>1305388.49</v>
      </c>
    </row>
    <row r="1546" spans="1:7">
      <c r="A1546" t="s">
        <v>1641</v>
      </c>
      <c r="B1546" s="6">
        <v>45811</v>
      </c>
      <c r="C1546" s="6" t="str">
        <f>TEXT(Table3[[#This Row],[transaction_date]], "yyyy-mm")</f>
        <v>2025-06</v>
      </c>
      <c r="D1546" t="s">
        <v>79</v>
      </c>
      <c r="E1546" t="s">
        <v>3637</v>
      </c>
      <c r="F1546" t="s">
        <v>3617</v>
      </c>
      <c r="G1546" s="1">
        <v>1964840.37</v>
      </c>
    </row>
    <row r="1547" spans="1:7">
      <c r="A1547" t="s">
        <v>1642</v>
      </c>
      <c r="B1547" s="6">
        <v>45776</v>
      </c>
      <c r="C1547" s="6" t="str">
        <f>TEXT(Table3[[#This Row],[transaction_date]], "yyyy-mm")</f>
        <v>2025-04</v>
      </c>
      <c r="D1547" t="s">
        <v>78</v>
      </c>
      <c r="E1547" t="s">
        <v>3636</v>
      </c>
      <c r="F1547" t="s">
        <v>3608</v>
      </c>
      <c r="G1547" s="1">
        <v>1377894.48</v>
      </c>
    </row>
    <row r="1548" spans="1:7">
      <c r="A1548" t="s">
        <v>1643</v>
      </c>
      <c r="B1548" s="6">
        <v>45863</v>
      </c>
      <c r="C1548" s="6" t="str">
        <f>TEXT(Table3[[#This Row],[transaction_date]], "yyyy-mm")</f>
        <v>2025-07</v>
      </c>
      <c r="D1548" t="s">
        <v>80</v>
      </c>
      <c r="E1548" t="s">
        <v>3636</v>
      </c>
      <c r="F1548" t="s">
        <v>3607</v>
      </c>
      <c r="G1548" s="1">
        <v>615185.11</v>
      </c>
    </row>
    <row r="1549" spans="1:7">
      <c r="A1549" t="s">
        <v>1644</v>
      </c>
      <c r="B1549" s="6">
        <v>45776</v>
      </c>
      <c r="C1549" s="6" t="str">
        <f>TEXT(Table3[[#This Row],[transaction_date]], "yyyy-mm")</f>
        <v>2025-04</v>
      </c>
      <c r="D1549" t="s">
        <v>77</v>
      </c>
      <c r="E1549" t="s">
        <v>3636</v>
      </c>
      <c r="F1549" t="s">
        <v>3611</v>
      </c>
      <c r="G1549" s="1">
        <v>2085274.4</v>
      </c>
    </row>
    <row r="1550" spans="1:7">
      <c r="A1550" t="s">
        <v>1645</v>
      </c>
      <c r="B1550" s="6">
        <v>45966</v>
      </c>
      <c r="C1550" s="6" t="str">
        <f>TEXT(Table3[[#This Row],[transaction_date]], "yyyy-mm")</f>
        <v>2025-11</v>
      </c>
      <c r="D1550" t="s">
        <v>77</v>
      </c>
      <c r="E1550" t="s">
        <v>3636</v>
      </c>
      <c r="F1550" t="s">
        <v>3611</v>
      </c>
      <c r="G1550" s="1">
        <v>18027401.489999998</v>
      </c>
    </row>
    <row r="1551" spans="1:7">
      <c r="A1551" t="s">
        <v>1646</v>
      </c>
      <c r="B1551" s="6">
        <v>45797</v>
      </c>
      <c r="C1551" s="6" t="str">
        <f>TEXT(Table3[[#This Row],[transaction_date]], "yyyy-mm")</f>
        <v>2025-05</v>
      </c>
      <c r="D1551" t="s">
        <v>3597</v>
      </c>
      <c r="E1551" t="s">
        <v>3637</v>
      </c>
      <c r="F1551" t="s">
        <v>3620</v>
      </c>
      <c r="G1551" s="1">
        <v>1234944.94</v>
      </c>
    </row>
    <row r="1552" spans="1:7">
      <c r="A1552" t="s">
        <v>1647</v>
      </c>
      <c r="B1552" s="6">
        <v>45729</v>
      </c>
      <c r="C1552" s="6" t="str">
        <f>TEXT(Table3[[#This Row],[transaction_date]], "yyyy-mm")</f>
        <v>2025-03</v>
      </c>
      <c r="D1552" t="s">
        <v>73</v>
      </c>
      <c r="E1552" t="s">
        <v>3637</v>
      </c>
      <c r="F1552" t="s">
        <v>3617</v>
      </c>
      <c r="G1552" s="1">
        <v>903624.7</v>
      </c>
    </row>
    <row r="1553" spans="1:7">
      <c r="A1553" t="s">
        <v>1648</v>
      </c>
      <c r="B1553" s="6">
        <v>45856</v>
      </c>
      <c r="C1553" s="6" t="str">
        <f>TEXT(Table3[[#This Row],[transaction_date]], "yyyy-mm")</f>
        <v>2025-07</v>
      </c>
      <c r="D1553" t="s">
        <v>79</v>
      </c>
      <c r="E1553" t="s">
        <v>3637</v>
      </c>
      <c r="F1553" t="s">
        <v>3619</v>
      </c>
      <c r="G1553" s="1">
        <v>246289.84</v>
      </c>
    </row>
    <row r="1554" spans="1:7">
      <c r="A1554" t="s">
        <v>1649</v>
      </c>
      <c r="B1554" s="6">
        <v>45751</v>
      </c>
      <c r="C1554" s="6" t="str">
        <f>TEXT(Table3[[#This Row],[transaction_date]], "yyyy-mm")</f>
        <v>2025-04</v>
      </c>
      <c r="D1554" t="s">
        <v>95</v>
      </c>
      <c r="E1554" t="s">
        <v>3636</v>
      </c>
      <c r="F1554" t="s">
        <v>3606</v>
      </c>
      <c r="G1554" s="1">
        <v>7828020.0599999996</v>
      </c>
    </row>
    <row r="1555" spans="1:7">
      <c r="A1555" t="s">
        <v>1650</v>
      </c>
      <c r="B1555" s="6">
        <v>45722</v>
      </c>
      <c r="C1555" s="6" t="str">
        <f>TEXT(Table3[[#This Row],[transaction_date]], "yyyy-mm")</f>
        <v>2025-03</v>
      </c>
      <c r="D1555" t="s">
        <v>79</v>
      </c>
      <c r="E1555" t="s">
        <v>3636</v>
      </c>
      <c r="F1555" t="s">
        <v>3613</v>
      </c>
      <c r="G1555" s="1">
        <v>515987</v>
      </c>
    </row>
    <row r="1556" spans="1:7">
      <c r="A1556" t="s">
        <v>1651</v>
      </c>
      <c r="B1556" s="6">
        <v>45946</v>
      </c>
      <c r="C1556" s="6" t="str">
        <f>TEXT(Table3[[#This Row],[transaction_date]], "yyyy-mm")</f>
        <v>2025-10</v>
      </c>
      <c r="D1556" t="s">
        <v>84</v>
      </c>
      <c r="E1556" t="s">
        <v>3637</v>
      </c>
      <c r="F1556" t="s">
        <v>3615</v>
      </c>
      <c r="G1556" s="1">
        <v>9532533.8399999999</v>
      </c>
    </row>
    <row r="1557" spans="1:7">
      <c r="A1557" t="s">
        <v>1652</v>
      </c>
      <c r="B1557" s="6">
        <v>45889</v>
      </c>
      <c r="C1557" s="6" t="str">
        <f>TEXT(Table3[[#This Row],[transaction_date]], "yyyy-mm")</f>
        <v>2025-08</v>
      </c>
      <c r="D1557" t="s">
        <v>84</v>
      </c>
      <c r="E1557" t="s">
        <v>3636</v>
      </c>
      <c r="F1557" t="s">
        <v>3610</v>
      </c>
      <c r="G1557" s="1">
        <v>15764932.84</v>
      </c>
    </row>
    <row r="1558" spans="1:7">
      <c r="A1558" t="s">
        <v>1653</v>
      </c>
      <c r="B1558" s="6">
        <v>45839</v>
      </c>
      <c r="C1558" s="6" t="str">
        <f>TEXT(Table3[[#This Row],[transaction_date]], "yyyy-mm")</f>
        <v>2025-07</v>
      </c>
      <c r="D1558" t="s">
        <v>84</v>
      </c>
      <c r="E1558" t="s">
        <v>3636</v>
      </c>
      <c r="F1558" t="s">
        <v>3604</v>
      </c>
      <c r="G1558" s="1">
        <v>10540885.949999999</v>
      </c>
    </row>
    <row r="1559" spans="1:7">
      <c r="A1559" t="s">
        <v>1654</v>
      </c>
      <c r="B1559" s="6">
        <v>45746</v>
      </c>
      <c r="C1559" s="6" t="str">
        <f>TEXT(Table3[[#This Row],[transaction_date]], "yyyy-mm")</f>
        <v>2025-03</v>
      </c>
      <c r="D1559" t="s">
        <v>74</v>
      </c>
      <c r="E1559" t="s">
        <v>3637</v>
      </c>
      <c r="F1559" t="s">
        <v>3615</v>
      </c>
      <c r="G1559" s="1">
        <v>3177258.01</v>
      </c>
    </row>
    <row r="1560" spans="1:7">
      <c r="A1560" t="s">
        <v>1655</v>
      </c>
      <c r="B1560" s="6">
        <v>45973</v>
      </c>
      <c r="C1560" s="6" t="str">
        <f>TEXT(Table3[[#This Row],[transaction_date]], "yyyy-mm")</f>
        <v>2025-11</v>
      </c>
      <c r="D1560" t="s">
        <v>74</v>
      </c>
      <c r="E1560" t="s">
        <v>3636</v>
      </c>
      <c r="F1560" t="s">
        <v>3611</v>
      </c>
      <c r="G1560" s="1">
        <v>506672.5</v>
      </c>
    </row>
    <row r="1561" spans="1:7">
      <c r="A1561" t="s">
        <v>1656</v>
      </c>
      <c r="B1561" s="6">
        <v>45772</v>
      </c>
      <c r="C1561" s="6" t="str">
        <f>TEXT(Table3[[#This Row],[transaction_date]], "yyyy-mm")</f>
        <v>2025-04</v>
      </c>
      <c r="D1561" t="s">
        <v>82</v>
      </c>
      <c r="E1561" t="s">
        <v>3636</v>
      </c>
      <c r="F1561" t="s">
        <v>3607</v>
      </c>
      <c r="G1561" s="1">
        <v>8982045.9100000001</v>
      </c>
    </row>
    <row r="1562" spans="1:7">
      <c r="A1562" t="s">
        <v>1657</v>
      </c>
      <c r="B1562" s="6">
        <v>45697</v>
      </c>
      <c r="C1562" s="6" t="str">
        <f>TEXT(Table3[[#This Row],[transaction_date]], "yyyy-mm")</f>
        <v>2025-02</v>
      </c>
      <c r="D1562" t="s">
        <v>82</v>
      </c>
      <c r="E1562" t="s">
        <v>3636</v>
      </c>
      <c r="F1562" t="s">
        <v>3613</v>
      </c>
      <c r="G1562" s="1">
        <v>15124480.84</v>
      </c>
    </row>
    <row r="1563" spans="1:7">
      <c r="A1563" t="s">
        <v>1658</v>
      </c>
      <c r="B1563" s="6">
        <v>45822</v>
      </c>
      <c r="C1563" s="6" t="str">
        <f>TEXT(Table3[[#This Row],[transaction_date]], "yyyy-mm")</f>
        <v>2025-06</v>
      </c>
      <c r="D1563" t="s">
        <v>89</v>
      </c>
      <c r="E1563" t="s">
        <v>3636</v>
      </c>
      <c r="F1563" t="s">
        <v>3612</v>
      </c>
      <c r="G1563" s="1">
        <v>2227824.34</v>
      </c>
    </row>
    <row r="1564" spans="1:7">
      <c r="A1564" t="s">
        <v>1659</v>
      </c>
      <c r="B1564" s="6">
        <v>45923</v>
      </c>
      <c r="C1564" s="6" t="str">
        <f>TEXT(Table3[[#This Row],[transaction_date]], "yyyy-mm")</f>
        <v>2025-09</v>
      </c>
      <c r="D1564" t="s">
        <v>90</v>
      </c>
      <c r="E1564" t="s">
        <v>3636</v>
      </c>
      <c r="F1564" t="s">
        <v>3608</v>
      </c>
      <c r="G1564" s="1">
        <v>19386465.989999998</v>
      </c>
    </row>
    <row r="1565" spans="1:7">
      <c r="A1565" t="s">
        <v>1660</v>
      </c>
      <c r="B1565" s="6">
        <v>46020</v>
      </c>
      <c r="C1565" s="6" t="str">
        <f>TEXT(Table3[[#This Row],[transaction_date]], "yyyy-mm")</f>
        <v>2025-12</v>
      </c>
      <c r="D1565" t="s">
        <v>78</v>
      </c>
      <c r="E1565" t="s">
        <v>3637</v>
      </c>
      <c r="F1565" t="s">
        <v>3614</v>
      </c>
      <c r="G1565" s="1">
        <v>241800.43</v>
      </c>
    </row>
    <row r="1566" spans="1:7">
      <c r="A1566" t="s">
        <v>1661</v>
      </c>
      <c r="B1566" s="6">
        <v>45764</v>
      </c>
      <c r="C1566" s="6" t="str">
        <f>TEXT(Table3[[#This Row],[transaction_date]], "yyyy-mm")</f>
        <v>2025-04</v>
      </c>
      <c r="D1566" t="s">
        <v>82</v>
      </c>
      <c r="E1566" t="s">
        <v>3637</v>
      </c>
      <c r="F1566" t="s">
        <v>3622</v>
      </c>
      <c r="G1566" s="1">
        <v>653074.12</v>
      </c>
    </row>
    <row r="1567" spans="1:7">
      <c r="A1567" t="s">
        <v>1662</v>
      </c>
      <c r="B1567" s="6">
        <v>45699</v>
      </c>
      <c r="C1567" s="6" t="str">
        <f>TEXT(Table3[[#This Row],[transaction_date]], "yyyy-mm")</f>
        <v>2025-02</v>
      </c>
      <c r="D1567" t="s">
        <v>73</v>
      </c>
      <c r="E1567" t="s">
        <v>3637</v>
      </c>
      <c r="F1567" t="s">
        <v>3623</v>
      </c>
      <c r="G1567" s="1">
        <v>2189307.59</v>
      </c>
    </row>
    <row r="1568" spans="1:7">
      <c r="A1568" t="s">
        <v>1663</v>
      </c>
      <c r="B1568" s="6">
        <v>45962</v>
      </c>
      <c r="C1568" s="6" t="str">
        <f>TEXT(Table3[[#This Row],[transaction_date]], "yyyy-mm")</f>
        <v>2025-11</v>
      </c>
      <c r="D1568" t="s">
        <v>80</v>
      </c>
      <c r="E1568" t="s">
        <v>3637</v>
      </c>
      <c r="F1568" t="s">
        <v>3614</v>
      </c>
      <c r="G1568" s="1">
        <v>1895032.71</v>
      </c>
    </row>
    <row r="1569" spans="1:7">
      <c r="A1569" t="s">
        <v>1664</v>
      </c>
      <c r="B1569" s="6">
        <v>45719</v>
      </c>
      <c r="C1569" s="6" t="str">
        <f>TEXT(Table3[[#This Row],[transaction_date]], "yyyy-mm")</f>
        <v>2025-03</v>
      </c>
      <c r="D1569" t="s">
        <v>76</v>
      </c>
      <c r="E1569" t="s">
        <v>3636</v>
      </c>
      <c r="F1569" t="s">
        <v>3612</v>
      </c>
      <c r="G1569" s="1">
        <v>13462702.41</v>
      </c>
    </row>
    <row r="1570" spans="1:7">
      <c r="A1570" t="s">
        <v>1665</v>
      </c>
      <c r="B1570" s="6">
        <v>45865</v>
      </c>
      <c r="C1570" s="6" t="str">
        <f>TEXT(Table3[[#This Row],[transaction_date]], "yyyy-mm")</f>
        <v>2025-07</v>
      </c>
      <c r="D1570" t="s">
        <v>95</v>
      </c>
      <c r="E1570" t="s">
        <v>3636</v>
      </c>
      <c r="F1570" t="s">
        <v>3613</v>
      </c>
      <c r="G1570" s="1">
        <v>5188163.49</v>
      </c>
    </row>
    <row r="1571" spans="1:7">
      <c r="A1571" t="s">
        <v>1666</v>
      </c>
      <c r="B1571" s="6">
        <v>45826</v>
      </c>
      <c r="C1571" s="6" t="str">
        <f>TEXT(Table3[[#This Row],[transaction_date]], "yyyy-mm")</f>
        <v>2025-06</v>
      </c>
      <c r="D1571" t="s">
        <v>75</v>
      </c>
      <c r="E1571" t="s">
        <v>3636</v>
      </c>
      <c r="F1571" t="s">
        <v>3609</v>
      </c>
      <c r="G1571" s="1">
        <v>4294817.17</v>
      </c>
    </row>
    <row r="1572" spans="1:7">
      <c r="A1572" t="s">
        <v>1667</v>
      </c>
      <c r="B1572" s="6">
        <v>45733</v>
      </c>
      <c r="C1572" s="6" t="str">
        <f>TEXT(Table3[[#This Row],[transaction_date]], "yyyy-mm")</f>
        <v>2025-03</v>
      </c>
      <c r="D1572" t="s">
        <v>73</v>
      </c>
      <c r="E1572" t="s">
        <v>3636</v>
      </c>
      <c r="F1572" t="s">
        <v>3607</v>
      </c>
      <c r="G1572" s="1">
        <v>494212.57</v>
      </c>
    </row>
    <row r="1573" spans="1:7">
      <c r="A1573" t="s">
        <v>1668</v>
      </c>
      <c r="B1573" s="6">
        <v>45883</v>
      </c>
      <c r="C1573" s="6" t="str">
        <f>TEXT(Table3[[#This Row],[transaction_date]], "yyyy-mm")</f>
        <v>2025-08</v>
      </c>
      <c r="D1573" t="s">
        <v>77</v>
      </c>
      <c r="E1573" t="s">
        <v>3637</v>
      </c>
      <c r="F1573" t="s">
        <v>3619</v>
      </c>
      <c r="G1573" s="1">
        <v>7448545.9199999999</v>
      </c>
    </row>
    <row r="1574" spans="1:7">
      <c r="A1574" t="s">
        <v>1669</v>
      </c>
      <c r="B1574" s="6">
        <v>45819</v>
      </c>
      <c r="C1574" s="6" t="str">
        <f>TEXT(Table3[[#This Row],[transaction_date]], "yyyy-mm")</f>
        <v>2025-06</v>
      </c>
      <c r="D1574" t="s">
        <v>80</v>
      </c>
      <c r="E1574" t="s">
        <v>3637</v>
      </c>
      <c r="F1574" t="s">
        <v>3622</v>
      </c>
      <c r="G1574" s="1">
        <v>1134137.7</v>
      </c>
    </row>
    <row r="1575" spans="1:7">
      <c r="A1575" t="s">
        <v>1670</v>
      </c>
      <c r="B1575" s="6">
        <v>45857</v>
      </c>
      <c r="C1575" s="6" t="str">
        <f>TEXT(Table3[[#This Row],[transaction_date]], "yyyy-mm")</f>
        <v>2025-07</v>
      </c>
      <c r="D1575" t="s">
        <v>89</v>
      </c>
      <c r="E1575" t="s">
        <v>3637</v>
      </c>
      <c r="F1575" t="s">
        <v>3623</v>
      </c>
      <c r="G1575" s="1">
        <v>35392.35</v>
      </c>
    </row>
    <row r="1576" spans="1:7">
      <c r="A1576" t="s">
        <v>1671</v>
      </c>
      <c r="B1576" s="6">
        <v>45832</v>
      </c>
      <c r="C1576" s="6" t="str">
        <f>TEXT(Table3[[#This Row],[transaction_date]], "yyyy-mm")</f>
        <v>2025-06</v>
      </c>
      <c r="D1576" t="s">
        <v>90</v>
      </c>
      <c r="E1576" t="s">
        <v>3636</v>
      </c>
      <c r="F1576" t="s">
        <v>3604</v>
      </c>
      <c r="G1576" s="1">
        <v>2231535.83</v>
      </c>
    </row>
    <row r="1577" spans="1:7">
      <c r="A1577" t="s">
        <v>1672</v>
      </c>
      <c r="B1577" s="6">
        <v>46019</v>
      </c>
      <c r="C1577" s="6" t="str">
        <f>TEXT(Table3[[#This Row],[transaction_date]], "yyyy-mm")</f>
        <v>2025-12</v>
      </c>
      <c r="D1577" t="s">
        <v>74</v>
      </c>
      <c r="E1577" t="s">
        <v>3636</v>
      </c>
      <c r="F1577" t="s">
        <v>3610</v>
      </c>
      <c r="G1577" s="1">
        <v>394122.38</v>
      </c>
    </row>
    <row r="1578" spans="1:7">
      <c r="A1578" t="s">
        <v>1673</v>
      </c>
      <c r="B1578" s="6">
        <v>45849</v>
      </c>
      <c r="C1578" s="6" t="str">
        <f>TEXT(Table3[[#This Row],[transaction_date]], "yyyy-mm")</f>
        <v>2025-07</v>
      </c>
      <c r="D1578" t="s">
        <v>95</v>
      </c>
      <c r="E1578" t="s">
        <v>3637</v>
      </c>
      <c r="F1578" t="s">
        <v>3616</v>
      </c>
      <c r="G1578" s="1">
        <v>5296112.63</v>
      </c>
    </row>
    <row r="1579" spans="1:7">
      <c r="A1579" t="s">
        <v>1674</v>
      </c>
      <c r="B1579" s="6">
        <v>45738</v>
      </c>
      <c r="C1579" s="6" t="str">
        <f>TEXT(Table3[[#This Row],[transaction_date]], "yyyy-mm")</f>
        <v>2025-03</v>
      </c>
      <c r="D1579" t="s">
        <v>78</v>
      </c>
      <c r="E1579" t="s">
        <v>3636</v>
      </c>
      <c r="F1579" t="s">
        <v>3613</v>
      </c>
      <c r="G1579" s="1">
        <v>4568236.55</v>
      </c>
    </row>
    <row r="1580" spans="1:7">
      <c r="A1580" t="s">
        <v>1675</v>
      </c>
      <c r="B1580" s="6">
        <v>45860</v>
      </c>
      <c r="C1580" s="6" t="str">
        <f>TEXT(Table3[[#This Row],[transaction_date]], "yyyy-mm")</f>
        <v>2025-07</v>
      </c>
      <c r="D1580" t="s">
        <v>93</v>
      </c>
      <c r="E1580" t="s">
        <v>3636</v>
      </c>
      <c r="F1580" t="s">
        <v>3608</v>
      </c>
      <c r="G1580" s="1">
        <v>12978974.52</v>
      </c>
    </row>
    <row r="1581" spans="1:7">
      <c r="A1581" t="s">
        <v>1676</v>
      </c>
      <c r="B1581" s="6">
        <v>45931</v>
      </c>
      <c r="C1581" s="6" t="str">
        <f>TEXT(Table3[[#This Row],[transaction_date]], "yyyy-mm")</f>
        <v>2025-10</v>
      </c>
      <c r="D1581" t="s">
        <v>89</v>
      </c>
      <c r="E1581" t="s">
        <v>3636</v>
      </c>
      <c r="F1581" t="s">
        <v>3607</v>
      </c>
      <c r="G1581" s="1">
        <v>789732.84</v>
      </c>
    </row>
    <row r="1582" spans="1:7">
      <c r="A1582" t="s">
        <v>1677</v>
      </c>
      <c r="B1582" s="6">
        <v>45720</v>
      </c>
      <c r="C1582" s="6" t="str">
        <f>TEXT(Table3[[#This Row],[transaction_date]], "yyyy-mm")</f>
        <v>2025-03</v>
      </c>
      <c r="D1582" t="s">
        <v>73</v>
      </c>
      <c r="E1582" t="s">
        <v>3636</v>
      </c>
      <c r="F1582" t="s">
        <v>3604</v>
      </c>
      <c r="G1582" s="1">
        <v>6093543.1200000001</v>
      </c>
    </row>
    <row r="1583" spans="1:7">
      <c r="A1583" t="s">
        <v>1678</v>
      </c>
      <c r="B1583" s="6">
        <v>45846</v>
      </c>
      <c r="C1583" s="6" t="str">
        <f>TEXT(Table3[[#This Row],[transaction_date]], "yyyy-mm")</f>
        <v>2025-07</v>
      </c>
      <c r="D1583" t="s">
        <v>89</v>
      </c>
      <c r="E1583" t="s">
        <v>3636</v>
      </c>
      <c r="F1583" t="s">
        <v>3609</v>
      </c>
      <c r="G1583" s="1">
        <v>894150.2</v>
      </c>
    </row>
    <row r="1584" spans="1:7">
      <c r="A1584" t="s">
        <v>1679</v>
      </c>
      <c r="B1584" s="6">
        <v>45957</v>
      </c>
      <c r="C1584" s="6" t="str">
        <f>TEXT(Table3[[#This Row],[transaction_date]], "yyyy-mm")</f>
        <v>2025-10</v>
      </c>
      <c r="D1584" t="s">
        <v>73</v>
      </c>
      <c r="E1584" t="s">
        <v>3637</v>
      </c>
      <c r="F1584" t="s">
        <v>3621</v>
      </c>
      <c r="G1584" s="1">
        <v>3521044.02</v>
      </c>
    </row>
    <row r="1585" spans="1:7">
      <c r="A1585" t="s">
        <v>1680</v>
      </c>
      <c r="B1585" s="6">
        <v>45900</v>
      </c>
      <c r="C1585" s="6" t="str">
        <f>TEXT(Table3[[#This Row],[transaction_date]], "yyyy-mm")</f>
        <v>2025-08</v>
      </c>
      <c r="D1585" t="s">
        <v>74</v>
      </c>
      <c r="E1585" t="s">
        <v>3636</v>
      </c>
      <c r="F1585" t="s">
        <v>3613</v>
      </c>
      <c r="G1585" s="1">
        <v>1386722.36</v>
      </c>
    </row>
    <row r="1586" spans="1:7">
      <c r="A1586" t="s">
        <v>1681</v>
      </c>
      <c r="B1586" s="6">
        <v>45739</v>
      </c>
      <c r="C1586" s="6" t="str">
        <f>TEXT(Table3[[#This Row],[transaction_date]], "yyyy-mm")</f>
        <v>2025-03</v>
      </c>
      <c r="D1586" t="s">
        <v>82</v>
      </c>
      <c r="E1586" t="s">
        <v>3637</v>
      </c>
      <c r="F1586" t="s">
        <v>3615</v>
      </c>
      <c r="G1586" s="1">
        <v>2784773.84</v>
      </c>
    </row>
    <row r="1587" spans="1:7">
      <c r="A1587" t="s">
        <v>1682</v>
      </c>
      <c r="B1587" s="6">
        <v>45980</v>
      </c>
      <c r="C1587" s="6" t="str">
        <f>TEXT(Table3[[#This Row],[transaction_date]], "yyyy-mm")</f>
        <v>2025-11</v>
      </c>
      <c r="D1587" t="s">
        <v>90</v>
      </c>
      <c r="E1587" t="s">
        <v>3637</v>
      </c>
      <c r="F1587" t="s">
        <v>3615</v>
      </c>
      <c r="G1587" s="1">
        <v>4610336.1399999997</v>
      </c>
    </row>
    <row r="1588" spans="1:7">
      <c r="A1588" t="s">
        <v>1683</v>
      </c>
      <c r="B1588" s="6">
        <v>45662</v>
      </c>
      <c r="C1588" s="6" t="str">
        <f>TEXT(Table3[[#This Row],[transaction_date]], "yyyy-mm")</f>
        <v>2025-01</v>
      </c>
      <c r="D1588" t="s">
        <v>3597</v>
      </c>
      <c r="E1588" t="s">
        <v>3637</v>
      </c>
      <c r="F1588" t="s">
        <v>3623</v>
      </c>
      <c r="G1588" s="1">
        <v>1009802.09</v>
      </c>
    </row>
    <row r="1589" spans="1:7">
      <c r="A1589" t="s">
        <v>1684</v>
      </c>
      <c r="B1589" s="6">
        <v>45849</v>
      </c>
      <c r="C1589" s="6" t="str">
        <f>TEXT(Table3[[#This Row],[transaction_date]], "yyyy-mm")</f>
        <v>2025-07</v>
      </c>
      <c r="D1589" t="s">
        <v>73</v>
      </c>
      <c r="E1589" t="s">
        <v>3636</v>
      </c>
      <c r="F1589" t="s">
        <v>3604</v>
      </c>
      <c r="G1589" s="1">
        <v>1075918.24</v>
      </c>
    </row>
    <row r="1590" spans="1:7">
      <c r="A1590" t="s">
        <v>1685</v>
      </c>
      <c r="B1590" s="6">
        <v>45995</v>
      </c>
      <c r="C1590" s="6" t="str">
        <f>TEXT(Table3[[#This Row],[transaction_date]], "yyyy-mm")</f>
        <v>2025-12</v>
      </c>
      <c r="D1590" t="s">
        <v>93</v>
      </c>
      <c r="E1590" t="s">
        <v>3637</v>
      </c>
      <c r="F1590" t="s">
        <v>3623</v>
      </c>
      <c r="G1590" s="1">
        <v>4607995.2300000004</v>
      </c>
    </row>
    <row r="1591" spans="1:7">
      <c r="A1591" t="s">
        <v>1686</v>
      </c>
      <c r="B1591" s="6">
        <v>45684</v>
      </c>
      <c r="C1591" s="6" t="str">
        <f>TEXT(Table3[[#This Row],[transaction_date]], "yyyy-mm")</f>
        <v>2025-01</v>
      </c>
      <c r="D1591" t="s">
        <v>76</v>
      </c>
      <c r="E1591" t="s">
        <v>3637</v>
      </c>
      <c r="F1591" t="s">
        <v>3618</v>
      </c>
      <c r="G1591" s="1">
        <v>12918601.390000001</v>
      </c>
    </row>
    <row r="1592" spans="1:7">
      <c r="A1592" t="s">
        <v>1687</v>
      </c>
      <c r="B1592" s="6">
        <v>45882</v>
      </c>
      <c r="C1592" s="6" t="str">
        <f>TEXT(Table3[[#This Row],[transaction_date]], "yyyy-mm")</f>
        <v>2025-08</v>
      </c>
      <c r="D1592" t="s">
        <v>82</v>
      </c>
      <c r="E1592" t="s">
        <v>3637</v>
      </c>
      <c r="F1592" t="s">
        <v>3615</v>
      </c>
      <c r="G1592" s="1">
        <v>11887879.689999999</v>
      </c>
    </row>
    <row r="1593" spans="1:7">
      <c r="A1593" t="s">
        <v>1688</v>
      </c>
      <c r="B1593" s="6">
        <v>45736</v>
      </c>
      <c r="C1593" s="6" t="str">
        <f>TEXT(Table3[[#This Row],[transaction_date]], "yyyy-mm")</f>
        <v>2025-03</v>
      </c>
      <c r="D1593" t="s">
        <v>76</v>
      </c>
      <c r="E1593" t="s">
        <v>3637</v>
      </c>
      <c r="F1593" t="s">
        <v>3615</v>
      </c>
      <c r="G1593" s="1">
        <v>20061797.609999999</v>
      </c>
    </row>
    <row r="1594" spans="1:7">
      <c r="A1594" t="s">
        <v>1689</v>
      </c>
      <c r="B1594" s="6">
        <v>45699</v>
      </c>
      <c r="C1594" s="6" t="str">
        <f>TEXT(Table3[[#This Row],[transaction_date]], "yyyy-mm")</f>
        <v>2025-02</v>
      </c>
      <c r="D1594" t="s">
        <v>82</v>
      </c>
      <c r="E1594" t="s">
        <v>3636</v>
      </c>
      <c r="F1594" t="s">
        <v>3609</v>
      </c>
      <c r="G1594" s="1">
        <v>9811992.0299999993</v>
      </c>
    </row>
    <row r="1595" spans="1:7">
      <c r="A1595" t="s">
        <v>1690</v>
      </c>
      <c r="B1595" s="6">
        <v>46005</v>
      </c>
      <c r="C1595" s="6" t="str">
        <f>TEXT(Table3[[#This Row],[transaction_date]], "yyyy-mm")</f>
        <v>2025-12</v>
      </c>
      <c r="D1595" t="s">
        <v>77</v>
      </c>
      <c r="E1595" t="s">
        <v>3637</v>
      </c>
      <c r="F1595" t="s">
        <v>3618</v>
      </c>
      <c r="G1595" s="1">
        <v>17625031.370000001</v>
      </c>
    </row>
    <row r="1596" spans="1:7">
      <c r="A1596" t="s">
        <v>1691</v>
      </c>
      <c r="B1596" s="6">
        <v>45661</v>
      </c>
      <c r="C1596" s="6" t="str">
        <f>TEXT(Table3[[#This Row],[transaction_date]], "yyyy-mm")</f>
        <v>2025-01</v>
      </c>
      <c r="D1596" t="s">
        <v>85</v>
      </c>
      <c r="E1596" t="s">
        <v>3637</v>
      </c>
      <c r="F1596" t="s">
        <v>3619</v>
      </c>
      <c r="G1596" s="1">
        <v>1697156.73</v>
      </c>
    </row>
    <row r="1597" spans="1:7">
      <c r="A1597" t="s">
        <v>1692</v>
      </c>
      <c r="B1597" s="6">
        <v>45882</v>
      </c>
      <c r="C1597" s="6" t="str">
        <f>TEXT(Table3[[#This Row],[transaction_date]], "yyyy-mm")</f>
        <v>2025-08</v>
      </c>
      <c r="D1597" t="s">
        <v>78</v>
      </c>
      <c r="E1597" t="s">
        <v>3636</v>
      </c>
      <c r="F1597" t="s">
        <v>3612</v>
      </c>
      <c r="G1597" s="1">
        <v>1746000.48</v>
      </c>
    </row>
    <row r="1598" spans="1:7">
      <c r="A1598" t="s">
        <v>1693</v>
      </c>
      <c r="B1598" s="6">
        <v>45709</v>
      </c>
      <c r="C1598" s="6" t="str">
        <f>TEXT(Table3[[#This Row],[transaction_date]], "yyyy-mm")</f>
        <v>2025-02</v>
      </c>
      <c r="D1598" t="s">
        <v>73</v>
      </c>
      <c r="E1598" t="s">
        <v>3637</v>
      </c>
      <c r="F1598" t="s">
        <v>3621</v>
      </c>
      <c r="G1598" s="1">
        <v>307077.18</v>
      </c>
    </row>
    <row r="1599" spans="1:7">
      <c r="A1599" t="s">
        <v>1694</v>
      </c>
      <c r="B1599" s="6">
        <v>45948</v>
      </c>
      <c r="C1599" s="6" t="str">
        <f>TEXT(Table3[[#This Row],[transaction_date]], "yyyy-mm")</f>
        <v>2025-10</v>
      </c>
      <c r="D1599" t="s">
        <v>75</v>
      </c>
      <c r="E1599" t="s">
        <v>3636</v>
      </c>
      <c r="F1599" t="s">
        <v>3605</v>
      </c>
      <c r="G1599" s="1">
        <v>15990734.800000001</v>
      </c>
    </row>
    <row r="1600" spans="1:7">
      <c r="A1600" t="s">
        <v>1695</v>
      </c>
      <c r="B1600" s="6">
        <v>45945</v>
      </c>
      <c r="C1600" s="6" t="str">
        <f>TEXT(Table3[[#This Row],[transaction_date]], "yyyy-mm")</f>
        <v>2025-10</v>
      </c>
      <c r="D1600" t="s">
        <v>76</v>
      </c>
      <c r="E1600" t="s">
        <v>3636</v>
      </c>
      <c r="F1600" t="s">
        <v>3613</v>
      </c>
      <c r="G1600" s="1">
        <v>178305.98</v>
      </c>
    </row>
    <row r="1601" spans="1:7">
      <c r="A1601" t="s">
        <v>1696</v>
      </c>
      <c r="B1601" s="6">
        <v>45988</v>
      </c>
      <c r="C1601" s="6" t="str">
        <f>TEXT(Table3[[#This Row],[transaction_date]], "yyyy-mm")</f>
        <v>2025-11</v>
      </c>
      <c r="D1601" t="s">
        <v>79</v>
      </c>
      <c r="E1601" t="s">
        <v>3637</v>
      </c>
      <c r="F1601" t="s">
        <v>3618</v>
      </c>
      <c r="G1601" s="1">
        <v>3319112.21</v>
      </c>
    </row>
    <row r="1602" spans="1:7">
      <c r="A1602" t="s">
        <v>1697</v>
      </c>
      <c r="B1602" s="6">
        <v>45990</v>
      </c>
      <c r="C1602" s="6" t="str">
        <f>TEXT(Table3[[#This Row],[transaction_date]], "yyyy-mm")</f>
        <v>2025-11</v>
      </c>
      <c r="D1602" t="s">
        <v>89</v>
      </c>
      <c r="E1602" t="s">
        <v>3637</v>
      </c>
      <c r="F1602" t="s">
        <v>3616</v>
      </c>
      <c r="G1602" s="1">
        <v>5451847.6900000004</v>
      </c>
    </row>
    <row r="1603" spans="1:7">
      <c r="A1603" t="s">
        <v>1698</v>
      </c>
      <c r="B1603" s="6">
        <v>45767</v>
      </c>
      <c r="C1603" s="6" t="str">
        <f>TEXT(Table3[[#This Row],[transaction_date]], "yyyy-mm")</f>
        <v>2025-04</v>
      </c>
      <c r="D1603" t="s">
        <v>95</v>
      </c>
      <c r="E1603" t="s">
        <v>3637</v>
      </c>
      <c r="F1603" t="s">
        <v>3616</v>
      </c>
      <c r="G1603" s="1">
        <v>8281781.9199999999</v>
      </c>
    </row>
    <row r="1604" spans="1:7">
      <c r="A1604" t="s">
        <v>1699</v>
      </c>
      <c r="B1604" s="6">
        <v>45856</v>
      </c>
      <c r="C1604" s="6" t="str">
        <f>TEXT(Table3[[#This Row],[transaction_date]], "yyyy-mm")</f>
        <v>2025-07</v>
      </c>
      <c r="D1604" t="s">
        <v>85</v>
      </c>
      <c r="E1604" t="s">
        <v>3636</v>
      </c>
      <c r="F1604" t="s">
        <v>3611</v>
      </c>
      <c r="G1604" s="1">
        <v>834344.49</v>
      </c>
    </row>
    <row r="1605" spans="1:7">
      <c r="A1605" t="s">
        <v>1700</v>
      </c>
      <c r="B1605" s="6">
        <v>45792</v>
      </c>
      <c r="C1605" s="6" t="str">
        <f>TEXT(Table3[[#This Row],[transaction_date]], "yyyy-mm")</f>
        <v>2025-05</v>
      </c>
      <c r="D1605" t="s">
        <v>93</v>
      </c>
      <c r="E1605" t="s">
        <v>3636</v>
      </c>
      <c r="F1605" t="s">
        <v>3612</v>
      </c>
      <c r="G1605" s="1">
        <v>1978437.25</v>
      </c>
    </row>
    <row r="1606" spans="1:7">
      <c r="A1606" t="s">
        <v>1701</v>
      </c>
      <c r="B1606" s="6">
        <v>45797</v>
      </c>
      <c r="C1606" s="6" t="str">
        <f>TEXT(Table3[[#This Row],[transaction_date]], "yyyy-mm")</f>
        <v>2025-05</v>
      </c>
      <c r="D1606" t="s">
        <v>80</v>
      </c>
      <c r="E1606" t="s">
        <v>3636</v>
      </c>
      <c r="F1606" t="s">
        <v>3609</v>
      </c>
      <c r="G1606" s="1">
        <v>2429288.42</v>
      </c>
    </row>
    <row r="1607" spans="1:7">
      <c r="A1607" t="s">
        <v>1702</v>
      </c>
      <c r="B1607" s="6">
        <v>45943</v>
      </c>
      <c r="C1607" s="6" t="str">
        <f>TEXT(Table3[[#This Row],[transaction_date]], "yyyy-mm")</f>
        <v>2025-10</v>
      </c>
      <c r="D1607" t="s">
        <v>93</v>
      </c>
      <c r="E1607" t="s">
        <v>3637</v>
      </c>
      <c r="F1607" t="s">
        <v>3615</v>
      </c>
      <c r="G1607" s="1">
        <v>4043917.91</v>
      </c>
    </row>
    <row r="1608" spans="1:7">
      <c r="A1608" t="s">
        <v>1703</v>
      </c>
      <c r="B1608" s="6">
        <v>45827</v>
      </c>
      <c r="C1608" s="6" t="str">
        <f>TEXT(Table3[[#This Row],[transaction_date]], "yyyy-mm")</f>
        <v>2025-06</v>
      </c>
      <c r="D1608" t="s">
        <v>73</v>
      </c>
      <c r="E1608" t="s">
        <v>3637</v>
      </c>
      <c r="F1608" t="s">
        <v>3622</v>
      </c>
      <c r="G1608" s="1">
        <v>7852335.2199999997</v>
      </c>
    </row>
    <row r="1609" spans="1:7">
      <c r="A1609" t="s">
        <v>1704</v>
      </c>
      <c r="B1609" s="6">
        <v>45970</v>
      </c>
      <c r="C1609" s="6" t="str">
        <f>TEXT(Table3[[#This Row],[transaction_date]], "yyyy-mm")</f>
        <v>2025-11</v>
      </c>
      <c r="D1609" t="s">
        <v>73</v>
      </c>
      <c r="E1609" t="s">
        <v>3637</v>
      </c>
      <c r="F1609" t="s">
        <v>3618</v>
      </c>
      <c r="G1609" s="1">
        <v>1901932.52</v>
      </c>
    </row>
    <row r="1610" spans="1:7">
      <c r="A1610" t="s">
        <v>1705</v>
      </c>
      <c r="B1610" s="6">
        <v>46014</v>
      </c>
      <c r="C1610" s="6" t="str">
        <f>TEXT(Table3[[#This Row],[transaction_date]], "yyyy-mm")</f>
        <v>2025-12</v>
      </c>
      <c r="D1610" t="s">
        <v>95</v>
      </c>
      <c r="E1610" t="s">
        <v>3637</v>
      </c>
      <c r="F1610" t="s">
        <v>3616</v>
      </c>
      <c r="G1610" s="1">
        <v>515476.46</v>
      </c>
    </row>
    <row r="1611" spans="1:7">
      <c r="A1611" t="s">
        <v>1706</v>
      </c>
      <c r="B1611" s="6">
        <v>45727</v>
      </c>
      <c r="C1611" s="6" t="str">
        <f>TEXT(Table3[[#This Row],[transaction_date]], "yyyy-mm")</f>
        <v>2025-03</v>
      </c>
      <c r="D1611" t="s">
        <v>74</v>
      </c>
      <c r="E1611" t="s">
        <v>3637</v>
      </c>
      <c r="F1611" t="s">
        <v>3619</v>
      </c>
      <c r="G1611" s="1">
        <v>1152697.44</v>
      </c>
    </row>
    <row r="1612" spans="1:7">
      <c r="A1612" t="s">
        <v>1707</v>
      </c>
      <c r="B1612" s="6">
        <v>45945</v>
      </c>
      <c r="C1612" s="6" t="str">
        <f>TEXT(Table3[[#This Row],[transaction_date]], "yyyy-mm")</f>
        <v>2025-10</v>
      </c>
      <c r="D1612" t="s">
        <v>89</v>
      </c>
      <c r="E1612" t="s">
        <v>3637</v>
      </c>
      <c r="F1612" t="s">
        <v>3616</v>
      </c>
      <c r="G1612" s="1">
        <v>3340944.77</v>
      </c>
    </row>
    <row r="1613" spans="1:7">
      <c r="A1613" t="s">
        <v>1708</v>
      </c>
      <c r="B1613" s="6">
        <v>45801</v>
      </c>
      <c r="C1613" s="6" t="str">
        <f>TEXT(Table3[[#This Row],[transaction_date]], "yyyy-mm")</f>
        <v>2025-05</v>
      </c>
      <c r="D1613" t="s">
        <v>78</v>
      </c>
      <c r="E1613" t="s">
        <v>3636</v>
      </c>
      <c r="F1613" t="s">
        <v>3604</v>
      </c>
      <c r="G1613" s="1">
        <v>1434251.18</v>
      </c>
    </row>
    <row r="1614" spans="1:7">
      <c r="A1614" t="s">
        <v>1709</v>
      </c>
      <c r="B1614" s="6">
        <v>45865</v>
      </c>
      <c r="C1614" s="6" t="str">
        <f>TEXT(Table3[[#This Row],[transaction_date]], "yyyy-mm")</f>
        <v>2025-07</v>
      </c>
      <c r="D1614" t="s">
        <v>79</v>
      </c>
      <c r="E1614" t="s">
        <v>3636</v>
      </c>
      <c r="F1614" t="s">
        <v>3604</v>
      </c>
      <c r="G1614" s="1">
        <v>4254060.1500000004</v>
      </c>
    </row>
    <row r="1615" spans="1:7">
      <c r="A1615" t="s">
        <v>1710</v>
      </c>
      <c r="B1615" s="6">
        <v>46021</v>
      </c>
      <c r="C1615" s="6" t="str">
        <f>TEXT(Table3[[#This Row],[transaction_date]], "yyyy-mm")</f>
        <v>2025-12</v>
      </c>
      <c r="D1615" t="s">
        <v>90</v>
      </c>
      <c r="E1615" t="s">
        <v>3637</v>
      </c>
      <c r="F1615" t="s">
        <v>3617</v>
      </c>
      <c r="G1615" s="1">
        <v>3112834.03</v>
      </c>
    </row>
    <row r="1616" spans="1:7">
      <c r="A1616" t="s">
        <v>1711</v>
      </c>
      <c r="B1616" s="6">
        <v>45831</v>
      </c>
      <c r="C1616" s="6" t="str">
        <f>TEXT(Table3[[#This Row],[transaction_date]], "yyyy-mm")</f>
        <v>2025-06</v>
      </c>
      <c r="D1616" t="s">
        <v>3597</v>
      </c>
      <c r="E1616" t="s">
        <v>3637</v>
      </c>
      <c r="F1616" t="s">
        <v>3618</v>
      </c>
      <c r="G1616" s="1">
        <v>8925046.3200000003</v>
      </c>
    </row>
    <row r="1617" spans="1:7">
      <c r="A1617" t="s">
        <v>1712</v>
      </c>
      <c r="B1617" s="6">
        <v>45767</v>
      </c>
      <c r="C1617" s="6" t="str">
        <f>TEXT(Table3[[#This Row],[transaction_date]], "yyyy-mm")</f>
        <v>2025-04</v>
      </c>
      <c r="D1617" t="s">
        <v>73</v>
      </c>
      <c r="E1617" t="s">
        <v>3636</v>
      </c>
      <c r="F1617" t="s">
        <v>3605</v>
      </c>
      <c r="G1617" s="1">
        <v>310578.08</v>
      </c>
    </row>
    <row r="1618" spans="1:7">
      <c r="A1618" t="s">
        <v>1713</v>
      </c>
      <c r="B1618" s="6">
        <v>45911</v>
      </c>
      <c r="C1618" s="6" t="str">
        <f>TEXT(Table3[[#This Row],[transaction_date]], "yyyy-mm")</f>
        <v>2025-09</v>
      </c>
      <c r="D1618" t="s">
        <v>75</v>
      </c>
      <c r="E1618" t="s">
        <v>3636</v>
      </c>
      <c r="F1618" t="s">
        <v>3613</v>
      </c>
      <c r="G1618" s="1">
        <v>20541851.559999999</v>
      </c>
    </row>
    <row r="1619" spans="1:7">
      <c r="A1619" t="s">
        <v>1714</v>
      </c>
      <c r="B1619" s="6">
        <v>45861</v>
      </c>
      <c r="C1619" s="6" t="str">
        <f>TEXT(Table3[[#This Row],[transaction_date]], "yyyy-mm")</f>
        <v>2025-07</v>
      </c>
      <c r="D1619" t="s">
        <v>73</v>
      </c>
      <c r="E1619" t="s">
        <v>3637</v>
      </c>
      <c r="F1619" t="s">
        <v>3619</v>
      </c>
      <c r="G1619" s="1">
        <v>4719076.04</v>
      </c>
    </row>
    <row r="1620" spans="1:7">
      <c r="A1620" t="s">
        <v>1715</v>
      </c>
      <c r="B1620" s="6">
        <v>45681</v>
      </c>
      <c r="C1620" s="6" t="str">
        <f>TEXT(Table3[[#This Row],[transaction_date]], "yyyy-mm")</f>
        <v>2025-01</v>
      </c>
      <c r="D1620" t="s">
        <v>93</v>
      </c>
      <c r="E1620" t="s">
        <v>3636</v>
      </c>
      <c r="F1620" t="s">
        <v>3612</v>
      </c>
      <c r="G1620" s="1">
        <v>5043857.21</v>
      </c>
    </row>
    <row r="1621" spans="1:7">
      <c r="A1621" t="s">
        <v>1716</v>
      </c>
      <c r="B1621" s="6">
        <v>46003</v>
      </c>
      <c r="C1621" s="6" t="str">
        <f>TEXT(Table3[[#This Row],[transaction_date]], "yyyy-mm")</f>
        <v>2025-12</v>
      </c>
      <c r="D1621" t="s">
        <v>3597</v>
      </c>
      <c r="E1621" t="s">
        <v>3637</v>
      </c>
      <c r="F1621" t="s">
        <v>3623</v>
      </c>
      <c r="G1621" s="1">
        <v>1092969.43</v>
      </c>
    </row>
    <row r="1622" spans="1:7">
      <c r="A1622" t="s">
        <v>1717</v>
      </c>
      <c r="B1622" s="6">
        <v>45674</v>
      </c>
      <c r="C1622" s="6" t="str">
        <f>TEXT(Table3[[#This Row],[transaction_date]], "yyyy-mm")</f>
        <v>2025-01</v>
      </c>
      <c r="D1622" t="s">
        <v>90</v>
      </c>
      <c r="E1622" t="s">
        <v>3637</v>
      </c>
      <c r="F1622" t="s">
        <v>3619</v>
      </c>
      <c r="G1622" s="1">
        <v>7707927.0899999999</v>
      </c>
    </row>
    <row r="1623" spans="1:7">
      <c r="A1623" t="s">
        <v>1718</v>
      </c>
      <c r="B1623" s="6">
        <v>45996</v>
      </c>
      <c r="C1623" s="6" t="str">
        <f>TEXT(Table3[[#This Row],[transaction_date]], "yyyy-mm")</f>
        <v>2025-12</v>
      </c>
      <c r="D1623" t="s">
        <v>3597</v>
      </c>
      <c r="E1623" t="s">
        <v>3637</v>
      </c>
      <c r="F1623" t="s">
        <v>3618</v>
      </c>
      <c r="G1623" s="1">
        <v>718503.48</v>
      </c>
    </row>
    <row r="1624" spans="1:7">
      <c r="A1624" t="s">
        <v>1719</v>
      </c>
      <c r="B1624" s="6">
        <v>45950</v>
      </c>
      <c r="C1624" s="6" t="str">
        <f>TEXT(Table3[[#This Row],[transaction_date]], "yyyy-mm")</f>
        <v>2025-10</v>
      </c>
      <c r="D1624" t="s">
        <v>74</v>
      </c>
      <c r="E1624" t="s">
        <v>3636</v>
      </c>
      <c r="F1624" t="s">
        <v>3611</v>
      </c>
      <c r="G1624" s="1">
        <v>1012568.05</v>
      </c>
    </row>
    <row r="1625" spans="1:7">
      <c r="A1625" t="s">
        <v>1720</v>
      </c>
      <c r="B1625" s="6">
        <v>45699</v>
      </c>
      <c r="C1625" s="6" t="str">
        <f>TEXT(Table3[[#This Row],[transaction_date]], "yyyy-mm")</f>
        <v>2025-02</v>
      </c>
      <c r="D1625" t="s">
        <v>77</v>
      </c>
      <c r="E1625" t="s">
        <v>3636</v>
      </c>
      <c r="F1625" t="s">
        <v>3606</v>
      </c>
      <c r="G1625" s="1">
        <v>106035.93</v>
      </c>
    </row>
    <row r="1626" spans="1:7">
      <c r="A1626" t="s">
        <v>1721</v>
      </c>
      <c r="B1626" s="6">
        <v>45869</v>
      </c>
      <c r="C1626" s="6" t="str">
        <f>TEXT(Table3[[#This Row],[transaction_date]], "yyyy-mm")</f>
        <v>2025-07</v>
      </c>
      <c r="D1626" t="s">
        <v>79</v>
      </c>
      <c r="E1626" t="s">
        <v>3637</v>
      </c>
      <c r="F1626" t="s">
        <v>3620</v>
      </c>
      <c r="G1626" s="1">
        <v>5791678.6699999999</v>
      </c>
    </row>
    <row r="1627" spans="1:7">
      <c r="A1627" t="s">
        <v>1722</v>
      </c>
      <c r="B1627" s="6">
        <v>45781</v>
      </c>
      <c r="C1627" s="6" t="str">
        <f>TEXT(Table3[[#This Row],[transaction_date]], "yyyy-mm")</f>
        <v>2025-05</v>
      </c>
      <c r="D1627" t="s">
        <v>75</v>
      </c>
      <c r="E1627" t="s">
        <v>3636</v>
      </c>
      <c r="F1627" t="s">
        <v>3613</v>
      </c>
      <c r="G1627" s="1">
        <v>26217542.890000001</v>
      </c>
    </row>
    <row r="1628" spans="1:7">
      <c r="A1628" t="s">
        <v>1723</v>
      </c>
      <c r="B1628" s="6">
        <v>45663</v>
      </c>
      <c r="C1628" s="6" t="str">
        <f>TEXT(Table3[[#This Row],[transaction_date]], "yyyy-mm")</f>
        <v>2025-01</v>
      </c>
      <c r="D1628" t="s">
        <v>85</v>
      </c>
      <c r="E1628" t="s">
        <v>3636</v>
      </c>
      <c r="F1628" t="s">
        <v>3612</v>
      </c>
      <c r="G1628" s="1">
        <v>376809</v>
      </c>
    </row>
    <row r="1629" spans="1:7">
      <c r="A1629" t="s">
        <v>1724</v>
      </c>
      <c r="B1629" s="6">
        <v>45814</v>
      </c>
      <c r="C1629" s="6" t="str">
        <f>TEXT(Table3[[#This Row],[transaction_date]], "yyyy-mm")</f>
        <v>2025-06</v>
      </c>
      <c r="D1629" t="s">
        <v>73</v>
      </c>
      <c r="E1629" t="s">
        <v>3637</v>
      </c>
      <c r="F1629" t="s">
        <v>3620</v>
      </c>
      <c r="G1629" s="1">
        <v>1522157.68</v>
      </c>
    </row>
    <row r="1630" spans="1:7">
      <c r="A1630" t="s">
        <v>1725</v>
      </c>
      <c r="B1630" s="6">
        <v>45961</v>
      </c>
      <c r="C1630" s="6" t="str">
        <f>TEXT(Table3[[#This Row],[transaction_date]], "yyyy-mm")</f>
        <v>2025-10</v>
      </c>
      <c r="D1630" t="s">
        <v>73</v>
      </c>
      <c r="E1630" t="s">
        <v>3637</v>
      </c>
      <c r="F1630" t="s">
        <v>3619</v>
      </c>
      <c r="G1630" s="1">
        <v>2811429.93</v>
      </c>
    </row>
    <row r="1631" spans="1:7">
      <c r="A1631" t="s">
        <v>1726</v>
      </c>
      <c r="B1631" s="6">
        <v>45977</v>
      </c>
      <c r="C1631" s="6" t="str">
        <f>TEXT(Table3[[#This Row],[transaction_date]], "yyyy-mm")</f>
        <v>2025-11</v>
      </c>
      <c r="D1631" t="s">
        <v>80</v>
      </c>
      <c r="E1631" t="s">
        <v>3637</v>
      </c>
      <c r="F1631" t="s">
        <v>3623</v>
      </c>
      <c r="G1631" s="1">
        <v>1139018.93</v>
      </c>
    </row>
    <row r="1632" spans="1:7">
      <c r="A1632" t="s">
        <v>1727</v>
      </c>
      <c r="B1632" s="6">
        <v>45971</v>
      </c>
      <c r="C1632" s="6" t="str">
        <f>TEXT(Table3[[#This Row],[transaction_date]], "yyyy-mm")</f>
        <v>2025-11</v>
      </c>
      <c r="D1632" t="s">
        <v>73</v>
      </c>
      <c r="E1632" t="s">
        <v>3637</v>
      </c>
      <c r="F1632" t="s">
        <v>3621</v>
      </c>
      <c r="G1632" s="1">
        <v>4014346.32</v>
      </c>
    </row>
    <row r="1633" spans="1:7">
      <c r="A1633" t="s">
        <v>1728</v>
      </c>
      <c r="B1633" s="6">
        <v>45944</v>
      </c>
      <c r="C1633" s="6" t="str">
        <f>TEXT(Table3[[#This Row],[transaction_date]], "yyyy-mm")</f>
        <v>2025-10</v>
      </c>
      <c r="D1633" t="s">
        <v>73</v>
      </c>
      <c r="E1633" t="s">
        <v>3637</v>
      </c>
      <c r="F1633" t="s">
        <v>3615</v>
      </c>
      <c r="G1633" s="1">
        <v>111516.84</v>
      </c>
    </row>
    <row r="1634" spans="1:7">
      <c r="A1634" t="s">
        <v>1729</v>
      </c>
      <c r="B1634" s="6">
        <v>45944</v>
      </c>
      <c r="C1634" s="6" t="str">
        <f>TEXT(Table3[[#This Row],[transaction_date]], "yyyy-mm")</f>
        <v>2025-10</v>
      </c>
      <c r="D1634" t="s">
        <v>89</v>
      </c>
      <c r="E1634" t="s">
        <v>3637</v>
      </c>
      <c r="F1634" t="s">
        <v>3614</v>
      </c>
      <c r="G1634" s="1">
        <v>4188720.02</v>
      </c>
    </row>
    <row r="1635" spans="1:7">
      <c r="A1635" t="s">
        <v>1730</v>
      </c>
      <c r="B1635" s="6">
        <v>45662</v>
      </c>
      <c r="C1635" s="6" t="str">
        <f>TEXT(Table3[[#This Row],[transaction_date]], "yyyy-mm")</f>
        <v>2025-01</v>
      </c>
      <c r="D1635" t="s">
        <v>93</v>
      </c>
      <c r="E1635" t="s">
        <v>3637</v>
      </c>
      <c r="F1635" t="s">
        <v>3620</v>
      </c>
      <c r="G1635" s="1">
        <v>161012.21</v>
      </c>
    </row>
    <row r="1636" spans="1:7">
      <c r="A1636" t="s">
        <v>1731</v>
      </c>
      <c r="B1636" s="6">
        <v>45960</v>
      </c>
      <c r="C1636" s="6" t="str">
        <f>TEXT(Table3[[#This Row],[transaction_date]], "yyyy-mm")</f>
        <v>2025-10</v>
      </c>
      <c r="D1636" t="s">
        <v>80</v>
      </c>
      <c r="E1636" t="s">
        <v>3637</v>
      </c>
      <c r="F1636" t="s">
        <v>3621</v>
      </c>
      <c r="G1636" s="1">
        <v>107241.47</v>
      </c>
    </row>
    <row r="1637" spans="1:7">
      <c r="A1637" t="s">
        <v>1732</v>
      </c>
      <c r="B1637" s="6">
        <v>45993</v>
      </c>
      <c r="C1637" s="6" t="str">
        <f>TEXT(Table3[[#This Row],[transaction_date]], "yyyy-mm")</f>
        <v>2025-12</v>
      </c>
      <c r="D1637" t="s">
        <v>3597</v>
      </c>
      <c r="E1637" t="s">
        <v>3637</v>
      </c>
      <c r="F1637" t="s">
        <v>3620</v>
      </c>
      <c r="G1637" s="1">
        <v>2305215.9300000002</v>
      </c>
    </row>
    <row r="1638" spans="1:7">
      <c r="A1638" t="s">
        <v>1733</v>
      </c>
      <c r="B1638" s="6">
        <v>45862</v>
      </c>
      <c r="C1638" s="6" t="str">
        <f>TEXT(Table3[[#This Row],[transaction_date]], "yyyy-mm")</f>
        <v>2025-07</v>
      </c>
      <c r="D1638" t="s">
        <v>77</v>
      </c>
      <c r="E1638" t="s">
        <v>3636</v>
      </c>
      <c r="F1638" t="s">
        <v>3605</v>
      </c>
      <c r="G1638" s="1">
        <v>6621763.0199999996</v>
      </c>
    </row>
    <row r="1639" spans="1:7">
      <c r="A1639" t="s">
        <v>1734</v>
      </c>
      <c r="B1639" s="6">
        <v>45688</v>
      </c>
      <c r="C1639" s="6" t="str">
        <f>TEXT(Table3[[#This Row],[transaction_date]], "yyyy-mm")</f>
        <v>2025-01</v>
      </c>
      <c r="D1639" t="s">
        <v>75</v>
      </c>
      <c r="E1639" t="s">
        <v>3637</v>
      </c>
      <c r="F1639" t="s">
        <v>3615</v>
      </c>
      <c r="G1639" s="1">
        <v>16414628.83</v>
      </c>
    </row>
    <row r="1640" spans="1:7">
      <c r="A1640" t="s">
        <v>1735</v>
      </c>
      <c r="B1640" s="6">
        <v>45820</v>
      </c>
      <c r="C1640" s="6" t="str">
        <f>TEXT(Table3[[#This Row],[transaction_date]], "yyyy-mm")</f>
        <v>2025-06</v>
      </c>
      <c r="D1640" t="s">
        <v>95</v>
      </c>
      <c r="E1640" t="s">
        <v>3636</v>
      </c>
      <c r="F1640" t="s">
        <v>3609</v>
      </c>
      <c r="G1640" s="1">
        <v>3970477.26</v>
      </c>
    </row>
    <row r="1641" spans="1:7">
      <c r="A1641" t="s">
        <v>1736</v>
      </c>
      <c r="B1641" s="6">
        <v>46005</v>
      </c>
      <c r="C1641" s="6" t="str">
        <f>TEXT(Table3[[#This Row],[transaction_date]], "yyyy-mm")</f>
        <v>2025-12</v>
      </c>
      <c r="D1641" t="s">
        <v>89</v>
      </c>
      <c r="E1641" t="s">
        <v>3636</v>
      </c>
      <c r="F1641" t="s">
        <v>3609</v>
      </c>
      <c r="G1641" s="1">
        <v>290220.43</v>
      </c>
    </row>
    <row r="1642" spans="1:7">
      <c r="A1642" t="s">
        <v>1737</v>
      </c>
      <c r="B1642" s="6">
        <v>45677</v>
      </c>
      <c r="C1642" s="6" t="str">
        <f>TEXT(Table3[[#This Row],[transaction_date]], "yyyy-mm")</f>
        <v>2025-01</v>
      </c>
      <c r="D1642" t="s">
        <v>79</v>
      </c>
      <c r="E1642" t="s">
        <v>3636</v>
      </c>
      <c r="F1642" t="s">
        <v>3613</v>
      </c>
      <c r="G1642" s="1">
        <v>702592.13</v>
      </c>
    </row>
    <row r="1643" spans="1:7">
      <c r="A1643" t="s">
        <v>1738</v>
      </c>
      <c r="B1643" s="6">
        <v>45885</v>
      </c>
      <c r="C1643" s="6" t="str">
        <f>TEXT(Table3[[#This Row],[transaction_date]], "yyyy-mm")</f>
        <v>2025-08</v>
      </c>
      <c r="D1643" t="s">
        <v>84</v>
      </c>
      <c r="E1643" t="s">
        <v>3636</v>
      </c>
      <c r="F1643" t="s">
        <v>3606</v>
      </c>
      <c r="G1643" s="1">
        <v>13440842.220000001</v>
      </c>
    </row>
    <row r="1644" spans="1:7">
      <c r="A1644" t="s">
        <v>1739</v>
      </c>
      <c r="B1644" s="6">
        <v>45723</v>
      </c>
      <c r="C1644" s="6" t="str">
        <f>TEXT(Table3[[#This Row],[transaction_date]], "yyyy-mm")</f>
        <v>2025-03</v>
      </c>
      <c r="D1644" t="s">
        <v>73</v>
      </c>
      <c r="E1644" t="s">
        <v>3637</v>
      </c>
      <c r="F1644" t="s">
        <v>3618</v>
      </c>
      <c r="G1644" s="1">
        <v>5865793.71</v>
      </c>
    </row>
    <row r="1645" spans="1:7">
      <c r="A1645" t="s">
        <v>1740</v>
      </c>
      <c r="B1645" s="6">
        <v>45932</v>
      </c>
      <c r="C1645" s="6" t="str">
        <f>TEXT(Table3[[#This Row],[transaction_date]], "yyyy-mm")</f>
        <v>2025-10</v>
      </c>
      <c r="D1645" t="s">
        <v>3597</v>
      </c>
      <c r="E1645" t="s">
        <v>3637</v>
      </c>
      <c r="F1645" t="s">
        <v>3621</v>
      </c>
      <c r="G1645" s="1">
        <v>4227719.1500000004</v>
      </c>
    </row>
    <row r="1646" spans="1:7">
      <c r="A1646" t="s">
        <v>1741</v>
      </c>
      <c r="B1646" s="6">
        <v>45889</v>
      </c>
      <c r="C1646" s="6" t="str">
        <f>TEXT(Table3[[#This Row],[transaction_date]], "yyyy-mm")</f>
        <v>2025-08</v>
      </c>
      <c r="D1646" t="s">
        <v>84</v>
      </c>
      <c r="E1646" t="s">
        <v>3636</v>
      </c>
      <c r="F1646" t="s">
        <v>3610</v>
      </c>
      <c r="G1646" s="1">
        <v>32348514.469999999</v>
      </c>
    </row>
    <row r="1647" spans="1:7">
      <c r="A1647" t="s">
        <v>1742</v>
      </c>
      <c r="B1647" s="6">
        <v>45661</v>
      </c>
      <c r="C1647" s="6" t="str">
        <f>TEXT(Table3[[#This Row],[transaction_date]], "yyyy-mm")</f>
        <v>2025-01</v>
      </c>
      <c r="D1647" t="s">
        <v>90</v>
      </c>
      <c r="E1647" t="s">
        <v>3636</v>
      </c>
      <c r="F1647" t="s">
        <v>3607</v>
      </c>
      <c r="G1647" s="1">
        <v>21836171.309999999</v>
      </c>
    </row>
    <row r="1648" spans="1:7">
      <c r="A1648" t="s">
        <v>1743</v>
      </c>
      <c r="B1648" s="6">
        <v>45905</v>
      </c>
      <c r="C1648" s="6" t="str">
        <f>TEXT(Table3[[#This Row],[transaction_date]], "yyyy-mm")</f>
        <v>2025-09</v>
      </c>
      <c r="D1648" t="s">
        <v>78</v>
      </c>
      <c r="E1648" t="s">
        <v>3636</v>
      </c>
      <c r="F1648" t="s">
        <v>3608</v>
      </c>
      <c r="G1648" s="1">
        <v>364160.43</v>
      </c>
    </row>
    <row r="1649" spans="1:7">
      <c r="A1649" t="s">
        <v>1744</v>
      </c>
      <c r="B1649" s="6">
        <v>45800</v>
      </c>
      <c r="C1649" s="6" t="str">
        <f>TEXT(Table3[[#This Row],[transaction_date]], "yyyy-mm")</f>
        <v>2025-05</v>
      </c>
      <c r="D1649" t="s">
        <v>77</v>
      </c>
      <c r="E1649" t="s">
        <v>3637</v>
      </c>
      <c r="F1649" t="s">
        <v>3618</v>
      </c>
      <c r="G1649" s="1">
        <v>12047902.970000001</v>
      </c>
    </row>
    <row r="1650" spans="1:7">
      <c r="A1650" t="s">
        <v>1745</v>
      </c>
      <c r="B1650" s="6">
        <v>46008</v>
      </c>
      <c r="C1650" s="6" t="str">
        <f>TEXT(Table3[[#This Row],[transaction_date]], "yyyy-mm")</f>
        <v>2025-12</v>
      </c>
      <c r="D1650" t="s">
        <v>76</v>
      </c>
      <c r="E1650" t="s">
        <v>3636</v>
      </c>
      <c r="F1650" t="s">
        <v>3612</v>
      </c>
      <c r="G1650" s="1">
        <v>15500236.18</v>
      </c>
    </row>
    <row r="1651" spans="1:7">
      <c r="A1651" t="s">
        <v>1746</v>
      </c>
      <c r="B1651" s="6">
        <v>45781</v>
      </c>
      <c r="C1651" s="6" t="str">
        <f>TEXT(Table3[[#This Row],[transaction_date]], "yyyy-mm")</f>
        <v>2025-05</v>
      </c>
      <c r="D1651" t="s">
        <v>93</v>
      </c>
      <c r="E1651" t="s">
        <v>3637</v>
      </c>
      <c r="F1651" t="s">
        <v>3615</v>
      </c>
      <c r="G1651" s="1">
        <v>2797255.78</v>
      </c>
    </row>
    <row r="1652" spans="1:7">
      <c r="A1652" t="s">
        <v>1747</v>
      </c>
      <c r="B1652" s="6">
        <v>45726</v>
      </c>
      <c r="C1652" s="6" t="str">
        <f>TEXT(Table3[[#This Row],[transaction_date]], "yyyy-mm")</f>
        <v>2025-03</v>
      </c>
      <c r="D1652" t="s">
        <v>84</v>
      </c>
      <c r="E1652" t="s">
        <v>3637</v>
      </c>
      <c r="F1652" t="s">
        <v>3616</v>
      </c>
      <c r="G1652" s="1">
        <v>18431982.850000001</v>
      </c>
    </row>
    <row r="1653" spans="1:7">
      <c r="A1653" t="s">
        <v>1748</v>
      </c>
      <c r="B1653" s="6">
        <v>45916</v>
      </c>
      <c r="C1653" s="6" t="str">
        <f>TEXT(Table3[[#This Row],[transaction_date]], "yyyy-mm")</f>
        <v>2025-09</v>
      </c>
      <c r="D1653" t="s">
        <v>80</v>
      </c>
      <c r="E1653" t="s">
        <v>3636</v>
      </c>
      <c r="F1653" t="s">
        <v>3610</v>
      </c>
      <c r="G1653" s="1">
        <v>583276.97</v>
      </c>
    </row>
    <row r="1654" spans="1:7">
      <c r="A1654" t="s">
        <v>1749</v>
      </c>
      <c r="B1654" s="6">
        <v>45911</v>
      </c>
      <c r="C1654" s="6" t="str">
        <f>TEXT(Table3[[#This Row],[transaction_date]], "yyyy-mm")</f>
        <v>2025-09</v>
      </c>
      <c r="D1654" t="s">
        <v>93</v>
      </c>
      <c r="E1654" t="s">
        <v>3636</v>
      </c>
      <c r="F1654" t="s">
        <v>3604</v>
      </c>
      <c r="G1654" s="1">
        <v>3303652.64</v>
      </c>
    </row>
    <row r="1655" spans="1:7">
      <c r="A1655" t="s">
        <v>1750</v>
      </c>
      <c r="B1655" s="6">
        <v>45791</v>
      </c>
      <c r="C1655" s="6" t="str">
        <f>TEXT(Table3[[#This Row],[transaction_date]], "yyyy-mm")</f>
        <v>2025-05</v>
      </c>
      <c r="D1655" t="s">
        <v>78</v>
      </c>
      <c r="E1655" t="s">
        <v>3637</v>
      </c>
      <c r="F1655" t="s">
        <v>3620</v>
      </c>
      <c r="G1655" s="1">
        <v>2086724.57</v>
      </c>
    </row>
    <row r="1656" spans="1:7">
      <c r="A1656" t="s">
        <v>1751</v>
      </c>
      <c r="B1656" s="6">
        <v>45898</v>
      </c>
      <c r="C1656" s="6" t="str">
        <f>TEXT(Table3[[#This Row],[transaction_date]], "yyyy-mm")</f>
        <v>2025-08</v>
      </c>
      <c r="D1656" t="s">
        <v>93</v>
      </c>
      <c r="E1656" t="s">
        <v>3636</v>
      </c>
      <c r="F1656" t="s">
        <v>3609</v>
      </c>
      <c r="G1656" s="1">
        <v>1557396.27</v>
      </c>
    </row>
    <row r="1657" spans="1:7">
      <c r="A1657" t="s">
        <v>1752</v>
      </c>
      <c r="B1657" s="6">
        <v>46015</v>
      </c>
      <c r="C1657" s="6" t="str">
        <f>TEXT(Table3[[#This Row],[transaction_date]], "yyyy-mm")</f>
        <v>2025-12</v>
      </c>
      <c r="D1657" t="s">
        <v>85</v>
      </c>
      <c r="E1657" t="s">
        <v>3636</v>
      </c>
      <c r="F1657" t="s">
        <v>3606</v>
      </c>
      <c r="G1657" s="1">
        <v>238515.77</v>
      </c>
    </row>
    <row r="1658" spans="1:7">
      <c r="A1658" t="s">
        <v>1753</v>
      </c>
      <c r="B1658" s="6">
        <v>45939</v>
      </c>
      <c r="C1658" s="6" t="str">
        <f>TEXT(Table3[[#This Row],[transaction_date]], "yyyy-mm")</f>
        <v>2025-10</v>
      </c>
      <c r="D1658" t="s">
        <v>73</v>
      </c>
      <c r="E1658" t="s">
        <v>3636</v>
      </c>
      <c r="F1658" t="s">
        <v>3611</v>
      </c>
      <c r="G1658" s="1">
        <v>132076.15</v>
      </c>
    </row>
    <row r="1659" spans="1:7">
      <c r="A1659" t="s">
        <v>1754</v>
      </c>
      <c r="B1659" s="6">
        <v>45781</v>
      </c>
      <c r="C1659" s="6" t="str">
        <f>TEXT(Table3[[#This Row],[transaction_date]], "yyyy-mm")</f>
        <v>2025-05</v>
      </c>
      <c r="D1659" t="s">
        <v>95</v>
      </c>
      <c r="E1659" t="s">
        <v>3636</v>
      </c>
      <c r="F1659" t="s">
        <v>3609</v>
      </c>
      <c r="G1659" s="1">
        <v>2450721.44</v>
      </c>
    </row>
    <row r="1660" spans="1:7">
      <c r="A1660" t="s">
        <v>1755</v>
      </c>
      <c r="B1660" s="6">
        <v>45923</v>
      </c>
      <c r="C1660" s="6" t="str">
        <f>TEXT(Table3[[#This Row],[transaction_date]], "yyyy-mm")</f>
        <v>2025-09</v>
      </c>
      <c r="D1660" t="s">
        <v>73</v>
      </c>
      <c r="E1660" t="s">
        <v>3637</v>
      </c>
      <c r="F1660" t="s">
        <v>3622</v>
      </c>
      <c r="G1660" s="1">
        <v>7505552.79</v>
      </c>
    </row>
    <row r="1661" spans="1:7">
      <c r="A1661" t="s">
        <v>1756</v>
      </c>
      <c r="B1661" s="6">
        <v>45878</v>
      </c>
      <c r="C1661" s="6" t="str">
        <f>TEXT(Table3[[#This Row],[transaction_date]], "yyyy-mm")</f>
        <v>2025-08</v>
      </c>
      <c r="D1661" t="s">
        <v>73</v>
      </c>
      <c r="E1661" t="s">
        <v>3636</v>
      </c>
      <c r="F1661" t="s">
        <v>3610</v>
      </c>
      <c r="G1661" s="1">
        <v>98079.29</v>
      </c>
    </row>
    <row r="1662" spans="1:7">
      <c r="A1662" t="s">
        <v>1757</v>
      </c>
      <c r="B1662" s="6">
        <v>45892</v>
      </c>
      <c r="C1662" s="6" t="str">
        <f>TEXT(Table3[[#This Row],[transaction_date]], "yyyy-mm")</f>
        <v>2025-08</v>
      </c>
      <c r="D1662" t="s">
        <v>73</v>
      </c>
      <c r="E1662" t="s">
        <v>3636</v>
      </c>
      <c r="F1662" t="s">
        <v>3605</v>
      </c>
      <c r="G1662" s="1">
        <v>1367789.52</v>
      </c>
    </row>
    <row r="1663" spans="1:7">
      <c r="A1663" t="s">
        <v>1758</v>
      </c>
      <c r="B1663" s="6">
        <v>45913</v>
      </c>
      <c r="C1663" s="6" t="str">
        <f>TEXT(Table3[[#This Row],[transaction_date]], "yyyy-mm")</f>
        <v>2025-09</v>
      </c>
      <c r="D1663" t="s">
        <v>78</v>
      </c>
      <c r="E1663" t="s">
        <v>3636</v>
      </c>
      <c r="F1663" t="s">
        <v>3608</v>
      </c>
      <c r="G1663" s="1">
        <v>437953.02</v>
      </c>
    </row>
    <row r="1664" spans="1:7">
      <c r="A1664" t="s">
        <v>1759</v>
      </c>
      <c r="B1664" s="6">
        <v>45813</v>
      </c>
      <c r="C1664" s="6" t="str">
        <f>TEXT(Table3[[#This Row],[transaction_date]], "yyyy-mm")</f>
        <v>2025-06</v>
      </c>
      <c r="D1664" t="s">
        <v>80</v>
      </c>
      <c r="E1664" t="s">
        <v>3636</v>
      </c>
      <c r="F1664" t="s">
        <v>3605</v>
      </c>
      <c r="G1664" s="1">
        <v>1878883.83</v>
      </c>
    </row>
    <row r="1665" spans="1:7">
      <c r="A1665" t="s">
        <v>1760</v>
      </c>
      <c r="B1665" s="6">
        <v>45861</v>
      </c>
      <c r="C1665" s="6" t="str">
        <f>TEXT(Table3[[#This Row],[transaction_date]], "yyyy-mm")</f>
        <v>2025-07</v>
      </c>
      <c r="D1665" t="s">
        <v>82</v>
      </c>
      <c r="E1665" t="s">
        <v>3637</v>
      </c>
      <c r="F1665" t="s">
        <v>3618</v>
      </c>
      <c r="G1665" s="1">
        <v>9340851.5999999996</v>
      </c>
    </row>
    <row r="1666" spans="1:7">
      <c r="A1666" t="s">
        <v>1761</v>
      </c>
      <c r="B1666" s="6">
        <v>45931</v>
      </c>
      <c r="C1666" s="6" t="str">
        <f>TEXT(Table3[[#This Row],[transaction_date]], "yyyy-mm")</f>
        <v>2025-10</v>
      </c>
      <c r="D1666" t="s">
        <v>85</v>
      </c>
      <c r="E1666" t="s">
        <v>3637</v>
      </c>
      <c r="F1666" t="s">
        <v>3619</v>
      </c>
      <c r="G1666" s="1">
        <v>2016965.51</v>
      </c>
    </row>
    <row r="1667" spans="1:7">
      <c r="A1667" t="s">
        <v>1762</v>
      </c>
      <c r="B1667" s="6">
        <v>45738</v>
      </c>
      <c r="C1667" s="6" t="str">
        <f>TEXT(Table3[[#This Row],[transaction_date]], "yyyy-mm")</f>
        <v>2025-03</v>
      </c>
      <c r="D1667" t="s">
        <v>74</v>
      </c>
      <c r="E1667" t="s">
        <v>3636</v>
      </c>
      <c r="F1667" t="s">
        <v>3606</v>
      </c>
      <c r="G1667" s="1">
        <v>1244259.57</v>
      </c>
    </row>
    <row r="1668" spans="1:7">
      <c r="A1668" t="s">
        <v>1763</v>
      </c>
      <c r="B1668" s="6">
        <v>46022</v>
      </c>
      <c r="C1668" s="6" t="str">
        <f>TEXT(Table3[[#This Row],[transaction_date]], "yyyy-mm")</f>
        <v>2025-12</v>
      </c>
      <c r="D1668" t="s">
        <v>82</v>
      </c>
      <c r="E1668" t="s">
        <v>3636</v>
      </c>
      <c r="F1668" t="s">
        <v>3611</v>
      </c>
      <c r="G1668" s="1">
        <v>15641725.67</v>
      </c>
    </row>
    <row r="1669" spans="1:7">
      <c r="A1669" t="s">
        <v>1764</v>
      </c>
      <c r="B1669" s="6">
        <v>45703</v>
      </c>
      <c r="C1669" s="6" t="str">
        <f>TEXT(Table3[[#This Row],[transaction_date]], "yyyy-mm")</f>
        <v>2025-02</v>
      </c>
      <c r="D1669" t="s">
        <v>77</v>
      </c>
      <c r="E1669" t="s">
        <v>3636</v>
      </c>
      <c r="F1669" t="s">
        <v>3610</v>
      </c>
      <c r="G1669" s="1">
        <v>358658.02</v>
      </c>
    </row>
    <row r="1670" spans="1:7">
      <c r="A1670" t="s">
        <v>1765</v>
      </c>
      <c r="B1670" s="6">
        <v>45791</v>
      </c>
      <c r="C1670" s="6" t="str">
        <f>TEXT(Table3[[#This Row],[transaction_date]], "yyyy-mm")</f>
        <v>2025-05</v>
      </c>
      <c r="D1670" t="s">
        <v>76</v>
      </c>
      <c r="E1670" t="s">
        <v>3637</v>
      </c>
      <c r="F1670" t="s">
        <v>3618</v>
      </c>
      <c r="G1670" s="1">
        <v>6541388.5899999999</v>
      </c>
    </row>
    <row r="1671" spans="1:7">
      <c r="A1671" t="s">
        <v>1766</v>
      </c>
      <c r="B1671" s="6">
        <v>45688</v>
      </c>
      <c r="C1671" s="6" t="str">
        <f>TEXT(Table3[[#This Row],[transaction_date]], "yyyy-mm")</f>
        <v>2025-01</v>
      </c>
      <c r="D1671" t="s">
        <v>93</v>
      </c>
      <c r="E1671" t="s">
        <v>3636</v>
      </c>
      <c r="F1671" t="s">
        <v>3609</v>
      </c>
      <c r="G1671" s="1">
        <v>4458994.2300000004</v>
      </c>
    </row>
    <row r="1672" spans="1:7">
      <c r="A1672" t="s">
        <v>1767</v>
      </c>
      <c r="B1672" s="6">
        <v>45916</v>
      </c>
      <c r="C1672" s="6" t="str">
        <f>TEXT(Table3[[#This Row],[transaction_date]], "yyyy-mm")</f>
        <v>2025-09</v>
      </c>
      <c r="D1672" t="s">
        <v>84</v>
      </c>
      <c r="E1672" t="s">
        <v>3637</v>
      </c>
      <c r="F1672" t="s">
        <v>3615</v>
      </c>
      <c r="G1672" s="1">
        <v>8368922.0899999999</v>
      </c>
    </row>
    <row r="1673" spans="1:7">
      <c r="A1673" t="s">
        <v>1768</v>
      </c>
      <c r="B1673" s="6">
        <v>45697</v>
      </c>
      <c r="C1673" s="6" t="str">
        <f>TEXT(Table3[[#This Row],[transaction_date]], "yyyy-mm")</f>
        <v>2025-02</v>
      </c>
      <c r="D1673" t="s">
        <v>90</v>
      </c>
      <c r="E1673" t="s">
        <v>3637</v>
      </c>
      <c r="F1673" t="s">
        <v>3622</v>
      </c>
      <c r="G1673" s="1">
        <v>1146665.75</v>
      </c>
    </row>
    <row r="1674" spans="1:7">
      <c r="A1674" t="s">
        <v>1769</v>
      </c>
      <c r="B1674" s="6">
        <v>45815</v>
      </c>
      <c r="C1674" s="6" t="str">
        <f>TEXT(Table3[[#This Row],[transaction_date]], "yyyy-mm")</f>
        <v>2025-06</v>
      </c>
      <c r="D1674" t="s">
        <v>79</v>
      </c>
      <c r="E1674" t="s">
        <v>3637</v>
      </c>
      <c r="F1674" t="s">
        <v>3622</v>
      </c>
      <c r="G1674" s="1">
        <v>5663516.4299999997</v>
      </c>
    </row>
    <row r="1675" spans="1:7">
      <c r="A1675" t="s">
        <v>1770</v>
      </c>
      <c r="B1675" s="6">
        <v>45891</v>
      </c>
      <c r="C1675" s="6" t="str">
        <f>TEXT(Table3[[#This Row],[transaction_date]], "yyyy-mm")</f>
        <v>2025-08</v>
      </c>
      <c r="D1675" t="s">
        <v>75</v>
      </c>
      <c r="E1675" t="s">
        <v>3636</v>
      </c>
      <c r="F1675" t="s">
        <v>3613</v>
      </c>
      <c r="G1675" s="1">
        <v>22443625.93</v>
      </c>
    </row>
    <row r="1676" spans="1:7">
      <c r="A1676" t="s">
        <v>1771</v>
      </c>
      <c r="B1676" s="6">
        <v>45876</v>
      </c>
      <c r="C1676" s="6" t="str">
        <f>TEXT(Table3[[#This Row],[transaction_date]], "yyyy-mm")</f>
        <v>2025-08</v>
      </c>
      <c r="D1676" t="s">
        <v>84</v>
      </c>
      <c r="E1676" t="s">
        <v>3637</v>
      </c>
      <c r="F1676" t="s">
        <v>3621</v>
      </c>
      <c r="G1676" s="1">
        <v>15988233.59</v>
      </c>
    </row>
    <row r="1677" spans="1:7">
      <c r="A1677" t="s">
        <v>1772</v>
      </c>
      <c r="B1677" s="6">
        <v>45690</v>
      </c>
      <c r="C1677" s="6" t="str">
        <f>TEXT(Table3[[#This Row],[transaction_date]], "yyyy-mm")</f>
        <v>2025-02</v>
      </c>
      <c r="D1677" t="s">
        <v>74</v>
      </c>
      <c r="E1677" t="s">
        <v>3636</v>
      </c>
      <c r="F1677" t="s">
        <v>3607</v>
      </c>
      <c r="G1677" s="1">
        <v>200697.47</v>
      </c>
    </row>
    <row r="1678" spans="1:7">
      <c r="A1678" t="s">
        <v>1773</v>
      </c>
      <c r="B1678" s="6">
        <v>45897</v>
      </c>
      <c r="C1678" s="6" t="str">
        <f>TEXT(Table3[[#This Row],[transaction_date]], "yyyy-mm")</f>
        <v>2025-08</v>
      </c>
      <c r="D1678" t="s">
        <v>93</v>
      </c>
      <c r="E1678" t="s">
        <v>3636</v>
      </c>
      <c r="F1678" t="s">
        <v>3609</v>
      </c>
      <c r="G1678" s="1">
        <v>2708712.1</v>
      </c>
    </row>
    <row r="1679" spans="1:7">
      <c r="A1679" t="s">
        <v>1774</v>
      </c>
      <c r="B1679" s="6">
        <v>45940</v>
      </c>
      <c r="C1679" s="6" t="str">
        <f>TEXT(Table3[[#This Row],[transaction_date]], "yyyy-mm")</f>
        <v>2025-10</v>
      </c>
      <c r="D1679" t="s">
        <v>84</v>
      </c>
      <c r="E1679" t="s">
        <v>3636</v>
      </c>
      <c r="F1679" t="s">
        <v>3604</v>
      </c>
      <c r="G1679" s="1">
        <v>2730689.11</v>
      </c>
    </row>
    <row r="1680" spans="1:7">
      <c r="A1680" t="s">
        <v>1775</v>
      </c>
      <c r="B1680" s="6">
        <v>45751</v>
      </c>
      <c r="C1680" s="6" t="str">
        <f>TEXT(Table3[[#This Row],[transaction_date]], "yyyy-mm")</f>
        <v>2025-04</v>
      </c>
      <c r="D1680" t="s">
        <v>95</v>
      </c>
      <c r="E1680" t="s">
        <v>3636</v>
      </c>
      <c r="F1680" t="s">
        <v>3613</v>
      </c>
      <c r="G1680" s="1">
        <v>3450158.99</v>
      </c>
    </row>
    <row r="1681" spans="1:7">
      <c r="A1681" t="s">
        <v>1776</v>
      </c>
      <c r="B1681" s="6">
        <v>45725</v>
      </c>
      <c r="C1681" s="6" t="str">
        <f>TEXT(Table3[[#This Row],[transaction_date]], "yyyy-mm")</f>
        <v>2025-03</v>
      </c>
      <c r="D1681" t="s">
        <v>93</v>
      </c>
      <c r="E1681" t="s">
        <v>3637</v>
      </c>
      <c r="F1681" t="s">
        <v>3614</v>
      </c>
      <c r="G1681" s="1">
        <v>10805873.970000001</v>
      </c>
    </row>
    <row r="1682" spans="1:7">
      <c r="A1682" t="s">
        <v>1777</v>
      </c>
      <c r="B1682" s="6">
        <v>45817</v>
      </c>
      <c r="C1682" s="6" t="str">
        <f>TEXT(Table3[[#This Row],[transaction_date]], "yyyy-mm")</f>
        <v>2025-06</v>
      </c>
      <c r="D1682" t="s">
        <v>73</v>
      </c>
      <c r="E1682" t="s">
        <v>3636</v>
      </c>
      <c r="F1682" t="s">
        <v>3604</v>
      </c>
      <c r="G1682" s="1">
        <v>874799.31</v>
      </c>
    </row>
    <row r="1683" spans="1:7">
      <c r="A1683" t="s">
        <v>1778</v>
      </c>
      <c r="B1683" s="6">
        <v>45999</v>
      </c>
      <c r="C1683" s="6" t="str">
        <f>TEXT(Table3[[#This Row],[transaction_date]], "yyyy-mm")</f>
        <v>2025-12</v>
      </c>
      <c r="D1683" t="s">
        <v>73</v>
      </c>
      <c r="E1683" t="s">
        <v>3637</v>
      </c>
      <c r="F1683" t="s">
        <v>3619</v>
      </c>
      <c r="G1683" s="1">
        <v>4670251.95</v>
      </c>
    </row>
    <row r="1684" spans="1:7">
      <c r="A1684" t="s">
        <v>1779</v>
      </c>
      <c r="B1684" s="6">
        <v>45878</v>
      </c>
      <c r="C1684" s="6" t="str">
        <f>TEXT(Table3[[#This Row],[transaction_date]], "yyyy-mm")</f>
        <v>2025-08</v>
      </c>
      <c r="D1684" t="s">
        <v>75</v>
      </c>
      <c r="E1684" t="s">
        <v>3637</v>
      </c>
      <c r="F1684" t="s">
        <v>3617</v>
      </c>
      <c r="G1684" s="1">
        <v>10014598.460000001</v>
      </c>
    </row>
    <row r="1685" spans="1:7">
      <c r="A1685" t="s">
        <v>1780</v>
      </c>
      <c r="B1685" s="6">
        <v>45979</v>
      </c>
      <c r="C1685" s="6" t="str">
        <f>TEXT(Table3[[#This Row],[transaction_date]], "yyyy-mm")</f>
        <v>2025-11</v>
      </c>
      <c r="D1685" t="s">
        <v>78</v>
      </c>
      <c r="E1685" t="s">
        <v>3637</v>
      </c>
      <c r="F1685" t="s">
        <v>3614</v>
      </c>
      <c r="G1685" s="1">
        <v>262099.5</v>
      </c>
    </row>
    <row r="1686" spans="1:7">
      <c r="A1686" t="s">
        <v>1781</v>
      </c>
      <c r="B1686" s="6">
        <v>45675</v>
      </c>
      <c r="C1686" s="6" t="str">
        <f>TEXT(Table3[[#This Row],[transaction_date]], "yyyy-mm")</f>
        <v>2025-01</v>
      </c>
      <c r="D1686" t="s">
        <v>75</v>
      </c>
      <c r="E1686" t="s">
        <v>3637</v>
      </c>
      <c r="F1686" t="s">
        <v>3621</v>
      </c>
      <c r="G1686" s="1">
        <v>15258857.74</v>
      </c>
    </row>
    <row r="1687" spans="1:7">
      <c r="A1687" t="s">
        <v>1782</v>
      </c>
      <c r="B1687" s="6">
        <v>45839</v>
      </c>
      <c r="C1687" s="6" t="str">
        <f>TEXT(Table3[[#This Row],[transaction_date]], "yyyy-mm")</f>
        <v>2025-07</v>
      </c>
      <c r="D1687" t="s">
        <v>89</v>
      </c>
      <c r="E1687" t="s">
        <v>3637</v>
      </c>
      <c r="F1687" t="s">
        <v>3620</v>
      </c>
      <c r="G1687" s="1">
        <v>34933.449999999997</v>
      </c>
    </row>
    <row r="1688" spans="1:7">
      <c r="A1688" t="s">
        <v>1783</v>
      </c>
      <c r="B1688" s="6">
        <v>45876</v>
      </c>
      <c r="C1688" s="6" t="str">
        <f>TEXT(Table3[[#This Row],[transaction_date]], "yyyy-mm")</f>
        <v>2025-08</v>
      </c>
      <c r="D1688" t="s">
        <v>73</v>
      </c>
      <c r="E1688" t="s">
        <v>3636</v>
      </c>
      <c r="F1688" t="s">
        <v>3605</v>
      </c>
      <c r="G1688" s="1">
        <v>514137.78</v>
      </c>
    </row>
    <row r="1689" spans="1:7">
      <c r="A1689" t="s">
        <v>1784</v>
      </c>
      <c r="B1689" s="6">
        <v>45822</v>
      </c>
      <c r="C1689" s="6" t="str">
        <f>TEXT(Table3[[#This Row],[transaction_date]], "yyyy-mm")</f>
        <v>2025-06</v>
      </c>
      <c r="D1689" t="s">
        <v>73</v>
      </c>
      <c r="E1689" t="s">
        <v>3636</v>
      </c>
      <c r="F1689" t="s">
        <v>3610</v>
      </c>
      <c r="G1689" s="1">
        <v>2213985.66</v>
      </c>
    </row>
    <row r="1690" spans="1:7">
      <c r="A1690" t="s">
        <v>1785</v>
      </c>
      <c r="B1690" s="6">
        <v>46004</v>
      </c>
      <c r="C1690" s="6" t="str">
        <f>TEXT(Table3[[#This Row],[transaction_date]], "yyyy-mm")</f>
        <v>2025-12</v>
      </c>
      <c r="D1690" t="s">
        <v>79</v>
      </c>
      <c r="E1690" t="s">
        <v>3636</v>
      </c>
      <c r="F1690" t="s">
        <v>3613</v>
      </c>
      <c r="G1690" s="1">
        <v>247265.89</v>
      </c>
    </row>
    <row r="1691" spans="1:7">
      <c r="A1691" t="s">
        <v>1786</v>
      </c>
      <c r="B1691" s="6">
        <v>45774</v>
      </c>
      <c r="C1691" s="6" t="str">
        <f>TEXT(Table3[[#This Row],[transaction_date]], "yyyy-mm")</f>
        <v>2025-04</v>
      </c>
      <c r="D1691" t="s">
        <v>85</v>
      </c>
      <c r="E1691" t="s">
        <v>3636</v>
      </c>
      <c r="F1691" t="s">
        <v>3611</v>
      </c>
      <c r="G1691" s="1">
        <v>47347.72</v>
      </c>
    </row>
    <row r="1692" spans="1:7">
      <c r="A1692" t="s">
        <v>1787</v>
      </c>
      <c r="B1692" s="6">
        <v>45994</v>
      </c>
      <c r="C1692" s="6" t="str">
        <f>TEXT(Table3[[#This Row],[transaction_date]], "yyyy-mm")</f>
        <v>2025-12</v>
      </c>
      <c r="D1692" t="s">
        <v>76</v>
      </c>
      <c r="E1692" t="s">
        <v>3637</v>
      </c>
      <c r="F1692" t="s">
        <v>3617</v>
      </c>
      <c r="G1692" s="1">
        <v>1673600.73</v>
      </c>
    </row>
    <row r="1693" spans="1:7">
      <c r="A1693" t="s">
        <v>1788</v>
      </c>
      <c r="B1693" s="6">
        <v>45993</v>
      </c>
      <c r="C1693" s="6" t="str">
        <f>TEXT(Table3[[#This Row],[transaction_date]], "yyyy-mm")</f>
        <v>2025-12</v>
      </c>
      <c r="D1693" t="s">
        <v>75</v>
      </c>
      <c r="E1693" t="s">
        <v>3637</v>
      </c>
      <c r="F1693" t="s">
        <v>3618</v>
      </c>
      <c r="G1693" s="1">
        <v>190806.87</v>
      </c>
    </row>
    <row r="1694" spans="1:7">
      <c r="A1694" t="s">
        <v>1789</v>
      </c>
      <c r="B1694" s="6">
        <v>45964</v>
      </c>
      <c r="C1694" s="6" t="str">
        <f>TEXT(Table3[[#This Row],[transaction_date]], "yyyy-mm")</f>
        <v>2025-11</v>
      </c>
      <c r="D1694" t="s">
        <v>74</v>
      </c>
      <c r="E1694" t="s">
        <v>3636</v>
      </c>
      <c r="F1694" t="s">
        <v>3606</v>
      </c>
      <c r="G1694" s="1">
        <v>1093816.29</v>
      </c>
    </row>
    <row r="1695" spans="1:7">
      <c r="A1695" t="s">
        <v>1790</v>
      </c>
      <c r="B1695" s="6">
        <v>45741</v>
      </c>
      <c r="C1695" s="6" t="str">
        <f>TEXT(Table3[[#This Row],[transaction_date]], "yyyy-mm")</f>
        <v>2025-03</v>
      </c>
      <c r="D1695" t="s">
        <v>85</v>
      </c>
      <c r="E1695" t="s">
        <v>3636</v>
      </c>
      <c r="F1695" t="s">
        <v>3612</v>
      </c>
      <c r="G1695" s="1">
        <v>538019.48</v>
      </c>
    </row>
    <row r="1696" spans="1:7">
      <c r="A1696" t="s">
        <v>1791</v>
      </c>
      <c r="B1696" s="6">
        <v>45998</v>
      </c>
      <c r="C1696" s="6" t="str">
        <f>TEXT(Table3[[#This Row],[transaction_date]], "yyyy-mm")</f>
        <v>2025-12</v>
      </c>
      <c r="D1696" t="s">
        <v>75</v>
      </c>
      <c r="E1696" t="s">
        <v>3636</v>
      </c>
      <c r="F1696" t="s">
        <v>3604</v>
      </c>
      <c r="G1696" s="1">
        <v>24422146.93</v>
      </c>
    </row>
    <row r="1697" spans="1:7">
      <c r="A1697" t="s">
        <v>1792</v>
      </c>
      <c r="B1697" s="6">
        <v>45969</v>
      </c>
      <c r="C1697" s="6" t="str">
        <f>TEXT(Table3[[#This Row],[transaction_date]], "yyyy-mm")</f>
        <v>2025-11</v>
      </c>
      <c r="D1697" t="s">
        <v>95</v>
      </c>
      <c r="E1697" t="s">
        <v>3637</v>
      </c>
      <c r="F1697" t="s">
        <v>3621</v>
      </c>
      <c r="G1697" s="1">
        <v>8594676.7100000009</v>
      </c>
    </row>
    <row r="1698" spans="1:7">
      <c r="A1698" t="s">
        <v>1793</v>
      </c>
      <c r="B1698" s="6">
        <v>45698</v>
      </c>
      <c r="C1698" s="6" t="str">
        <f>TEXT(Table3[[#This Row],[transaction_date]], "yyyy-mm")</f>
        <v>2025-02</v>
      </c>
      <c r="D1698" t="s">
        <v>75</v>
      </c>
      <c r="E1698" t="s">
        <v>3636</v>
      </c>
      <c r="F1698" t="s">
        <v>3605</v>
      </c>
      <c r="G1698" s="1">
        <v>3450476</v>
      </c>
    </row>
    <row r="1699" spans="1:7">
      <c r="A1699" t="s">
        <v>1794</v>
      </c>
      <c r="B1699" s="6">
        <v>45753</v>
      </c>
      <c r="C1699" s="6" t="str">
        <f>TEXT(Table3[[#This Row],[transaction_date]], "yyyy-mm")</f>
        <v>2025-04</v>
      </c>
      <c r="D1699" t="s">
        <v>3597</v>
      </c>
      <c r="E1699" t="s">
        <v>3636</v>
      </c>
      <c r="F1699" t="s">
        <v>3606</v>
      </c>
      <c r="G1699" s="1">
        <v>933518.9</v>
      </c>
    </row>
    <row r="1700" spans="1:7">
      <c r="A1700" t="s">
        <v>1795</v>
      </c>
      <c r="B1700" s="6">
        <v>45660</v>
      </c>
      <c r="C1700" s="6" t="str">
        <f>TEXT(Table3[[#This Row],[transaction_date]], "yyyy-mm")</f>
        <v>2025-01</v>
      </c>
      <c r="D1700" t="s">
        <v>76</v>
      </c>
      <c r="E1700" t="s">
        <v>3636</v>
      </c>
      <c r="F1700" t="s">
        <v>3612</v>
      </c>
      <c r="G1700" s="1">
        <v>14881016.75</v>
      </c>
    </row>
    <row r="1701" spans="1:7">
      <c r="A1701" t="s">
        <v>1796</v>
      </c>
      <c r="B1701" s="6">
        <v>45962</v>
      </c>
      <c r="C1701" s="6" t="str">
        <f>TEXT(Table3[[#This Row],[transaction_date]], "yyyy-mm")</f>
        <v>2025-11</v>
      </c>
      <c r="D1701" t="s">
        <v>74</v>
      </c>
      <c r="E1701" t="s">
        <v>3637</v>
      </c>
      <c r="F1701" t="s">
        <v>3619</v>
      </c>
      <c r="G1701" s="1">
        <v>1062567.8500000001</v>
      </c>
    </row>
    <row r="1702" spans="1:7">
      <c r="A1702" t="s">
        <v>1797</v>
      </c>
      <c r="B1702" s="6">
        <v>45892</v>
      </c>
      <c r="C1702" s="6" t="str">
        <f>TEXT(Table3[[#This Row],[transaction_date]], "yyyy-mm")</f>
        <v>2025-08</v>
      </c>
      <c r="D1702" t="s">
        <v>73</v>
      </c>
      <c r="E1702" t="s">
        <v>3636</v>
      </c>
      <c r="F1702" t="s">
        <v>3612</v>
      </c>
      <c r="G1702" s="1">
        <v>2348230.2599999998</v>
      </c>
    </row>
    <row r="1703" spans="1:7">
      <c r="A1703" t="s">
        <v>1798</v>
      </c>
      <c r="B1703" s="6">
        <v>45836</v>
      </c>
      <c r="C1703" s="6" t="str">
        <f>TEXT(Table3[[#This Row],[transaction_date]], "yyyy-mm")</f>
        <v>2025-06</v>
      </c>
      <c r="D1703" t="s">
        <v>85</v>
      </c>
      <c r="E1703" t="s">
        <v>3636</v>
      </c>
      <c r="F1703" t="s">
        <v>3613</v>
      </c>
      <c r="G1703" s="1">
        <v>1100492.1299999999</v>
      </c>
    </row>
    <row r="1704" spans="1:7">
      <c r="A1704" t="s">
        <v>1799</v>
      </c>
      <c r="B1704" s="6">
        <v>45920</v>
      </c>
      <c r="C1704" s="6" t="str">
        <f>TEXT(Table3[[#This Row],[transaction_date]], "yyyy-mm")</f>
        <v>2025-09</v>
      </c>
      <c r="D1704" t="s">
        <v>74</v>
      </c>
      <c r="E1704" t="s">
        <v>3636</v>
      </c>
      <c r="F1704" t="s">
        <v>3611</v>
      </c>
      <c r="G1704" s="1">
        <v>942282.56</v>
      </c>
    </row>
    <row r="1705" spans="1:7">
      <c r="A1705" t="s">
        <v>1800</v>
      </c>
      <c r="B1705" s="6">
        <v>45715</v>
      </c>
      <c r="C1705" s="6" t="str">
        <f>TEXT(Table3[[#This Row],[transaction_date]], "yyyy-mm")</f>
        <v>2025-02</v>
      </c>
      <c r="D1705" t="s">
        <v>73</v>
      </c>
      <c r="E1705" t="s">
        <v>3637</v>
      </c>
      <c r="F1705" t="s">
        <v>3620</v>
      </c>
      <c r="G1705" s="1">
        <v>1863826.44</v>
      </c>
    </row>
    <row r="1706" spans="1:7">
      <c r="A1706" t="s">
        <v>1801</v>
      </c>
      <c r="B1706" s="6">
        <v>45986</v>
      </c>
      <c r="C1706" s="6" t="str">
        <f>TEXT(Table3[[#This Row],[transaction_date]], "yyyy-mm")</f>
        <v>2025-11</v>
      </c>
      <c r="D1706" t="s">
        <v>75</v>
      </c>
      <c r="E1706" t="s">
        <v>3636</v>
      </c>
      <c r="F1706" t="s">
        <v>3604</v>
      </c>
      <c r="G1706" s="1">
        <v>6415037.9900000002</v>
      </c>
    </row>
    <row r="1707" spans="1:7">
      <c r="A1707" t="s">
        <v>1802</v>
      </c>
      <c r="B1707" s="6">
        <v>45998</v>
      </c>
      <c r="C1707" s="6" t="str">
        <f>TEXT(Table3[[#This Row],[transaction_date]], "yyyy-mm")</f>
        <v>2025-12</v>
      </c>
      <c r="D1707" t="s">
        <v>76</v>
      </c>
      <c r="E1707" t="s">
        <v>3637</v>
      </c>
      <c r="F1707" t="s">
        <v>3619</v>
      </c>
      <c r="G1707" s="1">
        <v>6391046.8300000001</v>
      </c>
    </row>
    <row r="1708" spans="1:7">
      <c r="A1708" t="s">
        <v>1803</v>
      </c>
      <c r="B1708" s="6">
        <v>45659</v>
      </c>
      <c r="C1708" s="6" t="str">
        <f>TEXT(Table3[[#This Row],[transaction_date]], "yyyy-mm")</f>
        <v>2025-01</v>
      </c>
      <c r="D1708" t="s">
        <v>78</v>
      </c>
      <c r="E1708" t="s">
        <v>3636</v>
      </c>
      <c r="F1708" t="s">
        <v>3612</v>
      </c>
      <c r="G1708" s="1">
        <v>8991424.4000000004</v>
      </c>
    </row>
    <row r="1709" spans="1:7">
      <c r="A1709" t="s">
        <v>1804</v>
      </c>
      <c r="B1709" s="6">
        <v>46010</v>
      </c>
      <c r="C1709" s="6" t="str">
        <f>TEXT(Table3[[#This Row],[transaction_date]], "yyyy-mm")</f>
        <v>2025-12</v>
      </c>
      <c r="D1709" t="s">
        <v>79</v>
      </c>
      <c r="E1709" t="s">
        <v>3636</v>
      </c>
      <c r="F1709" t="s">
        <v>3606</v>
      </c>
      <c r="G1709" s="1">
        <v>9064920.5500000007</v>
      </c>
    </row>
    <row r="1710" spans="1:7">
      <c r="A1710" t="s">
        <v>1805</v>
      </c>
      <c r="B1710" s="6">
        <v>45762</v>
      </c>
      <c r="C1710" s="6" t="str">
        <f>TEXT(Table3[[#This Row],[transaction_date]], "yyyy-mm")</f>
        <v>2025-04</v>
      </c>
      <c r="D1710" t="s">
        <v>76</v>
      </c>
      <c r="E1710" t="s">
        <v>3636</v>
      </c>
      <c r="F1710" t="s">
        <v>3612</v>
      </c>
      <c r="G1710" s="1">
        <v>12805903.859999999</v>
      </c>
    </row>
    <row r="1711" spans="1:7">
      <c r="A1711" t="s">
        <v>1806</v>
      </c>
      <c r="B1711" s="6">
        <v>45992</v>
      </c>
      <c r="C1711" s="6" t="str">
        <f>TEXT(Table3[[#This Row],[transaction_date]], "yyyy-mm")</f>
        <v>2025-12</v>
      </c>
      <c r="D1711" t="s">
        <v>89</v>
      </c>
      <c r="E1711" t="s">
        <v>3636</v>
      </c>
      <c r="F1711" t="s">
        <v>3613</v>
      </c>
      <c r="G1711" s="1">
        <v>761255.64</v>
      </c>
    </row>
    <row r="1712" spans="1:7">
      <c r="A1712" t="s">
        <v>1807</v>
      </c>
      <c r="B1712" s="6">
        <v>45952</v>
      </c>
      <c r="C1712" s="6" t="str">
        <f>TEXT(Table3[[#This Row],[transaction_date]], "yyyy-mm")</f>
        <v>2025-10</v>
      </c>
      <c r="D1712" t="s">
        <v>3597</v>
      </c>
      <c r="E1712" t="s">
        <v>3636</v>
      </c>
      <c r="F1712" t="s">
        <v>3606</v>
      </c>
      <c r="G1712" s="1">
        <v>2323719.3199999998</v>
      </c>
    </row>
    <row r="1713" spans="1:7">
      <c r="A1713" t="s">
        <v>1808</v>
      </c>
      <c r="B1713" s="6">
        <v>45857</v>
      </c>
      <c r="C1713" s="6" t="str">
        <f>TEXT(Table3[[#This Row],[transaction_date]], "yyyy-mm")</f>
        <v>2025-07</v>
      </c>
      <c r="D1713" t="s">
        <v>84</v>
      </c>
      <c r="E1713" t="s">
        <v>3636</v>
      </c>
      <c r="F1713" t="s">
        <v>3605</v>
      </c>
      <c r="G1713" s="1">
        <v>33171.949999999997</v>
      </c>
    </row>
    <row r="1714" spans="1:7">
      <c r="A1714" t="s">
        <v>1809</v>
      </c>
      <c r="B1714" s="6">
        <v>45966</v>
      </c>
      <c r="C1714" s="6" t="str">
        <f>TEXT(Table3[[#This Row],[transaction_date]], "yyyy-mm")</f>
        <v>2025-11</v>
      </c>
      <c r="D1714" t="s">
        <v>78</v>
      </c>
      <c r="E1714" t="s">
        <v>3637</v>
      </c>
      <c r="F1714" t="s">
        <v>3615</v>
      </c>
      <c r="G1714" s="1">
        <v>3547111.73</v>
      </c>
    </row>
    <row r="1715" spans="1:7">
      <c r="A1715" t="s">
        <v>1810</v>
      </c>
      <c r="B1715" s="6">
        <v>45798</v>
      </c>
      <c r="C1715" s="6" t="str">
        <f>TEXT(Table3[[#This Row],[transaction_date]], "yyyy-mm")</f>
        <v>2025-05</v>
      </c>
      <c r="D1715" t="s">
        <v>90</v>
      </c>
      <c r="E1715" t="s">
        <v>3636</v>
      </c>
      <c r="F1715" t="s">
        <v>3609</v>
      </c>
      <c r="G1715" s="1">
        <v>23949102.670000002</v>
      </c>
    </row>
    <row r="1716" spans="1:7">
      <c r="A1716" t="s">
        <v>1811</v>
      </c>
      <c r="B1716" s="6">
        <v>45921</v>
      </c>
      <c r="C1716" s="6" t="str">
        <f>TEXT(Table3[[#This Row],[transaction_date]], "yyyy-mm")</f>
        <v>2025-09</v>
      </c>
      <c r="D1716" t="s">
        <v>78</v>
      </c>
      <c r="E1716" t="s">
        <v>3637</v>
      </c>
      <c r="F1716" t="s">
        <v>3620</v>
      </c>
      <c r="G1716" s="1">
        <v>2054120.01</v>
      </c>
    </row>
    <row r="1717" spans="1:7">
      <c r="A1717" t="s">
        <v>1812</v>
      </c>
      <c r="B1717" s="6">
        <v>45679</v>
      </c>
      <c r="C1717" s="6" t="str">
        <f>TEXT(Table3[[#This Row],[transaction_date]], "yyyy-mm")</f>
        <v>2025-01</v>
      </c>
      <c r="D1717" t="s">
        <v>73</v>
      </c>
      <c r="E1717" t="s">
        <v>3636</v>
      </c>
      <c r="F1717" t="s">
        <v>3610</v>
      </c>
      <c r="G1717" s="1">
        <v>4979185.1500000004</v>
      </c>
    </row>
    <row r="1718" spans="1:7">
      <c r="A1718" t="s">
        <v>1813</v>
      </c>
      <c r="B1718" s="6">
        <v>45805</v>
      </c>
      <c r="C1718" s="6" t="str">
        <f>TEXT(Table3[[#This Row],[transaction_date]], "yyyy-mm")</f>
        <v>2025-05</v>
      </c>
      <c r="D1718" t="s">
        <v>73</v>
      </c>
      <c r="E1718" t="s">
        <v>3637</v>
      </c>
      <c r="F1718" t="s">
        <v>3622</v>
      </c>
      <c r="G1718" s="1">
        <v>6079803.7400000002</v>
      </c>
    </row>
    <row r="1719" spans="1:7">
      <c r="A1719" t="s">
        <v>1814</v>
      </c>
      <c r="B1719" s="6">
        <v>45705</v>
      </c>
      <c r="C1719" s="6" t="str">
        <f>TEXT(Table3[[#This Row],[transaction_date]], "yyyy-mm")</f>
        <v>2025-02</v>
      </c>
      <c r="D1719" t="s">
        <v>85</v>
      </c>
      <c r="E1719" t="s">
        <v>3637</v>
      </c>
      <c r="F1719" t="s">
        <v>3618</v>
      </c>
      <c r="G1719" s="1">
        <v>2882597.5</v>
      </c>
    </row>
    <row r="1720" spans="1:7">
      <c r="A1720" t="s">
        <v>1815</v>
      </c>
      <c r="B1720" s="6">
        <v>45716</v>
      </c>
      <c r="C1720" s="6" t="str">
        <f>TEXT(Table3[[#This Row],[transaction_date]], "yyyy-mm")</f>
        <v>2025-02</v>
      </c>
      <c r="D1720" t="s">
        <v>79</v>
      </c>
      <c r="E1720" t="s">
        <v>3636</v>
      </c>
      <c r="F1720" t="s">
        <v>3612</v>
      </c>
      <c r="G1720" s="1">
        <v>6118490.3700000001</v>
      </c>
    </row>
    <row r="1721" spans="1:7">
      <c r="A1721" t="s">
        <v>1816</v>
      </c>
      <c r="B1721" s="6">
        <v>45796</v>
      </c>
      <c r="C1721" s="6" t="str">
        <f>TEXT(Table3[[#This Row],[transaction_date]], "yyyy-mm")</f>
        <v>2025-05</v>
      </c>
      <c r="D1721" t="s">
        <v>85</v>
      </c>
      <c r="E1721" t="s">
        <v>3636</v>
      </c>
      <c r="F1721" t="s">
        <v>3612</v>
      </c>
      <c r="G1721" s="1">
        <v>317824.8</v>
      </c>
    </row>
    <row r="1722" spans="1:7">
      <c r="A1722" t="s">
        <v>1817</v>
      </c>
      <c r="B1722" s="6">
        <v>45747</v>
      </c>
      <c r="C1722" s="6" t="str">
        <f>TEXT(Table3[[#This Row],[transaction_date]], "yyyy-mm")</f>
        <v>2025-03</v>
      </c>
      <c r="D1722" t="s">
        <v>84</v>
      </c>
      <c r="E1722" t="s">
        <v>3637</v>
      </c>
      <c r="F1722" t="s">
        <v>3619</v>
      </c>
      <c r="G1722" s="1">
        <v>653614.03</v>
      </c>
    </row>
    <row r="1723" spans="1:7">
      <c r="A1723" t="s">
        <v>1818</v>
      </c>
      <c r="B1723" s="6">
        <v>45852</v>
      </c>
      <c r="C1723" s="6" t="str">
        <f>TEXT(Table3[[#This Row],[transaction_date]], "yyyy-mm")</f>
        <v>2025-07</v>
      </c>
      <c r="D1723" t="s">
        <v>79</v>
      </c>
      <c r="E1723" t="s">
        <v>3636</v>
      </c>
      <c r="F1723" t="s">
        <v>3611</v>
      </c>
      <c r="G1723" s="1">
        <v>2888034.58</v>
      </c>
    </row>
    <row r="1724" spans="1:7">
      <c r="A1724" t="s">
        <v>1819</v>
      </c>
      <c r="B1724" s="6">
        <v>45730</v>
      </c>
      <c r="C1724" s="6" t="str">
        <f>TEXT(Table3[[#This Row],[transaction_date]], "yyyy-mm")</f>
        <v>2025-03</v>
      </c>
      <c r="D1724" t="s">
        <v>93</v>
      </c>
      <c r="E1724" t="s">
        <v>3637</v>
      </c>
      <c r="F1724" t="s">
        <v>3616</v>
      </c>
      <c r="G1724" s="1">
        <v>692396.81</v>
      </c>
    </row>
    <row r="1725" spans="1:7">
      <c r="A1725" t="s">
        <v>1820</v>
      </c>
      <c r="B1725" s="6">
        <v>45899</v>
      </c>
      <c r="C1725" s="6" t="str">
        <f>TEXT(Table3[[#This Row],[transaction_date]], "yyyy-mm")</f>
        <v>2025-08</v>
      </c>
      <c r="D1725" t="s">
        <v>79</v>
      </c>
      <c r="E1725" t="s">
        <v>3636</v>
      </c>
      <c r="F1725" t="s">
        <v>3611</v>
      </c>
      <c r="G1725" s="1">
        <v>1205330.73</v>
      </c>
    </row>
    <row r="1726" spans="1:7">
      <c r="A1726" t="s">
        <v>1821</v>
      </c>
      <c r="B1726" s="6">
        <v>45795</v>
      </c>
      <c r="C1726" s="6" t="str">
        <f>TEXT(Table3[[#This Row],[transaction_date]], "yyyy-mm")</f>
        <v>2025-05</v>
      </c>
      <c r="D1726" t="s">
        <v>77</v>
      </c>
      <c r="E1726" t="s">
        <v>3637</v>
      </c>
      <c r="F1726" t="s">
        <v>3620</v>
      </c>
      <c r="G1726" s="1">
        <v>1345116.82</v>
      </c>
    </row>
    <row r="1727" spans="1:7">
      <c r="A1727" t="s">
        <v>1822</v>
      </c>
      <c r="B1727" s="6">
        <v>45885</v>
      </c>
      <c r="C1727" s="6" t="str">
        <f>TEXT(Table3[[#This Row],[transaction_date]], "yyyy-mm")</f>
        <v>2025-08</v>
      </c>
      <c r="D1727" t="s">
        <v>3597</v>
      </c>
      <c r="E1727" t="s">
        <v>3636</v>
      </c>
      <c r="F1727" t="s">
        <v>3606</v>
      </c>
      <c r="G1727" s="1">
        <v>337330.85</v>
      </c>
    </row>
    <row r="1728" spans="1:7">
      <c r="A1728" t="s">
        <v>1823</v>
      </c>
      <c r="B1728" s="6">
        <v>45992</v>
      </c>
      <c r="C1728" s="6" t="str">
        <f>TEXT(Table3[[#This Row],[transaction_date]], "yyyy-mm")</f>
        <v>2025-12</v>
      </c>
      <c r="D1728" t="s">
        <v>85</v>
      </c>
      <c r="E1728" t="s">
        <v>3637</v>
      </c>
      <c r="F1728" t="s">
        <v>3616</v>
      </c>
      <c r="G1728" s="1">
        <v>1838887.19</v>
      </c>
    </row>
    <row r="1729" spans="1:7">
      <c r="A1729" t="s">
        <v>1824</v>
      </c>
      <c r="B1729" s="6">
        <v>45666</v>
      </c>
      <c r="C1729" s="6" t="str">
        <f>TEXT(Table3[[#This Row],[transaction_date]], "yyyy-mm")</f>
        <v>2025-01</v>
      </c>
      <c r="D1729" t="s">
        <v>77</v>
      </c>
      <c r="E1729" t="s">
        <v>3637</v>
      </c>
      <c r="F1729" t="s">
        <v>3615</v>
      </c>
      <c r="G1729" s="1">
        <v>1805557.61</v>
      </c>
    </row>
    <row r="1730" spans="1:7">
      <c r="A1730" t="s">
        <v>1825</v>
      </c>
      <c r="B1730" s="6">
        <v>45807</v>
      </c>
      <c r="C1730" s="6" t="str">
        <f>TEXT(Table3[[#This Row],[transaction_date]], "yyyy-mm")</f>
        <v>2025-05</v>
      </c>
      <c r="D1730" t="s">
        <v>77</v>
      </c>
      <c r="E1730" t="s">
        <v>3637</v>
      </c>
      <c r="F1730" t="s">
        <v>3618</v>
      </c>
      <c r="G1730" s="1">
        <v>17927385.390000001</v>
      </c>
    </row>
    <row r="1731" spans="1:7">
      <c r="A1731" t="s">
        <v>1826</v>
      </c>
      <c r="B1731" s="6">
        <v>45973</v>
      </c>
      <c r="C1731" s="6" t="str">
        <f>TEXT(Table3[[#This Row],[transaction_date]], "yyyy-mm")</f>
        <v>2025-11</v>
      </c>
      <c r="D1731" t="s">
        <v>74</v>
      </c>
      <c r="E1731" t="s">
        <v>3636</v>
      </c>
      <c r="F1731" t="s">
        <v>3607</v>
      </c>
      <c r="G1731" s="1">
        <v>246211.78</v>
      </c>
    </row>
    <row r="1732" spans="1:7">
      <c r="A1732" t="s">
        <v>1827</v>
      </c>
      <c r="B1732" s="6">
        <v>45957</v>
      </c>
      <c r="C1732" s="6" t="str">
        <f>TEXT(Table3[[#This Row],[transaction_date]], "yyyy-mm")</f>
        <v>2025-10</v>
      </c>
      <c r="D1732" t="s">
        <v>79</v>
      </c>
      <c r="E1732" t="s">
        <v>3636</v>
      </c>
      <c r="F1732" t="s">
        <v>3606</v>
      </c>
      <c r="G1732" s="1">
        <v>1989049.46</v>
      </c>
    </row>
    <row r="1733" spans="1:7">
      <c r="A1733" t="s">
        <v>1828</v>
      </c>
      <c r="B1733" s="6">
        <v>45934</v>
      </c>
      <c r="C1733" s="6" t="str">
        <f>TEXT(Table3[[#This Row],[transaction_date]], "yyyy-mm")</f>
        <v>2025-10</v>
      </c>
      <c r="D1733" t="s">
        <v>84</v>
      </c>
      <c r="E1733" t="s">
        <v>3637</v>
      </c>
      <c r="F1733" t="s">
        <v>3616</v>
      </c>
      <c r="G1733" s="1">
        <v>18032858.289999999</v>
      </c>
    </row>
    <row r="1734" spans="1:7">
      <c r="A1734" t="s">
        <v>1829</v>
      </c>
      <c r="B1734" s="6">
        <v>45885</v>
      </c>
      <c r="C1734" s="6" t="str">
        <f>TEXT(Table3[[#This Row],[transaction_date]], "yyyy-mm")</f>
        <v>2025-08</v>
      </c>
      <c r="D1734" t="s">
        <v>85</v>
      </c>
      <c r="E1734" t="s">
        <v>3636</v>
      </c>
      <c r="F1734" t="s">
        <v>3606</v>
      </c>
      <c r="G1734" s="1">
        <v>219813.95</v>
      </c>
    </row>
    <row r="1735" spans="1:7">
      <c r="A1735" t="s">
        <v>1830</v>
      </c>
      <c r="B1735" s="6">
        <v>45785</v>
      </c>
      <c r="C1735" s="6" t="str">
        <f>TEXT(Table3[[#This Row],[transaction_date]], "yyyy-mm")</f>
        <v>2025-05</v>
      </c>
      <c r="D1735" t="s">
        <v>73</v>
      </c>
      <c r="E1735" t="s">
        <v>3637</v>
      </c>
      <c r="F1735" t="s">
        <v>3621</v>
      </c>
      <c r="G1735" s="1">
        <v>366827.9</v>
      </c>
    </row>
    <row r="1736" spans="1:7">
      <c r="A1736" t="s">
        <v>1831</v>
      </c>
      <c r="B1736" s="6">
        <v>45952</v>
      </c>
      <c r="C1736" s="6" t="str">
        <f>TEXT(Table3[[#This Row],[transaction_date]], "yyyy-mm")</f>
        <v>2025-10</v>
      </c>
      <c r="D1736" t="s">
        <v>82</v>
      </c>
      <c r="E1736" t="s">
        <v>3637</v>
      </c>
      <c r="F1736" t="s">
        <v>3620</v>
      </c>
      <c r="G1736" s="1">
        <v>7579691.7300000004</v>
      </c>
    </row>
    <row r="1737" spans="1:7">
      <c r="A1737" t="s">
        <v>1832</v>
      </c>
      <c r="B1737" s="6">
        <v>45974</v>
      </c>
      <c r="C1737" s="6" t="str">
        <f>TEXT(Table3[[#This Row],[transaction_date]], "yyyy-mm")</f>
        <v>2025-11</v>
      </c>
      <c r="D1737" t="s">
        <v>78</v>
      </c>
      <c r="E1737" t="s">
        <v>3637</v>
      </c>
      <c r="F1737" t="s">
        <v>3622</v>
      </c>
      <c r="G1737" s="1">
        <v>4615828.96</v>
      </c>
    </row>
    <row r="1738" spans="1:7">
      <c r="A1738" t="s">
        <v>1833</v>
      </c>
      <c r="B1738" s="6">
        <v>45877</v>
      </c>
      <c r="C1738" s="6" t="str">
        <f>TEXT(Table3[[#This Row],[transaction_date]], "yyyy-mm")</f>
        <v>2025-08</v>
      </c>
      <c r="D1738" t="s">
        <v>75</v>
      </c>
      <c r="E1738" t="s">
        <v>3637</v>
      </c>
      <c r="F1738" t="s">
        <v>3615</v>
      </c>
      <c r="G1738" s="1">
        <v>969681.4</v>
      </c>
    </row>
    <row r="1739" spans="1:7">
      <c r="A1739" t="s">
        <v>1834</v>
      </c>
      <c r="B1739" s="6">
        <v>45947</v>
      </c>
      <c r="C1739" s="6" t="str">
        <f>TEXT(Table3[[#This Row],[transaction_date]], "yyyy-mm")</f>
        <v>2025-10</v>
      </c>
      <c r="D1739" t="s">
        <v>75</v>
      </c>
      <c r="E1739" t="s">
        <v>3636</v>
      </c>
      <c r="F1739" t="s">
        <v>3604</v>
      </c>
      <c r="G1739" s="1">
        <v>10134679.93</v>
      </c>
    </row>
    <row r="1740" spans="1:7">
      <c r="A1740" t="s">
        <v>1835</v>
      </c>
      <c r="B1740" s="6">
        <v>46007</v>
      </c>
      <c r="C1740" s="6" t="str">
        <f>TEXT(Table3[[#This Row],[transaction_date]], "yyyy-mm")</f>
        <v>2025-12</v>
      </c>
      <c r="D1740" t="s">
        <v>77</v>
      </c>
      <c r="E1740" t="s">
        <v>3636</v>
      </c>
      <c r="F1740" t="s">
        <v>3610</v>
      </c>
      <c r="G1740" s="1">
        <v>4239906.29</v>
      </c>
    </row>
    <row r="1741" spans="1:7">
      <c r="A1741" t="s">
        <v>1836</v>
      </c>
      <c r="B1741" s="6">
        <v>45864</v>
      </c>
      <c r="C1741" s="6" t="str">
        <f>TEXT(Table3[[#This Row],[transaction_date]], "yyyy-mm")</f>
        <v>2025-07</v>
      </c>
      <c r="D1741" t="s">
        <v>93</v>
      </c>
      <c r="E1741" t="s">
        <v>3637</v>
      </c>
      <c r="F1741" t="s">
        <v>3620</v>
      </c>
      <c r="G1741" s="1">
        <v>259907.6</v>
      </c>
    </row>
    <row r="1742" spans="1:7">
      <c r="A1742" t="s">
        <v>1837</v>
      </c>
      <c r="B1742" s="6">
        <v>45822</v>
      </c>
      <c r="C1742" s="6" t="str">
        <f>TEXT(Table3[[#This Row],[transaction_date]], "yyyy-mm")</f>
        <v>2025-06</v>
      </c>
      <c r="D1742" t="s">
        <v>3597</v>
      </c>
      <c r="E1742" t="s">
        <v>3637</v>
      </c>
      <c r="F1742" t="s">
        <v>3623</v>
      </c>
      <c r="G1742" s="1">
        <v>235682.88</v>
      </c>
    </row>
    <row r="1743" spans="1:7">
      <c r="A1743" t="s">
        <v>1838</v>
      </c>
      <c r="B1743" s="6">
        <v>45968</v>
      </c>
      <c r="C1743" s="6" t="str">
        <f>TEXT(Table3[[#This Row],[transaction_date]], "yyyy-mm")</f>
        <v>2025-11</v>
      </c>
      <c r="D1743" t="s">
        <v>95</v>
      </c>
      <c r="E1743" t="s">
        <v>3636</v>
      </c>
      <c r="F1743" t="s">
        <v>3604</v>
      </c>
      <c r="G1743" s="1">
        <v>154697.35999999999</v>
      </c>
    </row>
    <row r="1744" spans="1:7">
      <c r="A1744" t="s">
        <v>1839</v>
      </c>
      <c r="B1744" s="6">
        <v>45868</v>
      </c>
      <c r="C1744" s="6" t="str">
        <f>TEXT(Table3[[#This Row],[transaction_date]], "yyyy-mm")</f>
        <v>2025-07</v>
      </c>
      <c r="D1744" t="s">
        <v>90</v>
      </c>
      <c r="E1744" t="s">
        <v>3636</v>
      </c>
      <c r="F1744" t="s">
        <v>3609</v>
      </c>
      <c r="G1744" s="1">
        <v>19664548.390000001</v>
      </c>
    </row>
    <row r="1745" spans="1:7">
      <c r="A1745" t="s">
        <v>1840</v>
      </c>
      <c r="B1745" s="6">
        <v>45679</v>
      </c>
      <c r="C1745" s="6" t="str">
        <f>TEXT(Table3[[#This Row],[transaction_date]], "yyyy-mm")</f>
        <v>2025-01</v>
      </c>
      <c r="D1745" t="s">
        <v>78</v>
      </c>
      <c r="E1745" t="s">
        <v>3636</v>
      </c>
      <c r="F1745" t="s">
        <v>3608</v>
      </c>
      <c r="G1745" s="1">
        <v>3055014.78</v>
      </c>
    </row>
    <row r="1746" spans="1:7">
      <c r="A1746" t="s">
        <v>1841</v>
      </c>
      <c r="B1746" s="6">
        <v>45704</v>
      </c>
      <c r="C1746" s="6" t="str">
        <f>TEXT(Table3[[#This Row],[transaction_date]], "yyyy-mm")</f>
        <v>2025-02</v>
      </c>
      <c r="D1746" t="s">
        <v>76</v>
      </c>
      <c r="E1746" t="s">
        <v>3637</v>
      </c>
      <c r="F1746" t="s">
        <v>3618</v>
      </c>
      <c r="G1746" s="1">
        <v>10585689.859999999</v>
      </c>
    </row>
    <row r="1747" spans="1:7">
      <c r="A1747" t="s">
        <v>1842</v>
      </c>
      <c r="B1747" s="6">
        <v>45684</v>
      </c>
      <c r="C1747" s="6" t="str">
        <f>TEXT(Table3[[#This Row],[transaction_date]], "yyyy-mm")</f>
        <v>2025-01</v>
      </c>
      <c r="D1747" t="s">
        <v>3597</v>
      </c>
      <c r="E1747" t="s">
        <v>3636</v>
      </c>
      <c r="F1747" t="s">
        <v>3613</v>
      </c>
      <c r="G1747" s="1">
        <v>766195.17</v>
      </c>
    </row>
    <row r="1748" spans="1:7">
      <c r="A1748" t="s">
        <v>1843</v>
      </c>
      <c r="B1748" s="6">
        <v>45725</v>
      </c>
      <c r="C1748" s="6" t="str">
        <f>TEXT(Table3[[#This Row],[transaction_date]], "yyyy-mm")</f>
        <v>2025-03</v>
      </c>
      <c r="D1748" t="s">
        <v>73</v>
      </c>
      <c r="E1748" t="s">
        <v>3636</v>
      </c>
      <c r="F1748" t="s">
        <v>3605</v>
      </c>
      <c r="G1748" s="1">
        <v>1646039.9</v>
      </c>
    </row>
    <row r="1749" spans="1:7">
      <c r="A1749" t="s">
        <v>1844</v>
      </c>
      <c r="B1749" s="6">
        <v>46008</v>
      </c>
      <c r="C1749" s="6" t="str">
        <f>TEXT(Table3[[#This Row],[transaction_date]], "yyyy-mm")</f>
        <v>2025-12</v>
      </c>
      <c r="D1749" t="s">
        <v>84</v>
      </c>
      <c r="E1749" t="s">
        <v>3637</v>
      </c>
      <c r="F1749" t="s">
        <v>3621</v>
      </c>
      <c r="G1749" s="1">
        <v>16011333.32</v>
      </c>
    </row>
    <row r="1750" spans="1:7">
      <c r="A1750" t="s">
        <v>1845</v>
      </c>
      <c r="B1750" s="6">
        <v>45721</v>
      </c>
      <c r="C1750" s="6" t="str">
        <f>TEXT(Table3[[#This Row],[transaction_date]], "yyyy-mm")</f>
        <v>2025-03</v>
      </c>
      <c r="D1750" t="s">
        <v>78</v>
      </c>
      <c r="E1750" t="s">
        <v>3637</v>
      </c>
      <c r="F1750" t="s">
        <v>3614</v>
      </c>
      <c r="G1750" s="1">
        <v>6416468.3499999996</v>
      </c>
    </row>
    <row r="1751" spans="1:7">
      <c r="A1751" t="s">
        <v>1846</v>
      </c>
      <c r="B1751" s="6">
        <v>45793</v>
      </c>
      <c r="C1751" s="6" t="str">
        <f>TEXT(Table3[[#This Row],[transaction_date]], "yyyy-mm")</f>
        <v>2025-05</v>
      </c>
      <c r="D1751" t="s">
        <v>78</v>
      </c>
      <c r="E1751" t="s">
        <v>3637</v>
      </c>
      <c r="F1751" t="s">
        <v>3622</v>
      </c>
      <c r="G1751" s="1">
        <v>7143513.3200000003</v>
      </c>
    </row>
    <row r="1752" spans="1:7">
      <c r="A1752" t="s">
        <v>1847</v>
      </c>
      <c r="B1752" s="6">
        <v>45766</v>
      </c>
      <c r="C1752" s="6" t="str">
        <f>TEXT(Table3[[#This Row],[transaction_date]], "yyyy-mm")</f>
        <v>2025-04</v>
      </c>
      <c r="D1752" t="s">
        <v>93</v>
      </c>
      <c r="E1752" t="s">
        <v>3636</v>
      </c>
      <c r="F1752" t="s">
        <v>3610</v>
      </c>
      <c r="G1752" s="1">
        <v>3091666.03</v>
      </c>
    </row>
    <row r="1753" spans="1:7">
      <c r="A1753" t="s">
        <v>1848</v>
      </c>
      <c r="B1753" s="6">
        <v>45731</v>
      </c>
      <c r="C1753" s="6" t="str">
        <f>TEXT(Table3[[#This Row],[transaction_date]], "yyyy-mm")</f>
        <v>2025-03</v>
      </c>
      <c r="D1753" t="s">
        <v>90</v>
      </c>
      <c r="E1753" t="s">
        <v>3636</v>
      </c>
      <c r="F1753" t="s">
        <v>3612</v>
      </c>
      <c r="G1753" s="1">
        <v>1970204.21</v>
      </c>
    </row>
    <row r="1754" spans="1:7">
      <c r="A1754" t="s">
        <v>1849</v>
      </c>
      <c r="B1754" s="6">
        <v>45842</v>
      </c>
      <c r="C1754" s="6" t="str">
        <f>TEXT(Table3[[#This Row],[transaction_date]], "yyyy-mm")</f>
        <v>2025-07</v>
      </c>
      <c r="D1754" t="s">
        <v>73</v>
      </c>
      <c r="E1754" t="s">
        <v>3637</v>
      </c>
      <c r="F1754" t="s">
        <v>3614</v>
      </c>
      <c r="G1754" s="1">
        <v>6931572.2999999998</v>
      </c>
    </row>
    <row r="1755" spans="1:7">
      <c r="A1755" t="s">
        <v>1850</v>
      </c>
      <c r="B1755" s="6">
        <v>45738</v>
      </c>
      <c r="C1755" s="6" t="str">
        <f>TEXT(Table3[[#This Row],[transaction_date]], "yyyy-mm")</f>
        <v>2025-03</v>
      </c>
      <c r="D1755" t="s">
        <v>80</v>
      </c>
      <c r="E1755" t="s">
        <v>3637</v>
      </c>
      <c r="F1755" t="s">
        <v>3620</v>
      </c>
      <c r="G1755" s="1">
        <v>1284704.3600000001</v>
      </c>
    </row>
    <row r="1756" spans="1:7">
      <c r="A1756" t="s">
        <v>1851</v>
      </c>
      <c r="B1756" s="6">
        <v>45891</v>
      </c>
      <c r="C1756" s="6" t="str">
        <f>TEXT(Table3[[#This Row],[transaction_date]], "yyyy-mm")</f>
        <v>2025-08</v>
      </c>
      <c r="D1756" t="s">
        <v>78</v>
      </c>
      <c r="E1756" t="s">
        <v>3636</v>
      </c>
      <c r="F1756" t="s">
        <v>3609</v>
      </c>
      <c r="G1756" s="1">
        <v>1041441.96</v>
      </c>
    </row>
    <row r="1757" spans="1:7">
      <c r="A1757" t="s">
        <v>1852</v>
      </c>
      <c r="B1757" s="6">
        <v>45882</v>
      </c>
      <c r="C1757" s="6" t="str">
        <f>TEXT(Table3[[#This Row],[transaction_date]], "yyyy-mm")</f>
        <v>2025-08</v>
      </c>
      <c r="D1757" t="s">
        <v>82</v>
      </c>
      <c r="E1757" t="s">
        <v>3636</v>
      </c>
      <c r="F1757" t="s">
        <v>3611</v>
      </c>
      <c r="G1757" s="1">
        <v>22898758.260000002</v>
      </c>
    </row>
    <row r="1758" spans="1:7">
      <c r="A1758" t="s">
        <v>1853</v>
      </c>
      <c r="B1758" s="6">
        <v>45876</v>
      </c>
      <c r="C1758" s="6" t="str">
        <f>TEXT(Table3[[#This Row],[transaction_date]], "yyyy-mm")</f>
        <v>2025-08</v>
      </c>
      <c r="D1758" t="s">
        <v>77</v>
      </c>
      <c r="E1758" t="s">
        <v>3637</v>
      </c>
      <c r="F1758" t="s">
        <v>3619</v>
      </c>
      <c r="G1758" s="1">
        <v>12461256.1</v>
      </c>
    </row>
    <row r="1759" spans="1:7">
      <c r="A1759" t="s">
        <v>1854</v>
      </c>
      <c r="B1759" s="6">
        <v>45975</v>
      </c>
      <c r="C1759" s="6" t="str">
        <f>TEXT(Table3[[#This Row],[transaction_date]], "yyyy-mm")</f>
        <v>2025-11</v>
      </c>
      <c r="D1759" t="s">
        <v>78</v>
      </c>
      <c r="E1759" t="s">
        <v>3636</v>
      </c>
      <c r="F1759" t="s">
        <v>3613</v>
      </c>
      <c r="G1759" s="1">
        <v>7330462.1100000003</v>
      </c>
    </row>
    <row r="1760" spans="1:7">
      <c r="A1760" t="s">
        <v>1855</v>
      </c>
      <c r="B1760" s="6">
        <v>45836</v>
      </c>
      <c r="C1760" s="6" t="str">
        <f>TEXT(Table3[[#This Row],[transaction_date]], "yyyy-mm")</f>
        <v>2025-06</v>
      </c>
      <c r="D1760" t="s">
        <v>3597</v>
      </c>
      <c r="E1760" t="s">
        <v>3637</v>
      </c>
      <c r="F1760" t="s">
        <v>3619</v>
      </c>
      <c r="G1760" s="1">
        <v>5616117.3799999999</v>
      </c>
    </row>
    <row r="1761" spans="1:7">
      <c r="A1761" t="s">
        <v>1856</v>
      </c>
      <c r="B1761" s="6">
        <v>45704</v>
      </c>
      <c r="C1761" s="6" t="str">
        <f>TEXT(Table3[[#This Row],[transaction_date]], "yyyy-mm")</f>
        <v>2025-02</v>
      </c>
      <c r="D1761" t="s">
        <v>74</v>
      </c>
      <c r="E1761" t="s">
        <v>3637</v>
      </c>
      <c r="F1761" t="s">
        <v>3618</v>
      </c>
      <c r="G1761" s="1">
        <v>101056.94</v>
      </c>
    </row>
    <row r="1762" spans="1:7">
      <c r="A1762" t="s">
        <v>1857</v>
      </c>
      <c r="B1762" s="6">
        <v>45969</v>
      </c>
      <c r="C1762" s="6" t="str">
        <f>TEXT(Table3[[#This Row],[transaction_date]], "yyyy-mm")</f>
        <v>2025-11</v>
      </c>
      <c r="D1762" t="s">
        <v>95</v>
      </c>
      <c r="E1762" t="s">
        <v>3637</v>
      </c>
      <c r="F1762" t="s">
        <v>3616</v>
      </c>
      <c r="G1762" s="1">
        <v>7881858.7599999998</v>
      </c>
    </row>
    <row r="1763" spans="1:7">
      <c r="A1763" t="s">
        <v>1858</v>
      </c>
      <c r="B1763" s="6">
        <v>46010</v>
      </c>
      <c r="C1763" s="6" t="str">
        <f>TEXT(Table3[[#This Row],[transaction_date]], "yyyy-mm")</f>
        <v>2025-12</v>
      </c>
      <c r="D1763" t="s">
        <v>74</v>
      </c>
      <c r="E1763" t="s">
        <v>3637</v>
      </c>
      <c r="F1763" t="s">
        <v>3618</v>
      </c>
      <c r="G1763" s="1">
        <v>98154.38</v>
      </c>
    </row>
    <row r="1764" spans="1:7">
      <c r="A1764" t="s">
        <v>1859</v>
      </c>
      <c r="B1764" s="6">
        <v>45818</v>
      </c>
      <c r="C1764" s="6" t="str">
        <f>TEXT(Table3[[#This Row],[transaction_date]], "yyyy-mm")</f>
        <v>2025-06</v>
      </c>
      <c r="D1764" t="s">
        <v>74</v>
      </c>
      <c r="E1764" t="s">
        <v>3637</v>
      </c>
      <c r="F1764" t="s">
        <v>3621</v>
      </c>
      <c r="G1764" s="1">
        <v>228816.03</v>
      </c>
    </row>
    <row r="1765" spans="1:7">
      <c r="A1765" t="s">
        <v>1860</v>
      </c>
      <c r="B1765" s="6">
        <v>45750</v>
      </c>
      <c r="C1765" s="6" t="str">
        <f>TEXT(Table3[[#This Row],[transaction_date]], "yyyy-mm")</f>
        <v>2025-04</v>
      </c>
      <c r="D1765" t="s">
        <v>90</v>
      </c>
      <c r="E1765" t="s">
        <v>3637</v>
      </c>
      <c r="F1765" t="s">
        <v>3617</v>
      </c>
      <c r="G1765" s="1">
        <v>5959103.7999999998</v>
      </c>
    </row>
    <row r="1766" spans="1:7">
      <c r="A1766" t="s">
        <v>1861</v>
      </c>
      <c r="B1766" s="6">
        <v>45855</v>
      </c>
      <c r="C1766" s="6" t="str">
        <f>TEXT(Table3[[#This Row],[transaction_date]], "yyyy-mm")</f>
        <v>2025-07</v>
      </c>
      <c r="D1766" t="s">
        <v>74</v>
      </c>
      <c r="E1766" t="s">
        <v>3637</v>
      </c>
      <c r="F1766" t="s">
        <v>3619</v>
      </c>
      <c r="G1766" s="1">
        <v>1351438.57</v>
      </c>
    </row>
    <row r="1767" spans="1:7">
      <c r="A1767" t="s">
        <v>1862</v>
      </c>
      <c r="B1767" s="6">
        <v>45746</v>
      </c>
      <c r="C1767" s="6" t="str">
        <f>TEXT(Table3[[#This Row],[transaction_date]], "yyyy-mm")</f>
        <v>2025-03</v>
      </c>
      <c r="D1767" t="s">
        <v>74</v>
      </c>
      <c r="E1767" t="s">
        <v>3636</v>
      </c>
      <c r="F1767" t="s">
        <v>3606</v>
      </c>
      <c r="G1767" s="1">
        <v>389747.59</v>
      </c>
    </row>
    <row r="1768" spans="1:7">
      <c r="A1768" t="s">
        <v>1863</v>
      </c>
      <c r="B1768" s="6">
        <v>45789</v>
      </c>
      <c r="C1768" s="6" t="str">
        <f>TEXT(Table3[[#This Row],[transaction_date]], "yyyy-mm")</f>
        <v>2025-05</v>
      </c>
      <c r="D1768" t="s">
        <v>85</v>
      </c>
      <c r="E1768" t="s">
        <v>3636</v>
      </c>
      <c r="F1768" t="s">
        <v>3606</v>
      </c>
      <c r="G1768" s="1">
        <v>1474974.97</v>
      </c>
    </row>
    <row r="1769" spans="1:7">
      <c r="A1769" t="s">
        <v>1864</v>
      </c>
      <c r="B1769" s="6">
        <v>45738</v>
      </c>
      <c r="C1769" s="6" t="str">
        <f>TEXT(Table3[[#This Row],[transaction_date]], "yyyy-mm")</f>
        <v>2025-03</v>
      </c>
      <c r="D1769" t="s">
        <v>3597</v>
      </c>
      <c r="E1769" t="s">
        <v>3636</v>
      </c>
      <c r="F1769" t="s">
        <v>3612</v>
      </c>
      <c r="G1769" s="1">
        <v>2635450.5499999998</v>
      </c>
    </row>
    <row r="1770" spans="1:7">
      <c r="A1770" t="s">
        <v>1865</v>
      </c>
      <c r="B1770" s="6">
        <v>45775</v>
      </c>
      <c r="C1770" s="6" t="str">
        <f>TEXT(Table3[[#This Row],[transaction_date]], "yyyy-mm")</f>
        <v>2025-04</v>
      </c>
      <c r="D1770" t="s">
        <v>84</v>
      </c>
      <c r="E1770" t="s">
        <v>3636</v>
      </c>
      <c r="F1770" t="s">
        <v>3610</v>
      </c>
      <c r="G1770" s="1">
        <v>13599912.449999999</v>
      </c>
    </row>
    <row r="1771" spans="1:7">
      <c r="A1771" t="s">
        <v>1866</v>
      </c>
      <c r="B1771" s="6">
        <v>45811</v>
      </c>
      <c r="C1771" s="6" t="str">
        <f>TEXT(Table3[[#This Row],[transaction_date]], "yyyy-mm")</f>
        <v>2025-06</v>
      </c>
      <c r="D1771" t="s">
        <v>89</v>
      </c>
      <c r="E1771" t="s">
        <v>3637</v>
      </c>
      <c r="F1771" t="s">
        <v>3623</v>
      </c>
      <c r="G1771" s="1">
        <v>237662.19</v>
      </c>
    </row>
    <row r="1772" spans="1:7">
      <c r="A1772" t="s">
        <v>1867</v>
      </c>
      <c r="B1772" s="6">
        <v>46019</v>
      </c>
      <c r="C1772" s="6" t="str">
        <f>TEXT(Table3[[#This Row],[transaction_date]], "yyyy-mm")</f>
        <v>2025-12</v>
      </c>
      <c r="D1772" t="s">
        <v>84</v>
      </c>
      <c r="E1772" t="s">
        <v>3637</v>
      </c>
      <c r="F1772" t="s">
        <v>3616</v>
      </c>
      <c r="G1772" s="1">
        <v>20157467.48</v>
      </c>
    </row>
    <row r="1773" spans="1:7">
      <c r="A1773" t="s">
        <v>1868</v>
      </c>
      <c r="B1773" s="6">
        <v>45736</v>
      </c>
      <c r="C1773" s="6" t="str">
        <f>TEXT(Table3[[#This Row],[transaction_date]], "yyyy-mm")</f>
        <v>2025-03</v>
      </c>
      <c r="D1773" t="s">
        <v>84</v>
      </c>
      <c r="E1773" t="s">
        <v>3636</v>
      </c>
      <c r="F1773" t="s">
        <v>3605</v>
      </c>
      <c r="G1773" s="1">
        <v>141394.34</v>
      </c>
    </row>
    <row r="1774" spans="1:7">
      <c r="A1774" t="s">
        <v>1869</v>
      </c>
      <c r="B1774" s="6">
        <v>45966</v>
      </c>
      <c r="C1774" s="6" t="str">
        <f>TEXT(Table3[[#This Row],[transaction_date]], "yyyy-mm")</f>
        <v>2025-11</v>
      </c>
      <c r="D1774" t="s">
        <v>77</v>
      </c>
      <c r="E1774" t="s">
        <v>3636</v>
      </c>
      <c r="F1774" t="s">
        <v>3613</v>
      </c>
      <c r="G1774" s="1">
        <v>4442341.43</v>
      </c>
    </row>
    <row r="1775" spans="1:7">
      <c r="A1775" t="s">
        <v>1870</v>
      </c>
      <c r="B1775" s="6">
        <v>45868</v>
      </c>
      <c r="C1775" s="6" t="str">
        <f>TEXT(Table3[[#This Row],[transaction_date]], "yyyy-mm")</f>
        <v>2025-07</v>
      </c>
      <c r="D1775" t="s">
        <v>85</v>
      </c>
      <c r="E1775" t="s">
        <v>3637</v>
      </c>
      <c r="F1775" t="s">
        <v>3614</v>
      </c>
      <c r="G1775" s="1">
        <v>1090945.8600000001</v>
      </c>
    </row>
    <row r="1776" spans="1:7">
      <c r="A1776" t="s">
        <v>1871</v>
      </c>
      <c r="B1776" s="6">
        <v>45767</v>
      </c>
      <c r="C1776" s="6" t="str">
        <f>TEXT(Table3[[#This Row],[transaction_date]], "yyyy-mm")</f>
        <v>2025-04</v>
      </c>
      <c r="D1776" t="s">
        <v>79</v>
      </c>
      <c r="E1776" t="s">
        <v>3636</v>
      </c>
      <c r="F1776" t="s">
        <v>3604</v>
      </c>
      <c r="G1776" s="1">
        <v>5247764.72</v>
      </c>
    </row>
    <row r="1777" spans="1:7">
      <c r="A1777" t="s">
        <v>1872</v>
      </c>
      <c r="B1777" s="6">
        <v>45772</v>
      </c>
      <c r="C1777" s="6" t="str">
        <f>TEXT(Table3[[#This Row],[transaction_date]], "yyyy-mm")</f>
        <v>2025-04</v>
      </c>
      <c r="D1777" t="s">
        <v>73</v>
      </c>
      <c r="E1777" t="s">
        <v>3637</v>
      </c>
      <c r="F1777" t="s">
        <v>3621</v>
      </c>
      <c r="G1777" s="1">
        <v>618500.53</v>
      </c>
    </row>
    <row r="1778" spans="1:7">
      <c r="A1778" t="s">
        <v>1873</v>
      </c>
      <c r="B1778" s="6">
        <v>45903</v>
      </c>
      <c r="C1778" s="6" t="str">
        <f>TEXT(Table3[[#This Row],[transaction_date]], "yyyy-mm")</f>
        <v>2025-09</v>
      </c>
      <c r="D1778" t="s">
        <v>95</v>
      </c>
      <c r="E1778" t="s">
        <v>3637</v>
      </c>
      <c r="F1778" t="s">
        <v>3622</v>
      </c>
      <c r="G1778" s="1">
        <v>3294240.79</v>
      </c>
    </row>
    <row r="1779" spans="1:7">
      <c r="A1779" t="s">
        <v>1874</v>
      </c>
      <c r="B1779" s="6">
        <v>45666</v>
      </c>
      <c r="C1779" s="6" t="str">
        <f>TEXT(Table3[[#This Row],[transaction_date]], "yyyy-mm")</f>
        <v>2025-01</v>
      </c>
      <c r="D1779" t="s">
        <v>80</v>
      </c>
      <c r="E1779" t="s">
        <v>3637</v>
      </c>
      <c r="F1779" t="s">
        <v>3622</v>
      </c>
      <c r="G1779" s="1">
        <v>485725.88</v>
      </c>
    </row>
    <row r="1780" spans="1:7">
      <c r="A1780" t="s">
        <v>1875</v>
      </c>
      <c r="B1780" s="6">
        <v>45986</v>
      </c>
      <c r="C1780" s="6" t="str">
        <f>TEXT(Table3[[#This Row],[transaction_date]], "yyyy-mm")</f>
        <v>2025-11</v>
      </c>
      <c r="D1780" t="s">
        <v>3597</v>
      </c>
      <c r="E1780" t="s">
        <v>3637</v>
      </c>
      <c r="F1780" t="s">
        <v>3623</v>
      </c>
      <c r="G1780" s="1">
        <v>190720.96</v>
      </c>
    </row>
    <row r="1781" spans="1:7">
      <c r="A1781" t="s">
        <v>1876</v>
      </c>
      <c r="B1781" s="6">
        <v>45874</v>
      </c>
      <c r="C1781" s="6" t="str">
        <f>TEXT(Table3[[#This Row],[transaction_date]], "yyyy-mm")</f>
        <v>2025-08</v>
      </c>
      <c r="D1781" t="s">
        <v>79</v>
      </c>
      <c r="E1781" t="s">
        <v>3636</v>
      </c>
      <c r="F1781" t="s">
        <v>3612</v>
      </c>
      <c r="G1781" s="1">
        <v>6026893.9900000002</v>
      </c>
    </row>
    <row r="1782" spans="1:7">
      <c r="A1782" t="s">
        <v>1877</v>
      </c>
      <c r="B1782" s="6">
        <v>45815</v>
      </c>
      <c r="C1782" s="6" t="str">
        <f>TEXT(Table3[[#This Row],[transaction_date]], "yyyy-mm")</f>
        <v>2025-06</v>
      </c>
      <c r="D1782" t="s">
        <v>75</v>
      </c>
      <c r="E1782" t="s">
        <v>3637</v>
      </c>
      <c r="F1782" t="s">
        <v>3620</v>
      </c>
      <c r="G1782" s="1">
        <v>3608516.31</v>
      </c>
    </row>
    <row r="1783" spans="1:7">
      <c r="A1783" t="s">
        <v>1878</v>
      </c>
      <c r="B1783" s="6">
        <v>45833</v>
      </c>
      <c r="C1783" s="6" t="str">
        <f>TEXT(Table3[[#This Row],[transaction_date]], "yyyy-mm")</f>
        <v>2025-06</v>
      </c>
      <c r="D1783" t="s">
        <v>80</v>
      </c>
      <c r="E1783" t="s">
        <v>3636</v>
      </c>
      <c r="F1783" t="s">
        <v>3609</v>
      </c>
      <c r="G1783" s="1">
        <v>1519574.15</v>
      </c>
    </row>
    <row r="1784" spans="1:7">
      <c r="A1784" t="s">
        <v>1879</v>
      </c>
      <c r="B1784" s="6">
        <v>45799</v>
      </c>
      <c r="C1784" s="6" t="str">
        <f>TEXT(Table3[[#This Row],[transaction_date]], "yyyy-mm")</f>
        <v>2025-05</v>
      </c>
      <c r="D1784" t="s">
        <v>95</v>
      </c>
      <c r="E1784" t="s">
        <v>3637</v>
      </c>
      <c r="F1784" t="s">
        <v>3614</v>
      </c>
      <c r="G1784" s="1">
        <v>1582393.53</v>
      </c>
    </row>
    <row r="1785" spans="1:7">
      <c r="A1785" t="s">
        <v>1880</v>
      </c>
      <c r="B1785" s="6">
        <v>45665</v>
      </c>
      <c r="C1785" s="6" t="str">
        <f>TEXT(Table3[[#This Row],[transaction_date]], "yyyy-mm")</f>
        <v>2025-01</v>
      </c>
      <c r="D1785" t="s">
        <v>3597</v>
      </c>
      <c r="E1785" t="s">
        <v>3636</v>
      </c>
      <c r="F1785" t="s">
        <v>3613</v>
      </c>
      <c r="G1785" s="1">
        <v>10548962.24</v>
      </c>
    </row>
    <row r="1786" spans="1:7">
      <c r="A1786" t="s">
        <v>1881</v>
      </c>
      <c r="B1786" s="6">
        <v>45751</v>
      </c>
      <c r="C1786" s="6" t="str">
        <f>TEXT(Table3[[#This Row],[transaction_date]], "yyyy-mm")</f>
        <v>2025-04</v>
      </c>
      <c r="D1786" t="s">
        <v>82</v>
      </c>
      <c r="E1786" t="s">
        <v>3636</v>
      </c>
      <c r="F1786" t="s">
        <v>3609</v>
      </c>
      <c r="G1786" s="1">
        <v>19155977.190000001</v>
      </c>
    </row>
    <row r="1787" spans="1:7">
      <c r="A1787" t="s">
        <v>1882</v>
      </c>
      <c r="B1787" s="6">
        <v>45996</v>
      </c>
      <c r="C1787" s="6" t="str">
        <f>TEXT(Table3[[#This Row],[transaction_date]], "yyyy-mm")</f>
        <v>2025-12</v>
      </c>
      <c r="D1787" t="s">
        <v>76</v>
      </c>
      <c r="E1787" t="s">
        <v>3636</v>
      </c>
      <c r="F1787" t="s">
        <v>3611</v>
      </c>
      <c r="G1787" s="1">
        <v>771633.6</v>
      </c>
    </row>
    <row r="1788" spans="1:7">
      <c r="A1788" t="s">
        <v>1883</v>
      </c>
      <c r="B1788" s="6">
        <v>46018</v>
      </c>
      <c r="C1788" s="6" t="str">
        <f>TEXT(Table3[[#This Row],[transaction_date]], "yyyy-mm")</f>
        <v>2025-12</v>
      </c>
      <c r="D1788" t="s">
        <v>84</v>
      </c>
      <c r="E1788" t="s">
        <v>3637</v>
      </c>
      <c r="F1788" t="s">
        <v>3615</v>
      </c>
      <c r="G1788" s="1">
        <v>15292435.26</v>
      </c>
    </row>
    <row r="1789" spans="1:7">
      <c r="A1789" t="s">
        <v>1884</v>
      </c>
      <c r="B1789" s="6">
        <v>45773</v>
      </c>
      <c r="C1789" s="6" t="str">
        <f>TEXT(Table3[[#This Row],[transaction_date]], "yyyy-mm")</f>
        <v>2025-04</v>
      </c>
      <c r="D1789" t="s">
        <v>79</v>
      </c>
      <c r="E1789" t="s">
        <v>3637</v>
      </c>
      <c r="F1789" t="s">
        <v>3618</v>
      </c>
      <c r="G1789" s="1">
        <v>3406073.99</v>
      </c>
    </row>
    <row r="1790" spans="1:7">
      <c r="A1790" t="s">
        <v>1885</v>
      </c>
      <c r="B1790" s="6">
        <v>45990</v>
      </c>
      <c r="C1790" s="6" t="str">
        <f>TEXT(Table3[[#This Row],[transaction_date]], "yyyy-mm")</f>
        <v>2025-11</v>
      </c>
      <c r="D1790" t="s">
        <v>93</v>
      </c>
      <c r="E1790" t="s">
        <v>3636</v>
      </c>
      <c r="F1790" t="s">
        <v>3607</v>
      </c>
      <c r="G1790" s="1">
        <v>3927275.94</v>
      </c>
    </row>
    <row r="1791" spans="1:7">
      <c r="A1791" t="s">
        <v>1886</v>
      </c>
      <c r="B1791" s="6">
        <v>45684</v>
      </c>
      <c r="C1791" s="6" t="str">
        <f>TEXT(Table3[[#This Row],[transaction_date]], "yyyy-mm")</f>
        <v>2025-01</v>
      </c>
      <c r="D1791" t="s">
        <v>84</v>
      </c>
      <c r="E1791" t="s">
        <v>3636</v>
      </c>
      <c r="F1791" t="s">
        <v>3604</v>
      </c>
      <c r="G1791" s="1">
        <v>3772229.48</v>
      </c>
    </row>
    <row r="1792" spans="1:7">
      <c r="A1792" t="s">
        <v>1887</v>
      </c>
      <c r="B1792" s="6">
        <v>45790</v>
      </c>
      <c r="C1792" s="6" t="str">
        <f>TEXT(Table3[[#This Row],[transaction_date]], "yyyy-mm")</f>
        <v>2025-05</v>
      </c>
      <c r="D1792" t="s">
        <v>80</v>
      </c>
      <c r="E1792" t="s">
        <v>3636</v>
      </c>
      <c r="F1792" t="s">
        <v>3605</v>
      </c>
      <c r="G1792" s="1">
        <v>600734.37</v>
      </c>
    </row>
    <row r="1793" spans="1:7">
      <c r="A1793" t="s">
        <v>1888</v>
      </c>
      <c r="B1793" s="6">
        <v>45860</v>
      </c>
      <c r="C1793" s="6" t="str">
        <f>TEXT(Table3[[#This Row],[transaction_date]], "yyyy-mm")</f>
        <v>2025-07</v>
      </c>
      <c r="D1793" t="s">
        <v>3597</v>
      </c>
      <c r="E1793" t="s">
        <v>3636</v>
      </c>
      <c r="F1793" t="s">
        <v>3606</v>
      </c>
      <c r="G1793" s="1">
        <v>714865.68</v>
      </c>
    </row>
    <row r="1794" spans="1:7">
      <c r="A1794" t="s">
        <v>1889</v>
      </c>
      <c r="B1794" s="6">
        <v>45943</v>
      </c>
      <c r="C1794" s="6" t="str">
        <f>TEXT(Table3[[#This Row],[transaction_date]], "yyyy-mm")</f>
        <v>2025-10</v>
      </c>
      <c r="D1794" t="s">
        <v>79</v>
      </c>
      <c r="E1794" t="s">
        <v>3636</v>
      </c>
      <c r="F1794" t="s">
        <v>3611</v>
      </c>
      <c r="G1794" s="1">
        <v>3687690.32</v>
      </c>
    </row>
    <row r="1795" spans="1:7">
      <c r="A1795" t="s">
        <v>1890</v>
      </c>
      <c r="B1795" s="6">
        <v>46019</v>
      </c>
      <c r="C1795" s="6" t="str">
        <f>TEXT(Table3[[#This Row],[transaction_date]], "yyyy-mm")</f>
        <v>2025-12</v>
      </c>
      <c r="D1795" t="s">
        <v>77</v>
      </c>
      <c r="E1795" t="s">
        <v>3636</v>
      </c>
      <c r="F1795" t="s">
        <v>3611</v>
      </c>
      <c r="G1795" s="1">
        <v>19537350.91</v>
      </c>
    </row>
    <row r="1796" spans="1:7">
      <c r="A1796" t="s">
        <v>1891</v>
      </c>
      <c r="B1796" s="6">
        <v>45815</v>
      </c>
      <c r="C1796" s="6" t="str">
        <f>TEXT(Table3[[#This Row],[transaction_date]], "yyyy-mm")</f>
        <v>2025-06</v>
      </c>
      <c r="D1796" t="s">
        <v>95</v>
      </c>
      <c r="E1796" t="s">
        <v>3636</v>
      </c>
      <c r="F1796" t="s">
        <v>3608</v>
      </c>
      <c r="G1796" s="1">
        <v>2672655.54</v>
      </c>
    </row>
    <row r="1797" spans="1:7">
      <c r="A1797" t="s">
        <v>1892</v>
      </c>
      <c r="B1797" s="6">
        <v>45892</v>
      </c>
      <c r="C1797" s="6" t="str">
        <f>TEXT(Table3[[#This Row],[transaction_date]], "yyyy-mm")</f>
        <v>2025-08</v>
      </c>
      <c r="D1797" t="s">
        <v>90</v>
      </c>
      <c r="E1797" t="s">
        <v>3636</v>
      </c>
      <c r="F1797" t="s">
        <v>3604</v>
      </c>
      <c r="G1797" s="1">
        <v>3706052.93</v>
      </c>
    </row>
    <row r="1798" spans="1:7">
      <c r="A1798" t="s">
        <v>1893</v>
      </c>
      <c r="B1798" s="6">
        <v>45789</v>
      </c>
      <c r="C1798" s="6" t="str">
        <f>TEXT(Table3[[#This Row],[transaction_date]], "yyyy-mm")</f>
        <v>2025-05</v>
      </c>
      <c r="D1798" t="s">
        <v>84</v>
      </c>
      <c r="E1798" t="s">
        <v>3637</v>
      </c>
      <c r="F1798" t="s">
        <v>3616</v>
      </c>
      <c r="G1798" s="1">
        <v>17205620.170000002</v>
      </c>
    </row>
    <row r="1799" spans="1:7">
      <c r="A1799" t="s">
        <v>1894</v>
      </c>
      <c r="B1799" s="6">
        <v>45717</v>
      </c>
      <c r="C1799" s="6" t="str">
        <f>TEXT(Table3[[#This Row],[transaction_date]], "yyyy-mm")</f>
        <v>2025-03</v>
      </c>
      <c r="D1799" t="s">
        <v>78</v>
      </c>
      <c r="E1799" t="s">
        <v>3637</v>
      </c>
      <c r="F1799" t="s">
        <v>3622</v>
      </c>
      <c r="G1799" s="1">
        <v>7515531.1799999997</v>
      </c>
    </row>
    <row r="1800" spans="1:7">
      <c r="A1800" t="s">
        <v>1895</v>
      </c>
      <c r="B1800" s="6">
        <v>45700</v>
      </c>
      <c r="C1800" s="6" t="str">
        <f>TEXT(Table3[[#This Row],[transaction_date]], "yyyy-mm")</f>
        <v>2025-02</v>
      </c>
      <c r="D1800" t="s">
        <v>73</v>
      </c>
      <c r="E1800" t="s">
        <v>3636</v>
      </c>
      <c r="F1800" t="s">
        <v>3611</v>
      </c>
      <c r="G1800" s="1">
        <v>8186564.4000000004</v>
      </c>
    </row>
    <row r="1801" spans="1:7">
      <c r="A1801" t="s">
        <v>1896</v>
      </c>
      <c r="B1801" s="6">
        <v>45777</v>
      </c>
      <c r="C1801" s="6" t="str">
        <f>TEXT(Table3[[#This Row],[transaction_date]], "yyyy-mm")</f>
        <v>2025-04</v>
      </c>
      <c r="D1801" t="s">
        <v>89</v>
      </c>
      <c r="E1801" t="s">
        <v>3637</v>
      </c>
      <c r="F1801" t="s">
        <v>3617</v>
      </c>
      <c r="G1801" s="1">
        <v>1862417.81</v>
      </c>
    </row>
    <row r="1802" spans="1:7">
      <c r="A1802" t="s">
        <v>1897</v>
      </c>
      <c r="B1802" s="6">
        <v>45770</v>
      </c>
      <c r="C1802" s="6" t="str">
        <f>TEXT(Table3[[#This Row],[transaction_date]], "yyyy-mm")</f>
        <v>2025-04</v>
      </c>
      <c r="D1802" t="s">
        <v>77</v>
      </c>
      <c r="E1802" t="s">
        <v>3636</v>
      </c>
      <c r="F1802" t="s">
        <v>3606</v>
      </c>
      <c r="G1802" s="1">
        <v>200640.83</v>
      </c>
    </row>
    <row r="1803" spans="1:7">
      <c r="A1803" t="s">
        <v>1898</v>
      </c>
      <c r="B1803" s="6">
        <v>45744</v>
      </c>
      <c r="C1803" s="6" t="str">
        <f>TEXT(Table3[[#This Row],[transaction_date]], "yyyy-mm")</f>
        <v>2025-03</v>
      </c>
      <c r="D1803" t="s">
        <v>80</v>
      </c>
      <c r="E1803" t="s">
        <v>3637</v>
      </c>
      <c r="F1803" t="s">
        <v>3618</v>
      </c>
      <c r="G1803" s="1">
        <v>1913243.97</v>
      </c>
    </row>
    <row r="1804" spans="1:7">
      <c r="A1804" t="s">
        <v>1899</v>
      </c>
      <c r="B1804" s="6">
        <v>45738</v>
      </c>
      <c r="C1804" s="6" t="str">
        <f>TEXT(Table3[[#This Row],[transaction_date]], "yyyy-mm")</f>
        <v>2025-03</v>
      </c>
      <c r="D1804" t="s">
        <v>74</v>
      </c>
      <c r="E1804" t="s">
        <v>3636</v>
      </c>
      <c r="F1804" t="s">
        <v>3610</v>
      </c>
      <c r="G1804" s="1">
        <v>428026.38</v>
      </c>
    </row>
    <row r="1805" spans="1:7">
      <c r="A1805" t="s">
        <v>1900</v>
      </c>
      <c r="B1805" s="6">
        <v>45901</v>
      </c>
      <c r="C1805" s="6" t="str">
        <f>TEXT(Table3[[#This Row],[transaction_date]], "yyyy-mm")</f>
        <v>2025-09</v>
      </c>
      <c r="D1805" t="s">
        <v>73</v>
      </c>
      <c r="E1805" t="s">
        <v>3637</v>
      </c>
      <c r="F1805" t="s">
        <v>3622</v>
      </c>
      <c r="G1805" s="1">
        <v>273789.03000000003</v>
      </c>
    </row>
    <row r="1806" spans="1:7">
      <c r="A1806" t="s">
        <v>1901</v>
      </c>
      <c r="B1806" s="6">
        <v>45884</v>
      </c>
      <c r="C1806" s="6" t="str">
        <f>TEXT(Table3[[#This Row],[transaction_date]], "yyyy-mm")</f>
        <v>2025-08</v>
      </c>
      <c r="D1806" t="s">
        <v>78</v>
      </c>
      <c r="E1806" t="s">
        <v>3637</v>
      </c>
      <c r="F1806" t="s">
        <v>3618</v>
      </c>
      <c r="G1806" s="1">
        <v>878386.68</v>
      </c>
    </row>
    <row r="1807" spans="1:7">
      <c r="A1807" t="s">
        <v>1902</v>
      </c>
      <c r="B1807" s="6">
        <v>45990</v>
      </c>
      <c r="C1807" s="6" t="str">
        <f>TEXT(Table3[[#This Row],[transaction_date]], "yyyy-mm")</f>
        <v>2025-11</v>
      </c>
      <c r="D1807" t="s">
        <v>73</v>
      </c>
      <c r="E1807" t="s">
        <v>3637</v>
      </c>
      <c r="F1807" t="s">
        <v>3621</v>
      </c>
      <c r="G1807" s="1">
        <v>644832.28</v>
      </c>
    </row>
    <row r="1808" spans="1:7">
      <c r="A1808" t="s">
        <v>1903</v>
      </c>
      <c r="B1808" s="6">
        <v>45897</v>
      </c>
      <c r="C1808" s="6" t="str">
        <f>TEXT(Table3[[#This Row],[transaction_date]], "yyyy-mm")</f>
        <v>2025-08</v>
      </c>
      <c r="D1808" t="s">
        <v>85</v>
      </c>
      <c r="E1808" t="s">
        <v>3637</v>
      </c>
      <c r="F1808" t="s">
        <v>3621</v>
      </c>
      <c r="G1808" s="1">
        <v>1196876.3899999999</v>
      </c>
    </row>
    <row r="1809" spans="1:7">
      <c r="A1809" t="s">
        <v>1904</v>
      </c>
      <c r="B1809" s="6">
        <v>45660</v>
      </c>
      <c r="C1809" s="6" t="str">
        <f>TEXT(Table3[[#This Row],[transaction_date]], "yyyy-mm")</f>
        <v>2025-01</v>
      </c>
      <c r="D1809" t="s">
        <v>75</v>
      </c>
      <c r="E1809" t="s">
        <v>3637</v>
      </c>
      <c r="F1809" t="s">
        <v>3614</v>
      </c>
      <c r="G1809" s="1">
        <v>12828432.52</v>
      </c>
    </row>
    <row r="1810" spans="1:7">
      <c r="A1810" t="s">
        <v>1905</v>
      </c>
      <c r="B1810" s="6">
        <v>45928</v>
      </c>
      <c r="C1810" s="6" t="str">
        <f>TEXT(Table3[[#This Row],[transaction_date]], "yyyy-mm")</f>
        <v>2025-09</v>
      </c>
      <c r="D1810" t="s">
        <v>89</v>
      </c>
      <c r="E1810" t="s">
        <v>3636</v>
      </c>
      <c r="F1810" t="s">
        <v>3604</v>
      </c>
      <c r="G1810" s="1">
        <v>297373.88</v>
      </c>
    </row>
    <row r="1811" spans="1:7">
      <c r="A1811" t="s">
        <v>1906</v>
      </c>
      <c r="B1811" s="6">
        <v>45922</v>
      </c>
      <c r="C1811" s="6" t="str">
        <f>TEXT(Table3[[#This Row],[transaction_date]], "yyyy-mm")</f>
        <v>2025-09</v>
      </c>
      <c r="D1811" t="s">
        <v>76</v>
      </c>
      <c r="E1811" t="s">
        <v>3636</v>
      </c>
      <c r="F1811" t="s">
        <v>3612</v>
      </c>
      <c r="G1811" s="1">
        <v>7313752.0800000001</v>
      </c>
    </row>
    <row r="1812" spans="1:7">
      <c r="A1812" t="s">
        <v>1907</v>
      </c>
      <c r="B1812" s="6">
        <v>45899</v>
      </c>
      <c r="C1812" s="6" t="str">
        <f>TEXT(Table3[[#This Row],[transaction_date]], "yyyy-mm")</f>
        <v>2025-08</v>
      </c>
      <c r="D1812" t="s">
        <v>85</v>
      </c>
      <c r="E1812" t="s">
        <v>3637</v>
      </c>
      <c r="F1812" t="s">
        <v>3616</v>
      </c>
      <c r="G1812" s="1">
        <v>3724360.1</v>
      </c>
    </row>
    <row r="1813" spans="1:7">
      <c r="A1813" t="s">
        <v>1908</v>
      </c>
      <c r="B1813" s="6">
        <v>45930</v>
      </c>
      <c r="C1813" s="6" t="str">
        <f>TEXT(Table3[[#This Row],[transaction_date]], "yyyy-mm")</f>
        <v>2025-09</v>
      </c>
      <c r="D1813" t="s">
        <v>82</v>
      </c>
      <c r="E1813" t="s">
        <v>3637</v>
      </c>
      <c r="F1813" t="s">
        <v>3615</v>
      </c>
      <c r="G1813" s="1">
        <v>2952551.3</v>
      </c>
    </row>
    <row r="1814" spans="1:7">
      <c r="A1814" t="s">
        <v>1909</v>
      </c>
      <c r="B1814" s="6">
        <v>45868</v>
      </c>
      <c r="C1814" s="6" t="str">
        <f>TEXT(Table3[[#This Row],[transaction_date]], "yyyy-mm")</f>
        <v>2025-07</v>
      </c>
      <c r="D1814" t="s">
        <v>80</v>
      </c>
      <c r="E1814" t="s">
        <v>3637</v>
      </c>
      <c r="F1814" t="s">
        <v>3618</v>
      </c>
      <c r="G1814" s="1">
        <v>2368486.2400000002</v>
      </c>
    </row>
    <row r="1815" spans="1:7">
      <c r="A1815" t="s">
        <v>1910</v>
      </c>
      <c r="B1815" s="6">
        <v>45941</v>
      </c>
      <c r="C1815" s="6" t="str">
        <f>TEXT(Table3[[#This Row],[transaction_date]], "yyyy-mm")</f>
        <v>2025-10</v>
      </c>
      <c r="D1815" t="s">
        <v>93</v>
      </c>
      <c r="E1815" t="s">
        <v>3636</v>
      </c>
      <c r="F1815" t="s">
        <v>3607</v>
      </c>
      <c r="G1815" s="1">
        <v>8446214.2300000004</v>
      </c>
    </row>
    <row r="1816" spans="1:7">
      <c r="A1816" t="s">
        <v>1911</v>
      </c>
      <c r="B1816" s="6">
        <v>45748</v>
      </c>
      <c r="C1816" s="6" t="str">
        <f>TEXT(Table3[[#This Row],[transaction_date]], "yyyy-mm")</f>
        <v>2025-04</v>
      </c>
      <c r="D1816" t="s">
        <v>79</v>
      </c>
      <c r="E1816" t="s">
        <v>3637</v>
      </c>
      <c r="F1816" t="s">
        <v>3623</v>
      </c>
      <c r="G1816" s="1">
        <v>5433859.3700000001</v>
      </c>
    </row>
    <row r="1817" spans="1:7">
      <c r="A1817" t="s">
        <v>1912</v>
      </c>
      <c r="B1817" s="6">
        <v>46007</v>
      </c>
      <c r="C1817" s="6" t="str">
        <f>TEXT(Table3[[#This Row],[transaction_date]], "yyyy-mm")</f>
        <v>2025-12</v>
      </c>
      <c r="D1817" t="s">
        <v>74</v>
      </c>
      <c r="E1817" t="s">
        <v>3636</v>
      </c>
      <c r="F1817" t="s">
        <v>3613</v>
      </c>
      <c r="G1817" s="1">
        <v>3095498.25</v>
      </c>
    </row>
    <row r="1818" spans="1:7">
      <c r="A1818" t="s">
        <v>1913</v>
      </c>
      <c r="B1818" s="6">
        <v>45668</v>
      </c>
      <c r="C1818" s="6" t="str">
        <f>TEXT(Table3[[#This Row],[transaction_date]], "yyyy-mm")</f>
        <v>2025-01</v>
      </c>
      <c r="D1818" t="s">
        <v>84</v>
      </c>
      <c r="E1818" t="s">
        <v>3636</v>
      </c>
      <c r="F1818" t="s">
        <v>3613</v>
      </c>
      <c r="G1818" s="1">
        <v>15504877.939999999</v>
      </c>
    </row>
    <row r="1819" spans="1:7">
      <c r="A1819" t="s">
        <v>1914</v>
      </c>
      <c r="B1819" s="6">
        <v>45999</v>
      </c>
      <c r="C1819" s="6" t="str">
        <f>TEXT(Table3[[#This Row],[transaction_date]], "yyyy-mm")</f>
        <v>2025-12</v>
      </c>
      <c r="D1819" t="s">
        <v>84</v>
      </c>
      <c r="E1819" t="s">
        <v>3637</v>
      </c>
      <c r="F1819" t="s">
        <v>3616</v>
      </c>
      <c r="G1819" s="1">
        <v>18648025.050000001</v>
      </c>
    </row>
    <row r="1820" spans="1:7">
      <c r="A1820" t="s">
        <v>1915</v>
      </c>
      <c r="B1820" s="6">
        <v>45793</v>
      </c>
      <c r="C1820" s="6" t="str">
        <f>TEXT(Table3[[#This Row],[transaction_date]], "yyyy-mm")</f>
        <v>2025-05</v>
      </c>
      <c r="D1820" t="s">
        <v>80</v>
      </c>
      <c r="E1820" t="s">
        <v>3637</v>
      </c>
      <c r="F1820" t="s">
        <v>3621</v>
      </c>
      <c r="G1820" s="1">
        <v>266847.03999999998</v>
      </c>
    </row>
    <row r="1821" spans="1:7">
      <c r="A1821" t="s">
        <v>1916</v>
      </c>
      <c r="B1821" s="6">
        <v>45835</v>
      </c>
      <c r="C1821" s="6" t="str">
        <f>TEXT(Table3[[#This Row],[transaction_date]], "yyyy-mm")</f>
        <v>2025-06</v>
      </c>
      <c r="D1821" t="s">
        <v>76</v>
      </c>
      <c r="E1821" t="s">
        <v>3637</v>
      </c>
      <c r="F1821" t="s">
        <v>3620</v>
      </c>
      <c r="G1821" s="1">
        <v>5684899.3499999996</v>
      </c>
    </row>
    <row r="1822" spans="1:7">
      <c r="A1822" t="s">
        <v>1917</v>
      </c>
      <c r="B1822" s="6">
        <v>45667</v>
      </c>
      <c r="C1822" s="6" t="str">
        <f>TEXT(Table3[[#This Row],[transaction_date]], "yyyy-mm")</f>
        <v>2025-01</v>
      </c>
      <c r="D1822" t="s">
        <v>3597</v>
      </c>
      <c r="E1822" t="s">
        <v>3636</v>
      </c>
      <c r="F1822" t="s">
        <v>3606</v>
      </c>
      <c r="G1822" s="1">
        <v>2296197.59</v>
      </c>
    </row>
    <row r="1823" spans="1:7">
      <c r="A1823" t="s">
        <v>1918</v>
      </c>
      <c r="B1823" s="6">
        <v>45987</v>
      </c>
      <c r="C1823" s="6" t="str">
        <f>TEXT(Table3[[#This Row],[transaction_date]], "yyyy-mm")</f>
        <v>2025-11</v>
      </c>
      <c r="D1823" t="s">
        <v>80</v>
      </c>
      <c r="E1823" t="s">
        <v>3637</v>
      </c>
      <c r="F1823" t="s">
        <v>3614</v>
      </c>
      <c r="G1823" s="1">
        <v>1043355.68</v>
      </c>
    </row>
    <row r="1824" spans="1:7">
      <c r="A1824" t="s">
        <v>1919</v>
      </c>
      <c r="B1824" s="6">
        <v>45679</v>
      </c>
      <c r="C1824" s="6" t="str">
        <f>TEXT(Table3[[#This Row],[transaction_date]], "yyyy-mm")</f>
        <v>2025-01</v>
      </c>
      <c r="D1824" t="s">
        <v>93</v>
      </c>
      <c r="E1824" t="s">
        <v>3636</v>
      </c>
      <c r="F1824" t="s">
        <v>3604</v>
      </c>
      <c r="G1824" s="1">
        <v>2760846.49</v>
      </c>
    </row>
    <row r="1825" spans="1:7">
      <c r="A1825" t="s">
        <v>1920</v>
      </c>
      <c r="B1825" s="6">
        <v>45726</v>
      </c>
      <c r="C1825" s="6" t="str">
        <f>TEXT(Table3[[#This Row],[transaction_date]], "yyyy-mm")</f>
        <v>2025-03</v>
      </c>
      <c r="D1825" t="s">
        <v>73</v>
      </c>
      <c r="E1825" t="s">
        <v>3636</v>
      </c>
      <c r="F1825" t="s">
        <v>3605</v>
      </c>
      <c r="G1825" s="1">
        <v>1554037.22</v>
      </c>
    </row>
    <row r="1826" spans="1:7">
      <c r="A1826" t="s">
        <v>1921</v>
      </c>
      <c r="B1826" s="6">
        <v>45749</v>
      </c>
      <c r="C1826" s="6" t="str">
        <f>TEXT(Table3[[#This Row],[transaction_date]], "yyyy-mm")</f>
        <v>2025-04</v>
      </c>
      <c r="D1826" t="s">
        <v>73</v>
      </c>
      <c r="E1826" t="s">
        <v>3636</v>
      </c>
      <c r="F1826" t="s">
        <v>3609</v>
      </c>
      <c r="G1826" s="1">
        <v>11312753.550000001</v>
      </c>
    </row>
    <row r="1827" spans="1:7">
      <c r="A1827" t="s">
        <v>1922</v>
      </c>
      <c r="B1827" s="6">
        <v>45680</v>
      </c>
      <c r="C1827" s="6" t="str">
        <f>TEXT(Table3[[#This Row],[transaction_date]], "yyyy-mm")</f>
        <v>2025-01</v>
      </c>
      <c r="D1827" t="s">
        <v>79</v>
      </c>
      <c r="E1827" t="s">
        <v>3636</v>
      </c>
      <c r="F1827" t="s">
        <v>3612</v>
      </c>
      <c r="G1827" s="1">
        <v>8160430.3799999999</v>
      </c>
    </row>
    <row r="1828" spans="1:7">
      <c r="A1828" t="s">
        <v>1923</v>
      </c>
      <c r="B1828" s="6">
        <v>46003</v>
      </c>
      <c r="C1828" s="6" t="str">
        <f>TEXT(Table3[[#This Row],[transaction_date]], "yyyy-mm")</f>
        <v>2025-12</v>
      </c>
      <c r="D1828" t="s">
        <v>84</v>
      </c>
      <c r="E1828" t="s">
        <v>3637</v>
      </c>
      <c r="F1828" t="s">
        <v>3614</v>
      </c>
      <c r="G1828" s="1">
        <v>10211973.689999999</v>
      </c>
    </row>
    <row r="1829" spans="1:7">
      <c r="A1829" t="s">
        <v>1924</v>
      </c>
      <c r="B1829" s="6">
        <v>45889</v>
      </c>
      <c r="C1829" s="6" t="str">
        <f>TEXT(Table3[[#This Row],[transaction_date]], "yyyy-mm")</f>
        <v>2025-08</v>
      </c>
      <c r="D1829" t="s">
        <v>76</v>
      </c>
      <c r="E1829" t="s">
        <v>3636</v>
      </c>
      <c r="F1829" t="s">
        <v>3605</v>
      </c>
      <c r="G1829" s="1">
        <v>7402967.6399999997</v>
      </c>
    </row>
    <row r="1830" spans="1:7">
      <c r="A1830" t="s">
        <v>1925</v>
      </c>
      <c r="B1830" s="6">
        <v>45661</v>
      </c>
      <c r="C1830" s="6" t="str">
        <f>TEXT(Table3[[#This Row],[transaction_date]], "yyyy-mm")</f>
        <v>2025-01</v>
      </c>
      <c r="D1830" t="s">
        <v>84</v>
      </c>
      <c r="E1830" t="s">
        <v>3636</v>
      </c>
      <c r="F1830" t="s">
        <v>3605</v>
      </c>
      <c r="G1830" s="1">
        <v>62449.55</v>
      </c>
    </row>
    <row r="1831" spans="1:7">
      <c r="A1831" t="s">
        <v>1926</v>
      </c>
      <c r="B1831" s="6">
        <v>45940</v>
      </c>
      <c r="C1831" s="6" t="str">
        <f>TEXT(Table3[[#This Row],[transaction_date]], "yyyy-mm")</f>
        <v>2025-10</v>
      </c>
      <c r="D1831" t="s">
        <v>78</v>
      </c>
      <c r="E1831" t="s">
        <v>3636</v>
      </c>
      <c r="F1831" t="s">
        <v>3613</v>
      </c>
      <c r="G1831" s="1">
        <v>5553027.6399999997</v>
      </c>
    </row>
    <row r="1832" spans="1:7">
      <c r="A1832" t="s">
        <v>1927</v>
      </c>
      <c r="B1832" s="6">
        <v>45771</v>
      </c>
      <c r="C1832" s="6" t="str">
        <f>TEXT(Table3[[#This Row],[transaction_date]], "yyyy-mm")</f>
        <v>2025-04</v>
      </c>
      <c r="D1832" t="s">
        <v>89</v>
      </c>
      <c r="E1832" t="s">
        <v>3636</v>
      </c>
      <c r="F1832" t="s">
        <v>3609</v>
      </c>
      <c r="G1832" s="1">
        <v>783360.46</v>
      </c>
    </row>
    <row r="1833" spans="1:7">
      <c r="A1833" t="s">
        <v>1928</v>
      </c>
      <c r="B1833" s="6">
        <v>45736</v>
      </c>
      <c r="C1833" s="6" t="str">
        <f>TEXT(Table3[[#This Row],[transaction_date]], "yyyy-mm")</f>
        <v>2025-03</v>
      </c>
      <c r="D1833" t="s">
        <v>77</v>
      </c>
      <c r="E1833" t="s">
        <v>3636</v>
      </c>
      <c r="F1833" t="s">
        <v>3609</v>
      </c>
      <c r="G1833" s="1">
        <v>67654.37</v>
      </c>
    </row>
    <row r="1834" spans="1:7">
      <c r="A1834" t="s">
        <v>1929</v>
      </c>
      <c r="B1834" s="6">
        <v>45941</v>
      </c>
      <c r="C1834" s="6" t="str">
        <f>TEXT(Table3[[#This Row],[transaction_date]], "yyyy-mm")</f>
        <v>2025-10</v>
      </c>
      <c r="D1834" t="s">
        <v>82</v>
      </c>
      <c r="E1834" t="s">
        <v>3636</v>
      </c>
      <c r="F1834" t="s">
        <v>3609</v>
      </c>
      <c r="G1834" s="1">
        <v>23466495.73</v>
      </c>
    </row>
    <row r="1835" spans="1:7">
      <c r="A1835" t="s">
        <v>1930</v>
      </c>
      <c r="B1835" s="6">
        <v>45878</v>
      </c>
      <c r="C1835" s="6" t="str">
        <f>TEXT(Table3[[#This Row],[transaction_date]], "yyyy-mm")</f>
        <v>2025-08</v>
      </c>
      <c r="D1835" t="s">
        <v>93</v>
      </c>
      <c r="E1835" t="s">
        <v>3637</v>
      </c>
      <c r="F1835" t="s">
        <v>3623</v>
      </c>
      <c r="G1835" s="1">
        <v>15960947.83</v>
      </c>
    </row>
    <row r="1836" spans="1:7">
      <c r="A1836" t="s">
        <v>1931</v>
      </c>
      <c r="B1836" s="6">
        <v>45809</v>
      </c>
      <c r="C1836" s="6" t="str">
        <f>TEXT(Table3[[#This Row],[transaction_date]], "yyyy-mm")</f>
        <v>2025-06</v>
      </c>
      <c r="D1836" t="s">
        <v>76</v>
      </c>
      <c r="E1836" t="s">
        <v>3637</v>
      </c>
      <c r="F1836" t="s">
        <v>3620</v>
      </c>
      <c r="G1836" s="1">
        <v>5561966.4299999997</v>
      </c>
    </row>
    <row r="1837" spans="1:7">
      <c r="A1837" t="s">
        <v>1932</v>
      </c>
      <c r="B1837" s="6">
        <v>45757</v>
      </c>
      <c r="C1837" s="6" t="str">
        <f>TEXT(Table3[[#This Row],[transaction_date]], "yyyy-mm")</f>
        <v>2025-04</v>
      </c>
      <c r="D1837" t="s">
        <v>75</v>
      </c>
      <c r="E1837" t="s">
        <v>3637</v>
      </c>
      <c r="F1837" t="s">
        <v>3622</v>
      </c>
      <c r="G1837" s="1">
        <v>4199306.93</v>
      </c>
    </row>
    <row r="1838" spans="1:7">
      <c r="A1838" t="s">
        <v>1933</v>
      </c>
      <c r="B1838" s="6">
        <v>45990</v>
      </c>
      <c r="C1838" s="6" t="str">
        <f>TEXT(Table3[[#This Row],[transaction_date]], "yyyy-mm")</f>
        <v>2025-11</v>
      </c>
      <c r="D1838" t="s">
        <v>77</v>
      </c>
      <c r="E1838" t="s">
        <v>3636</v>
      </c>
      <c r="F1838" t="s">
        <v>3608</v>
      </c>
      <c r="G1838" s="1">
        <v>16503901.800000001</v>
      </c>
    </row>
    <row r="1839" spans="1:7">
      <c r="A1839" t="s">
        <v>1934</v>
      </c>
      <c r="B1839" s="6">
        <v>45700</v>
      </c>
      <c r="C1839" s="6" t="str">
        <f>TEXT(Table3[[#This Row],[transaction_date]], "yyyy-mm")</f>
        <v>2025-02</v>
      </c>
      <c r="D1839" t="s">
        <v>74</v>
      </c>
      <c r="E1839" t="s">
        <v>3636</v>
      </c>
      <c r="F1839" t="s">
        <v>3605</v>
      </c>
      <c r="G1839" s="1">
        <v>415798.61</v>
      </c>
    </row>
    <row r="1840" spans="1:7">
      <c r="A1840" t="s">
        <v>1935</v>
      </c>
      <c r="B1840" s="6">
        <v>45687</v>
      </c>
      <c r="C1840" s="6" t="str">
        <f>TEXT(Table3[[#This Row],[transaction_date]], "yyyy-mm")</f>
        <v>2025-01</v>
      </c>
      <c r="D1840" t="s">
        <v>77</v>
      </c>
      <c r="E1840" t="s">
        <v>3637</v>
      </c>
      <c r="F1840" t="s">
        <v>3618</v>
      </c>
      <c r="G1840" s="1">
        <v>11510401.109999999</v>
      </c>
    </row>
    <row r="1841" spans="1:7">
      <c r="A1841" t="s">
        <v>1936</v>
      </c>
      <c r="B1841" s="6">
        <v>45741</v>
      </c>
      <c r="C1841" s="6" t="str">
        <f>TEXT(Table3[[#This Row],[transaction_date]], "yyyy-mm")</f>
        <v>2025-03</v>
      </c>
      <c r="D1841" t="s">
        <v>75</v>
      </c>
      <c r="E1841" t="s">
        <v>3636</v>
      </c>
      <c r="F1841" t="s">
        <v>3613</v>
      </c>
      <c r="G1841" s="1">
        <v>5316130.13</v>
      </c>
    </row>
    <row r="1842" spans="1:7">
      <c r="A1842" t="s">
        <v>1937</v>
      </c>
      <c r="B1842" s="6">
        <v>45928</v>
      </c>
      <c r="C1842" s="6" t="str">
        <f>TEXT(Table3[[#This Row],[transaction_date]], "yyyy-mm")</f>
        <v>2025-09</v>
      </c>
      <c r="D1842" t="s">
        <v>90</v>
      </c>
      <c r="E1842" t="s">
        <v>3637</v>
      </c>
      <c r="F1842" t="s">
        <v>3619</v>
      </c>
      <c r="G1842" s="1">
        <v>7417897.5199999996</v>
      </c>
    </row>
    <row r="1843" spans="1:7">
      <c r="A1843" t="s">
        <v>1938</v>
      </c>
      <c r="B1843" s="6">
        <v>45777</v>
      </c>
      <c r="C1843" s="6" t="str">
        <f>TEXT(Table3[[#This Row],[transaction_date]], "yyyy-mm")</f>
        <v>2025-04</v>
      </c>
      <c r="D1843" t="s">
        <v>74</v>
      </c>
      <c r="E1843" t="s">
        <v>3636</v>
      </c>
      <c r="F1843" t="s">
        <v>3613</v>
      </c>
      <c r="G1843" s="1">
        <v>2043373.96</v>
      </c>
    </row>
    <row r="1844" spans="1:7">
      <c r="A1844" t="s">
        <v>1939</v>
      </c>
      <c r="B1844" s="6">
        <v>45822</v>
      </c>
      <c r="C1844" s="6" t="str">
        <f>TEXT(Table3[[#This Row],[transaction_date]], "yyyy-mm")</f>
        <v>2025-06</v>
      </c>
      <c r="D1844" t="s">
        <v>85</v>
      </c>
      <c r="E1844" t="s">
        <v>3637</v>
      </c>
      <c r="F1844" t="s">
        <v>3623</v>
      </c>
      <c r="G1844" s="1">
        <v>1135479.83</v>
      </c>
    </row>
    <row r="1845" spans="1:7">
      <c r="A1845" t="s">
        <v>1940</v>
      </c>
      <c r="B1845" s="6">
        <v>45887</v>
      </c>
      <c r="C1845" s="6" t="str">
        <f>TEXT(Table3[[#This Row],[transaction_date]], "yyyy-mm")</f>
        <v>2025-08</v>
      </c>
      <c r="D1845" t="s">
        <v>90</v>
      </c>
      <c r="E1845" t="s">
        <v>3636</v>
      </c>
      <c r="F1845" t="s">
        <v>3610</v>
      </c>
      <c r="G1845" s="1">
        <v>14678522.4</v>
      </c>
    </row>
    <row r="1846" spans="1:7">
      <c r="A1846" t="s">
        <v>1941</v>
      </c>
      <c r="B1846" s="6">
        <v>45858</v>
      </c>
      <c r="C1846" s="6" t="str">
        <f>TEXT(Table3[[#This Row],[transaction_date]], "yyyy-mm")</f>
        <v>2025-07</v>
      </c>
      <c r="D1846" t="s">
        <v>90</v>
      </c>
      <c r="E1846" t="s">
        <v>3636</v>
      </c>
      <c r="F1846" t="s">
        <v>3604</v>
      </c>
      <c r="G1846" s="1">
        <v>4064721.01</v>
      </c>
    </row>
    <row r="1847" spans="1:7">
      <c r="A1847" t="s">
        <v>1942</v>
      </c>
      <c r="B1847" s="6">
        <v>46009</v>
      </c>
      <c r="C1847" s="6" t="str">
        <f>TEXT(Table3[[#This Row],[transaction_date]], "yyyy-mm")</f>
        <v>2025-12</v>
      </c>
      <c r="D1847" t="s">
        <v>90</v>
      </c>
      <c r="E1847" t="s">
        <v>3636</v>
      </c>
      <c r="F1847" t="s">
        <v>3604</v>
      </c>
      <c r="G1847" s="1">
        <v>2775563.45</v>
      </c>
    </row>
    <row r="1848" spans="1:7">
      <c r="A1848" t="s">
        <v>1943</v>
      </c>
      <c r="B1848" s="6">
        <v>45943</v>
      </c>
      <c r="C1848" s="6" t="str">
        <f>TEXT(Table3[[#This Row],[transaction_date]], "yyyy-mm")</f>
        <v>2025-10</v>
      </c>
      <c r="D1848" t="s">
        <v>79</v>
      </c>
      <c r="E1848" t="s">
        <v>3636</v>
      </c>
      <c r="F1848" t="s">
        <v>3605</v>
      </c>
      <c r="G1848" s="1">
        <v>2919369.7</v>
      </c>
    </row>
    <row r="1849" spans="1:7">
      <c r="A1849" t="s">
        <v>1944</v>
      </c>
      <c r="B1849" s="6">
        <v>45940</v>
      </c>
      <c r="C1849" s="6" t="str">
        <f>TEXT(Table3[[#This Row],[transaction_date]], "yyyy-mm")</f>
        <v>2025-10</v>
      </c>
      <c r="D1849" t="s">
        <v>80</v>
      </c>
      <c r="E1849" t="s">
        <v>3637</v>
      </c>
      <c r="F1849" t="s">
        <v>3615</v>
      </c>
      <c r="G1849" s="1">
        <v>443206.86</v>
      </c>
    </row>
    <row r="1850" spans="1:7">
      <c r="A1850" t="s">
        <v>1945</v>
      </c>
      <c r="B1850" s="6">
        <v>45902</v>
      </c>
      <c r="C1850" s="6" t="str">
        <f>TEXT(Table3[[#This Row],[transaction_date]], "yyyy-mm")</f>
        <v>2025-09</v>
      </c>
      <c r="D1850" t="s">
        <v>89</v>
      </c>
      <c r="E1850" t="s">
        <v>3637</v>
      </c>
      <c r="F1850" t="s">
        <v>3617</v>
      </c>
      <c r="G1850" s="1">
        <v>1108001.17</v>
      </c>
    </row>
    <row r="1851" spans="1:7">
      <c r="A1851" t="s">
        <v>1946</v>
      </c>
      <c r="B1851" s="6">
        <v>45761</v>
      </c>
      <c r="C1851" s="6" t="str">
        <f>TEXT(Table3[[#This Row],[transaction_date]], "yyyy-mm")</f>
        <v>2025-04</v>
      </c>
      <c r="D1851" t="s">
        <v>76</v>
      </c>
      <c r="E1851" t="s">
        <v>3636</v>
      </c>
      <c r="F1851" t="s">
        <v>3609</v>
      </c>
      <c r="G1851" s="1">
        <v>3857807.26</v>
      </c>
    </row>
    <row r="1852" spans="1:7">
      <c r="A1852" t="s">
        <v>1947</v>
      </c>
      <c r="B1852" s="6">
        <v>45659</v>
      </c>
      <c r="C1852" s="6" t="str">
        <f>TEXT(Table3[[#This Row],[transaction_date]], "yyyy-mm")</f>
        <v>2025-01</v>
      </c>
      <c r="D1852" t="s">
        <v>80</v>
      </c>
      <c r="E1852" t="s">
        <v>3637</v>
      </c>
      <c r="F1852" t="s">
        <v>3615</v>
      </c>
      <c r="G1852" s="1">
        <v>338500.44</v>
      </c>
    </row>
    <row r="1853" spans="1:7">
      <c r="A1853" t="s">
        <v>1948</v>
      </c>
      <c r="B1853" s="6">
        <v>45836</v>
      </c>
      <c r="C1853" s="6" t="str">
        <f>TEXT(Table3[[#This Row],[transaction_date]], "yyyy-mm")</f>
        <v>2025-06</v>
      </c>
      <c r="D1853" t="s">
        <v>73</v>
      </c>
      <c r="E1853" t="s">
        <v>3637</v>
      </c>
      <c r="F1853" t="s">
        <v>3619</v>
      </c>
      <c r="G1853" s="1">
        <v>205213.34</v>
      </c>
    </row>
    <row r="1854" spans="1:7">
      <c r="A1854" t="s">
        <v>1949</v>
      </c>
      <c r="B1854" s="6">
        <v>45884</v>
      </c>
      <c r="C1854" s="6" t="str">
        <f>TEXT(Table3[[#This Row],[transaction_date]], "yyyy-mm")</f>
        <v>2025-08</v>
      </c>
      <c r="D1854" t="s">
        <v>79</v>
      </c>
      <c r="E1854" t="s">
        <v>3637</v>
      </c>
      <c r="F1854" t="s">
        <v>3614</v>
      </c>
      <c r="G1854" s="1">
        <v>3374138.52</v>
      </c>
    </row>
    <row r="1855" spans="1:7">
      <c r="A1855" t="s">
        <v>1950</v>
      </c>
      <c r="B1855" s="6">
        <v>45823</v>
      </c>
      <c r="C1855" s="6" t="str">
        <f>TEXT(Table3[[#This Row],[transaction_date]], "yyyy-mm")</f>
        <v>2025-06</v>
      </c>
      <c r="D1855" t="s">
        <v>85</v>
      </c>
      <c r="E1855" t="s">
        <v>3637</v>
      </c>
      <c r="F1855" t="s">
        <v>3623</v>
      </c>
      <c r="G1855" s="1">
        <v>48772.9</v>
      </c>
    </row>
    <row r="1856" spans="1:7">
      <c r="A1856" t="s">
        <v>1951</v>
      </c>
      <c r="B1856" s="6">
        <v>45961</v>
      </c>
      <c r="C1856" s="6" t="str">
        <f>TEXT(Table3[[#This Row],[transaction_date]], "yyyy-mm")</f>
        <v>2025-10</v>
      </c>
      <c r="D1856" t="s">
        <v>82</v>
      </c>
      <c r="E1856" t="s">
        <v>3636</v>
      </c>
      <c r="F1856" t="s">
        <v>3613</v>
      </c>
      <c r="G1856" s="1">
        <v>17299306.43</v>
      </c>
    </row>
    <row r="1857" spans="1:7">
      <c r="A1857" t="s">
        <v>1952</v>
      </c>
      <c r="B1857" s="6">
        <v>45970</v>
      </c>
      <c r="C1857" s="6" t="str">
        <f>TEXT(Table3[[#This Row],[transaction_date]], "yyyy-mm")</f>
        <v>2025-11</v>
      </c>
      <c r="D1857" t="s">
        <v>89</v>
      </c>
      <c r="E1857" t="s">
        <v>3637</v>
      </c>
      <c r="F1857" t="s">
        <v>3617</v>
      </c>
      <c r="G1857" s="1">
        <v>3429695.78</v>
      </c>
    </row>
    <row r="1858" spans="1:7">
      <c r="A1858" t="s">
        <v>1953</v>
      </c>
      <c r="B1858" s="6">
        <v>45919</v>
      </c>
      <c r="C1858" s="6" t="str">
        <f>TEXT(Table3[[#This Row],[transaction_date]], "yyyy-mm")</f>
        <v>2025-09</v>
      </c>
      <c r="D1858" t="s">
        <v>3597</v>
      </c>
      <c r="E1858" t="s">
        <v>3637</v>
      </c>
      <c r="F1858" t="s">
        <v>3621</v>
      </c>
      <c r="G1858" s="1">
        <v>2977584.16</v>
      </c>
    </row>
    <row r="1859" spans="1:7">
      <c r="A1859" t="s">
        <v>1954</v>
      </c>
      <c r="B1859" s="6">
        <v>45899</v>
      </c>
      <c r="C1859" s="6" t="str">
        <f>TEXT(Table3[[#This Row],[transaction_date]], "yyyy-mm")</f>
        <v>2025-08</v>
      </c>
      <c r="D1859" t="s">
        <v>73</v>
      </c>
      <c r="E1859" t="s">
        <v>3637</v>
      </c>
      <c r="F1859" t="s">
        <v>3618</v>
      </c>
      <c r="G1859" s="1">
        <v>4125384.08</v>
      </c>
    </row>
    <row r="1860" spans="1:7">
      <c r="A1860" t="s">
        <v>1955</v>
      </c>
      <c r="B1860" s="6">
        <v>45687</v>
      </c>
      <c r="C1860" s="6" t="str">
        <f>TEXT(Table3[[#This Row],[transaction_date]], "yyyy-mm")</f>
        <v>2025-01</v>
      </c>
      <c r="D1860" t="s">
        <v>85</v>
      </c>
      <c r="E1860" t="s">
        <v>3636</v>
      </c>
      <c r="F1860" t="s">
        <v>3613</v>
      </c>
      <c r="G1860" s="1">
        <v>2846867.59</v>
      </c>
    </row>
    <row r="1861" spans="1:7">
      <c r="A1861" t="s">
        <v>1956</v>
      </c>
      <c r="B1861" s="6">
        <v>45680</v>
      </c>
      <c r="C1861" s="6" t="str">
        <f>TEXT(Table3[[#This Row],[transaction_date]], "yyyy-mm")</f>
        <v>2025-01</v>
      </c>
      <c r="D1861" t="s">
        <v>3597</v>
      </c>
      <c r="E1861" t="s">
        <v>3636</v>
      </c>
      <c r="F1861" t="s">
        <v>3612</v>
      </c>
      <c r="G1861" s="1">
        <v>2699809.84</v>
      </c>
    </row>
    <row r="1862" spans="1:7">
      <c r="A1862" t="s">
        <v>1957</v>
      </c>
      <c r="B1862" s="6">
        <v>45944</v>
      </c>
      <c r="C1862" s="6" t="str">
        <f>TEXT(Table3[[#This Row],[transaction_date]], "yyyy-mm")</f>
        <v>2025-10</v>
      </c>
      <c r="D1862" t="s">
        <v>85</v>
      </c>
      <c r="E1862" t="s">
        <v>3636</v>
      </c>
      <c r="F1862" t="s">
        <v>3606</v>
      </c>
      <c r="G1862" s="1">
        <v>181323.02</v>
      </c>
    </row>
    <row r="1863" spans="1:7">
      <c r="A1863" t="s">
        <v>1958</v>
      </c>
      <c r="B1863" s="6">
        <v>45674</v>
      </c>
      <c r="C1863" s="6" t="str">
        <f>TEXT(Table3[[#This Row],[transaction_date]], "yyyy-mm")</f>
        <v>2025-01</v>
      </c>
      <c r="D1863" t="s">
        <v>82</v>
      </c>
      <c r="E1863" t="s">
        <v>3637</v>
      </c>
      <c r="F1863" t="s">
        <v>3615</v>
      </c>
      <c r="G1863" s="1">
        <v>6780965.0499999998</v>
      </c>
    </row>
    <row r="1864" spans="1:7">
      <c r="A1864" t="s">
        <v>1959</v>
      </c>
      <c r="B1864" s="6">
        <v>45794</v>
      </c>
      <c r="C1864" s="6" t="str">
        <f>TEXT(Table3[[#This Row],[transaction_date]], "yyyy-mm")</f>
        <v>2025-05</v>
      </c>
      <c r="D1864" t="s">
        <v>84</v>
      </c>
      <c r="E1864" t="s">
        <v>3637</v>
      </c>
      <c r="F1864" t="s">
        <v>3614</v>
      </c>
      <c r="G1864" s="1">
        <v>20808532.300000001</v>
      </c>
    </row>
    <row r="1865" spans="1:7">
      <c r="A1865" t="s">
        <v>1960</v>
      </c>
      <c r="B1865" s="6">
        <v>45670</v>
      </c>
      <c r="C1865" s="6" t="str">
        <f>TEXT(Table3[[#This Row],[transaction_date]], "yyyy-mm")</f>
        <v>2025-01</v>
      </c>
      <c r="D1865" t="s">
        <v>76</v>
      </c>
      <c r="E1865" t="s">
        <v>3636</v>
      </c>
      <c r="F1865" t="s">
        <v>3613</v>
      </c>
      <c r="G1865" s="1">
        <v>1311130.6000000001</v>
      </c>
    </row>
    <row r="1866" spans="1:7">
      <c r="A1866" t="s">
        <v>1961</v>
      </c>
      <c r="B1866" s="6">
        <v>45944</v>
      </c>
      <c r="C1866" s="6" t="str">
        <f>TEXT(Table3[[#This Row],[transaction_date]], "yyyy-mm")</f>
        <v>2025-10</v>
      </c>
      <c r="D1866" t="s">
        <v>82</v>
      </c>
      <c r="E1866" t="s">
        <v>3637</v>
      </c>
      <c r="F1866" t="s">
        <v>3615</v>
      </c>
      <c r="G1866" s="1">
        <v>7464016.7199999997</v>
      </c>
    </row>
    <row r="1867" spans="1:7">
      <c r="A1867" t="s">
        <v>1962</v>
      </c>
      <c r="B1867" s="6">
        <v>46020</v>
      </c>
      <c r="C1867" s="6" t="str">
        <f>TEXT(Table3[[#This Row],[transaction_date]], "yyyy-mm")</f>
        <v>2025-12</v>
      </c>
      <c r="D1867" t="s">
        <v>74</v>
      </c>
      <c r="E1867" t="s">
        <v>3636</v>
      </c>
      <c r="F1867" t="s">
        <v>3607</v>
      </c>
      <c r="G1867" s="1">
        <v>237175.59</v>
      </c>
    </row>
    <row r="1868" spans="1:7">
      <c r="A1868" t="s">
        <v>1963</v>
      </c>
      <c r="B1868" s="6">
        <v>45869</v>
      </c>
      <c r="C1868" s="6" t="str">
        <f>TEXT(Table3[[#This Row],[transaction_date]], "yyyy-mm")</f>
        <v>2025-07</v>
      </c>
      <c r="D1868" t="s">
        <v>89</v>
      </c>
      <c r="E1868" t="s">
        <v>3636</v>
      </c>
      <c r="F1868" t="s">
        <v>3607</v>
      </c>
      <c r="G1868" s="1">
        <v>99628.76</v>
      </c>
    </row>
    <row r="1869" spans="1:7">
      <c r="A1869" t="s">
        <v>1964</v>
      </c>
      <c r="B1869" s="6">
        <v>45777</v>
      </c>
      <c r="C1869" s="6" t="str">
        <f>TEXT(Table3[[#This Row],[transaction_date]], "yyyy-mm")</f>
        <v>2025-04</v>
      </c>
      <c r="D1869" t="s">
        <v>73</v>
      </c>
      <c r="E1869" t="s">
        <v>3636</v>
      </c>
      <c r="F1869" t="s">
        <v>3609</v>
      </c>
      <c r="G1869" s="1">
        <v>6312886.7199999997</v>
      </c>
    </row>
    <row r="1870" spans="1:7">
      <c r="A1870" t="s">
        <v>1965</v>
      </c>
      <c r="B1870" s="6">
        <v>45998</v>
      </c>
      <c r="C1870" s="6" t="str">
        <f>TEXT(Table3[[#This Row],[transaction_date]], "yyyy-mm")</f>
        <v>2025-12</v>
      </c>
      <c r="D1870" t="s">
        <v>79</v>
      </c>
      <c r="E1870" t="s">
        <v>3636</v>
      </c>
      <c r="F1870" t="s">
        <v>3606</v>
      </c>
      <c r="G1870" s="1">
        <v>1234105.69</v>
      </c>
    </row>
    <row r="1871" spans="1:7">
      <c r="A1871" t="s">
        <v>1966</v>
      </c>
      <c r="B1871" s="6">
        <v>45882</v>
      </c>
      <c r="C1871" s="6" t="str">
        <f>TEXT(Table3[[#This Row],[transaction_date]], "yyyy-mm")</f>
        <v>2025-08</v>
      </c>
      <c r="D1871" t="s">
        <v>73</v>
      </c>
      <c r="E1871" t="s">
        <v>3637</v>
      </c>
      <c r="F1871" t="s">
        <v>3617</v>
      </c>
      <c r="G1871" s="1">
        <v>1658394.42</v>
      </c>
    </row>
    <row r="1872" spans="1:7">
      <c r="A1872" t="s">
        <v>1967</v>
      </c>
      <c r="B1872" s="6">
        <v>45683</v>
      </c>
      <c r="C1872" s="6" t="str">
        <f>TEXT(Table3[[#This Row],[transaction_date]], "yyyy-mm")</f>
        <v>2025-01</v>
      </c>
      <c r="D1872" t="s">
        <v>3597</v>
      </c>
      <c r="E1872" t="s">
        <v>3637</v>
      </c>
      <c r="F1872" t="s">
        <v>3623</v>
      </c>
      <c r="G1872" s="1">
        <v>1530947.62</v>
      </c>
    </row>
    <row r="1873" spans="1:7">
      <c r="A1873" t="s">
        <v>1968</v>
      </c>
      <c r="B1873" s="6">
        <v>46018</v>
      </c>
      <c r="C1873" s="6" t="str">
        <f>TEXT(Table3[[#This Row],[transaction_date]], "yyyy-mm")</f>
        <v>2025-12</v>
      </c>
      <c r="D1873" t="s">
        <v>75</v>
      </c>
      <c r="E1873" t="s">
        <v>3636</v>
      </c>
      <c r="F1873" t="s">
        <v>3609</v>
      </c>
      <c r="G1873" s="1">
        <v>1814024.9</v>
      </c>
    </row>
    <row r="1874" spans="1:7">
      <c r="A1874" t="s">
        <v>1969</v>
      </c>
      <c r="B1874" s="6">
        <v>45731</v>
      </c>
      <c r="C1874" s="6" t="str">
        <f>TEXT(Table3[[#This Row],[transaction_date]], "yyyy-mm")</f>
        <v>2025-03</v>
      </c>
      <c r="D1874" t="s">
        <v>93</v>
      </c>
      <c r="E1874" t="s">
        <v>3636</v>
      </c>
      <c r="F1874" t="s">
        <v>3609</v>
      </c>
      <c r="G1874" s="1">
        <v>7120725.0700000003</v>
      </c>
    </row>
    <row r="1875" spans="1:7">
      <c r="A1875" t="s">
        <v>1970</v>
      </c>
      <c r="B1875" s="6">
        <v>45706</v>
      </c>
      <c r="C1875" s="6" t="str">
        <f>TEXT(Table3[[#This Row],[transaction_date]], "yyyy-mm")</f>
        <v>2025-02</v>
      </c>
      <c r="D1875" t="s">
        <v>78</v>
      </c>
      <c r="E1875" t="s">
        <v>3637</v>
      </c>
      <c r="F1875" t="s">
        <v>3615</v>
      </c>
      <c r="G1875" s="1">
        <v>170525.4</v>
      </c>
    </row>
    <row r="1876" spans="1:7">
      <c r="A1876" t="s">
        <v>1971</v>
      </c>
      <c r="B1876" s="6">
        <v>45662</v>
      </c>
      <c r="C1876" s="6" t="str">
        <f>TEXT(Table3[[#This Row],[transaction_date]], "yyyy-mm")</f>
        <v>2025-01</v>
      </c>
      <c r="D1876" t="s">
        <v>79</v>
      </c>
      <c r="E1876" t="s">
        <v>3636</v>
      </c>
      <c r="F1876" t="s">
        <v>3611</v>
      </c>
      <c r="G1876" s="1">
        <v>3379957.75</v>
      </c>
    </row>
    <row r="1877" spans="1:7">
      <c r="A1877" t="s">
        <v>1972</v>
      </c>
      <c r="B1877" s="6">
        <v>45880</v>
      </c>
      <c r="C1877" s="6" t="str">
        <f>TEXT(Table3[[#This Row],[transaction_date]], "yyyy-mm")</f>
        <v>2025-08</v>
      </c>
      <c r="D1877" t="s">
        <v>78</v>
      </c>
      <c r="E1877" t="s">
        <v>3636</v>
      </c>
      <c r="F1877" t="s">
        <v>3612</v>
      </c>
      <c r="G1877" s="1">
        <v>3882376.14</v>
      </c>
    </row>
    <row r="1878" spans="1:7">
      <c r="A1878" t="s">
        <v>1973</v>
      </c>
      <c r="B1878" s="6">
        <v>46008</v>
      </c>
      <c r="C1878" s="6" t="str">
        <f>TEXT(Table3[[#This Row],[transaction_date]], "yyyy-mm")</f>
        <v>2025-12</v>
      </c>
      <c r="D1878" t="s">
        <v>75</v>
      </c>
      <c r="E1878" t="s">
        <v>3636</v>
      </c>
      <c r="F1878" t="s">
        <v>3606</v>
      </c>
      <c r="G1878" s="1">
        <v>291216.57</v>
      </c>
    </row>
    <row r="1879" spans="1:7">
      <c r="A1879" t="s">
        <v>1974</v>
      </c>
      <c r="B1879" s="6">
        <v>45776</v>
      </c>
      <c r="C1879" s="6" t="str">
        <f>TEXT(Table3[[#This Row],[transaction_date]], "yyyy-mm")</f>
        <v>2025-04</v>
      </c>
      <c r="D1879" t="s">
        <v>73</v>
      </c>
      <c r="E1879" t="s">
        <v>3637</v>
      </c>
      <c r="F1879" t="s">
        <v>3619</v>
      </c>
      <c r="G1879" s="1">
        <v>577722.49</v>
      </c>
    </row>
    <row r="1880" spans="1:7">
      <c r="A1880" t="s">
        <v>1975</v>
      </c>
      <c r="B1880" s="6">
        <v>45906</v>
      </c>
      <c r="C1880" s="6" t="str">
        <f>TEXT(Table3[[#This Row],[transaction_date]], "yyyy-mm")</f>
        <v>2025-09</v>
      </c>
      <c r="D1880" t="s">
        <v>74</v>
      </c>
      <c r="E1880" t="s">
        <v>3637</v>
      </c>
      <c r="F1880" t="s">
        <v>3620</v>
      </c>
      <c r="G1880" s="1">
        <v>146128.32000000001</v>
      </c>
    </row>
    <row r="1881" spans="1:7">
      <c r="A1881" t="s">
        <v>1976</v>
      </c>
      <c r="B1881" s="6">
        <v>45699</v>
      </c>
      <c r="C1881" s="6" t="str">
        <f>TEXT(Table3[[#This Row],[transaction_date]], "yyyy-mm")</f>
        <v>2025-02</v>
      </c>
      <c r="D1881" t="s">
        <v>82</v>
      </c>
      <c r="E1881" t="s">
        <v>3636</v>
      </c>
      <c r="F1881" t="s">
        <v>3605</v>
      </c>
      <c r="G1881" s="1">
        <v>2100011.88</v>
      </c>
    </row>
    <row r="1882" spans="1:7">
      <c r="A1882" t="s">
        <v>1977</v>
      </c>
      <c r="B1882" s="6">
        <v>45729</v>
      </c>
      <c r="C1882" s="6" t="str">
        <f>TEXT(Table3[[#This Row],[transaction_date]], "yyyy-mm")</f>
        <v>2025-03</v>
      </c>
      <c r="D1882" t="s">
        <v>80</v>
      </c>
      <c r="E1882" t="s">
        <v>3637</v>
      </c>
      <c r="F1882" t="s">
        <v>3621</v>
      </c>
      <c r="G1882" s="1">
        <v>1094405.22</v>
      </c>
    </row>
    <row r="1883" spans="1:7">
      <c r="A1883" t="s">
        <v>1978</v>
      </c>
      <c r="B1883" s="6">
        <v>45777</v>
      </c>
      <c r="C1883" s="6" t="str">
        <f>TEXT(Table3[[#This Row],[transaction_date]], "yyyy-mm")</f>
        <v>2025-04</v>
      </c>
      <c r="D1883" t="s">
        <v>82</v>
      </c>
      <c r="E1883" t="s">
        <v>3636</v>
      </c>
      <c r="F1883" t="s">
        <v>3613</v>
      </c>
      <c r="G1883" s="1">
        <v>14050275.77</v>
      </c>
    </row>
    <row r="1884" spans="1:7">
      <c r="A1884" t="s">
        <v>1979</v>
      </c>
      <c r="B1884" s="6">
        <v>45829</v>
      </c>
      <c r="C1884" s="6" t="str">
        <f>TEXT(Table3[[#This Row],[transaction_date]], "yyyy-mm")</f>
        <v>2025-06</v>
      </c>
      <c r="D1884" t="s">
        <v>79</v>
      </c>
      <c r="E1884" t="s">
        <v>3636</v>
      </c>
      <c r="F1884" t="s">
        <v>3613</v>
      </c>
      <c r="G1884" s="1">
        <v>280988.92</v>
      </c>
    </row>
    <row r="1885" spans="1:7">
      <c r="A1885" t="s">
        <v>1980</v>
      </c>
      <c r="B1885" s="6">
        <v>46011</v>
      </c>
      <c r="C1885" s="6" t="str">
        <f>TEXT(Table3[[#This Row],[transaction_date]], "yyyy-mm")</f>
        <v>2025-12</v>
      </c>
      <c r="D1885" t="s">
        <v>74</v>
      </c>
      <c r="E1885" t="s">
        <v>3637</v>
      </c>
      <c r="F1885" t="s">
        <v>3619</v>
      </c>
      <c r="G1885" s="1">
        <v>1497545.35</v>
      </c>
    </row>
    <row r="1886" spans="1:7">
      <c r="A1886" t="s">
        <v>1981</v>
      </c>
      <c r="B1886" s="6">
        <v>45924</v>
      </c>
      <c r="C1886" s="6" t="str">
        <f>TEXT(Table3[[#This Row],[transaction_date]], "yyyy-mm")</f>
        <v>2025-09</v>
      </c>
      <c r="D1886" t="s">
        <v>85</v>
      </c>
      <c r="E1886" t="s">
        <v>3636</v>
      </c>
      <c r="F1886" t="s">
        <v>3611</v>
      </c>
      <c r="G1886" s="1">
        <v>1439625.53</v>
      </c>
    </row>
    <row r="1887" spans="1:7">
      <c r="A1887" t="s">
        <v>1982</v>
      </c>
      <c r="B1887" s="6">
        <v>45662</v>
      </c>
      <c r="C1887" s="6" t="str">
        <f>TEXT(Table3[[#This Row],[transaction_date]], "yyyy-mm")</f>
        <v>2025-01</v>
      </c>
      <c r="D1887" t="s">
        <v>73</v>
      </c>
      <c r="E1887" t="s">
        <v>3637</v>
      </c>
      <c r="F1887" t="s">
        <v>3623</v>
      </c>
      <c r="G1887" s="1">
        <v>2176334.36</v>
      </c>
    </row>
    <row r="1888" spans="1:7">
      <c r="A1888" t="s">
        <v>1983</v>
      </c>
      <c r="B1888" s="6">
        <v>45962</v>
      </c>
      <c r="C1888" s="6" t="str">
        <f>TEXT(Table3[[#This Row],[transaction_date]], "yyyy-mm")</f>
        <v>2025-11</v>
      </c>
      <c r="D1888" t="s">
        <v>79</v>
      </c>
      <c r="E1888" t="s">
        <v>3636</v>
      </c>
      <c r="F1888" t="s">
        <v>3606</v>
      </c>
      <c r="G1888" s="1">
        <v>7169397.5800000001</v>
      </c>
    </row>
    <row r="1889" spans="1:7">
      <c r="A1889" t="s">
        <v>1984</v>
      </c>
      <c r="B1889" s="6">
        <v>45708</v>
      </c>
      <c r="C1889" s="6" t="str">
        <f>TEXT(Table3[[#This Row],[transaction_date]], "yyyy-mm")</f>
        <v>2025-02</v>
      </c>
      <c r="D1889" t="s">
        <v>3597</v>
      </c>
      <c r="E1889" t="s">
        <v>3637</v>
      </c>
      <c r="F1889" t="s">
        <v>3614</v>
      </c>
      <c r="G1889" s="1">
        <v>6533177.7599999998</v>
      </c>
    </row>
    <row r="1890" spans="1:7">
      <c r="A1890" t="s">
        <v>1985</v>
      </c>
      <c r="B1890" s="6">
        <v>45995</v>
      </c>
      <c r="C1890" s="6" t="str">
        <f>TEXT(Table3[[#This Row],[transaction_date]], "yyyy-mm")</f>
        <v>2025-12</v>
      </c>
      <c r="D1890" t="s">
        <v>95</v>
      </c>
      <c r="E1890" t="s">
        <v>3637</v>
      </c>
      <c r="F1890" t="s">
        <v>3621</v>
      </c>
      <c r="G1890" s="1">
        <v>9546578.3699999992</v>
      </c>
    </row>
    <row r="1891" spans="1:7">
      <c r="A1891" t="s">
        <v>1986</v>
      </c>
      <c r="B1891" s="6">
        <v>45733</v>
      </c>
      <c r="C1891" s="6" t="str">
        <f>TEXT(Table3[[#This Row],[transaction_date]], "yyyy-mm")</f>
        <v>2025-03</v>
      </c>
      <c r="D1891" t="s">
        <v>89</v>
      </c>
      <c r="E1891" t="s">
        <v>3636</v>
      </c>
      <c r="F1891" t="s">
        <v>3612</v>
      </c>
      <c r="G1891" s="1">
        <v>2272659.46</v>
      </c>
    </row>
    <row r="1892" spans="1:7">
      <c r="A1892" t="s">
        <v>1987</v>
      </c>
      <c r="B1892" s="6">
        <v>45939</v>
      </c>
      <c r="C1892" s="6" t="str">
        <f>TEXT(Table3[[#This Row],[transaction_date]], "yyyy-mm")</f>
        <v>2025-10</v>
      </c>
      <c r="D1892" t="s">
        <v>85</v>
      </c>
      <c r="E1892" t="s">
        <v>3636</v>
      </c>
      <c r="F1892" t="s">
        <v>3606</v>
      </c>
      <c r="G1892" s="1">
        <v>534487.54</v>
      </c>
    </row>
    <row r="1893" spans="1:7">
      <c r="A1893" t="s">
        <v>1988</v>
      </c>
      <c r="B1893" s="6">
        <v>45911</v>
      </c>
      <c r="C1893" s="6" t="str">
        <f>TEXT(Table3[[#This Row],[transaction_date]], "yyyy-mm")</f>
        <v>2025-09</v>
      </c>
      <c r="D1893" t="s">
        <v>73</v>
      </c>
      <c r="E1893" t="s">
        <v>3637</v>
      </c>
      <c r="F1893" t="s">
        <v>3617</v>
      </c>
      <c r="G1893" s="1">
        <v>1610104.84</v>
      </c>
    </row>
    <row r="1894" spans="1:7">
      <c r="A1894" t="s">
        <v>1989</v>
      </c>
      <c r="B1894" s="6">
        <v>45926</v>
      </c>
      <c r="C1894" s="6" t="str">
        <f>TEXT(Table3[[#This Row],[transaction_date]], "yyyy-mm")</f>
        <v>2025-09</v>
      </c>
      <c r="D1894" t="s">
        <v>3597</v>
      </c>
      <c r="E1894" t="s">
        <v>3636</v>
      </c>
      <c r="F1894" t="s">
        <v>3607</v>
      </c>
      <c r="G1894" s="1">
        <v>264997.43</v>
      </c>
    </row>
    <row r="1895" spans="1:7">
      <c r="A1895" t="s">
        <v>1990</v>
      </c>
      <c r="B1895" s="6">
        <v>45991</v>
      </c>
      <c r="C1895" s="6" t="str">
        <f>TEXT(Table3[[#This Row],[transaction_date]], "yyyy-mm")</f>
        <v>2025-11</v>
      </c>
      <c r="D1895" t="s">
        <v>3597</v>
      </c>
      <c r="E1895" t="s">
        <v>3636</v>
      </c>
      <c r="F1895" t="s">
        <v>3605</v>
      </c>
      <c r="G1895" s="1">
        <v>8423234.7400000002</v>
      </c>
    </row>
    <row r="1896" spans="1:7">
      <c r="A1896" t="s">
        <v>1991</v>
      </c>
      <c r="B1896" s="6">
        <v>45894</v>
      </c>
      <c r="C1896" s="6" t="str">
        <f>TEXT(Table3[[#This Row],[transaction_date]], "yyyy-mm")</f>
        <v>2025-08</v>
      </c>
      <c r="D1896" t="s">
        <v>73</v>
      </c>
      <c r="E1896" t="s">
        <v>3637</v>
      </c>
      <c r="F1896" t="s">
        <v>3622</v>
      </c>
      <c r="G1896" s="1">
        <v>7836535.5499999998</v>
      </c>
    </row>
    <row r="1897" spans="1:7">
      <c r="A1897" t="s">
        <v>1992</v>
      </c>
      <c r="B1897" s="6">
        <v>45749</v>
      </c>
      <c r="C1897" s="6" t="str">
        <f>TEXT(Table3[[#This Row],[transaction_date]], "yyyy-mm")</f>
        <v>2025-04</v>
      </c>
      <c r="D1897" t="s">
        <v>90</v>
      </c>
      <c r="E1897" t="s">
        <v>3636</v>
      </c>
      <c r="F1897" t="s">
        <v>3607</v>
      </c>
      <c r="G1897" s="1">
        <v>12819598.33</v>
      </c>
    </row>
    <row r="1898" spans="1:7">
      <c r="A1898" t="s">
        <v>1993</v>
      </c>
      <c r="B1898" s="6">
        <v>45980</v>
      </c>
      <c r="C1898" s="6" t="str">
        <f>TEXT(Table3[[#This Row],[transaction_date]], "yyyy-mm")</f>
        <v>2025-11</v>
      </c>
      <c r="D1898" t="s">
        <v>75</v>
      </c>
      <c r="E1898" t="s">
        <v>3636</v>
      </c>
      <c r="F1898" t="s">
        <v>3605</v>
      </c>
      <c r="G1898" s="1">
        <v>11047954.42</v>
      </c>
    </row>
    <row r="1899" spans="1:7">
      <c r="A1899" t="s">
        <v>1994</v>
      </c>
      <c r="B1899" s="6">
        <v>45721</v>
      </c>
      <c r="C1899" s="6" t="str">
        <f>TEXT(Table3[[#This Row],[transaction_date]], "yyyy-mm")</f>
        <v>2025-03</v>
      </c>
      <c r="D1899" t="s">
        <v>74</v>
      </c>
      <c r="E1899" t="s">
        <v>3636</v>
      </c>
      <c r="F1899" t="s">
        <v>3611</v>
      </c>
      <c r="G1899" s="1">
        <v>827326.7</v>
      </c>
    </row>
    <row r="1900" spans="1:7">
      <c r="A1900" t="s">
        <v>1995</v>
      </c>
      <c r="B1900" s="6">
        <v>45731</v>
      </c>
      <c r="C1900" s="6" t="str">
        <f>TEXT(Table3[[#This Row],[transaction_date]], "yyyy-mm")</f>
        <v>2025-03</v>
      </c>
      <c r="D1900" t="s">
        <v>73</v>
      </c>
      <c r="E1900" t="s">
        <v>3636</v>
      </c>
      <c r="F1900" t="s">
        <v>3605</v>
      </c>
      <c r="G1900" s="1">
        <v>777076.94</v>
      </c>
    </row>
    <row r="1901" spans="1:7">
      <c r="A1901" t="s">
        <v>1996</v>
      </c>
      <c r="B1901" s="6">
        <v>45832</v>
      </c>
      <c r="C1901" s="6" t="str">
        <f>TEXT(Table3[[#This Row],[transaction_date]], "yyyy-mm")</f>
        <v>2025-06</v>
      </c>
      <c r="D1901" t="s">
        <v>73</v>
      </c>
      <c r="E1901" t="s">
        <v>3636</v>
      </c>
      <c r="F1901" t="s">
        <v>3609</v>
      </c>
      <c r="G1901" s="1">
        <v>72159.399999999994</v>
      </c>
    </row>
    <row r="1902" spans="1:7">
      <c r="A1902" t="s">
        <v>1997</v>
      </c>
      <c r="B1902" s="6">
        <v>45691</v>
      </c>
      <c r="C1902" s="6" t="str">
        <f>TEXT(Table3[[#This Row],[transaction_date]], "yyyy-mm")</f>
        <v>2025-02</v>
      </c>
      <c r="D1902" t="s">
        <v>85</v>
      </c>
      <c r="E1902" t="s">
        <v>3636</v>
      </c>
      <c r="F1902" t="s">
        <v>3606</v>
      </c>
      <c r="G1902" s="1">
        <v>54316.44</v>
      </c>
    </row>
    <row r="1903" spans="1:7">
      <c r="A1903" t="s">
        <v>1998</v>
      </c>
      <c r="B1903" s="6">
        <v>45775</v>
      </c>
      <c r="C1903" s="6" t="str">
        <f>TEXT(Table3[[#This Row],[transaction_date]], "yyyy-mm")</f>
        <v>2025-04</v>
      </c>
      <c r="D1903" t="s">
        <v>77</v>
      </c>
      <c r="E1903" t="s">
        <v>3636</v>
      </c>
      <c r="F1903" t="s">
        <v>3613</v>
      </c>
      <c r="G1903" s="1">
        <v>10294329.75</v>
      </c>
    </row>
    <row r="1904" spans="1:7">
      <c r="A1904" t="s">
        <v>1999</v>
      </c>
      <c r="B1904" s="6">
        <v>45892</v>
      </c>
      <c r="C1904" s="6" t="str">
        <f>TEXT(Table3[[#This Row],[transaction_date]], "yyyy-mm")</f>
        <v>2025-08</v>
      </c>
      <c r="D1904" t="s">
        <v>73</v>
      </c>
      <c r="E1904" t="s">
        <v>3637</v>
      </c>
      <c r="F1904" t="s">
        <v>3615</v>
      </c>
      <c r="G1904" s="1">
        <v>362546.65</v>
      </c>
    </row>
    <row r="1905" spans="1:7">
      <c r="A1905" t="s">
        <v>2000</v>
      </c>
      <c r="B1905" s="6">
        <v>45732</v>
      </c>
      <c r="C1905" s="6" t="str">
        <f>TEXT(Table3[[#This Row],[transaction_date]], "yyyy-mm")</f>
        <v>2025-03</v>
      </c>
      <c r="D1905" t="s">
        <v>82</v>
      </c>
      <c r="E1905" t="s">
        <v>3636</v>
      </c>
      <c r="F1905" t="s">
        <v>3606</v>
      </c>
      <c r="G1905" s="1">
        <v>2797304.87</v>
      </c>
    </row>
    <row r="1906" spans="1:7">
      <c r="A1906" t="s">
        <v>2001</v>
      </c>
      <c r="B1906" s="6">
        <v>45793</v>
      </c>
      <c r="C1906" s="6" t="str">
        <f>TEXT(Table3[[#This Row],[transaction_date]], "yyyy-mm")</f>
        <v>2025-05</v>
      </c>
      <c r="D1906" t="s">
        <v>77</v>
      </c>
      <c r="E1906" t="s">
        <v>3637</v>
      </c>
      <c r="F1906" t="s">
        <v>3615</v>
      </c>
      <c r="G1906" s="1">
        <v>401849.68</v>
      </c>
    </row>
    <row r="1907" spans="1:7">
      <c r="A1907" t="s">
        <v>2002</v>
      </c>
      <c r="B1907" s="6">
        <v>45989</v>
      </c>
      <c r="C1907" s="6" t="str">
        <f>TEXT(Table3[[#This Row],[transaction_date]], "yyyy-mm")</f>
        <v>2025-11</v>
      </c>
      <c r="D1907" t="s">
        <v>95</v>
      </c>
      <c r="E1907" t="s">
        <v>3636</v>
      </c>
      <c r="F1907" t="s">
        <v>3613</v>
      </c>
      <c r="G1907" s="1">
        <v>987717.57</v>
      </c>
    </row>
    <row r="1908" spans="1:7">
      <c r="A1908" t="s">
        <v>2003</v>
      </c>
      <c r="B1908" s="6">
        <v>45860</v>
      </c>
      <c r="C1908" s="6" t="str">
        <f>TEXT(Table3[[#This Row],[transaction_date]], "yyyy-mm")</f>
        <v>2025-07</v>
      </c>
      <c r="D1908" t="s">
        <v>3597</v>
      </c>
      <c r="E1908" t="s">
        <v>3636</v>
      </c>
      <c r="F1908" t="s">
        <v>3607</v>
      </c>
      <c r="G1908" s="1">
        <v>493169.5</v>
      </c>
    </row>
    <row r="1909" spans="1:7">
      <c r="A1909" t="s">
        <v>2004</v>
      </c>
      <c r="B1909" s="6">
        <v>46018</v>
      </c>
      <c r="C1909" s="6" t="str">
        <f>TEXT(Table3[[#This Row],[transaction_date]], "yyyy-mm")</f>
        <v>2025-12</v>
      </c>
      <c r="D1909" t="s">
        <v>79</v>
      </c>
      <c r="E1909" t="s">
        <v>3637</v>
      </c>
      <c r="F1909" t="s">
        <v>3622</v>
      </c>
      <c r="G1909" s="1">
        <v>3299029.71</v>
      </c>
    </row>
    <row r="1910" spans="1:7">
      <c r="A1910" t="s">
        <v>2005</v>
      </c>
      <c r="B1910" s="6">
        <v>45890</v>
      </c>
      <c r="C1910" s="6" t="str">
        <f>TEXT(Table3[[#This Row],[transaction_date]], "yyyy-mm")</f>
        <v>2025-08</v>
      </c>
      <c r="D1910" t="s">
        <v>77</v>
      </c>
      <c r="E1910" t="s">
        <v>3637</v>
      </c>
      <c r="F1910" t="s">
        <v>3619</v>
      </c>
      <c r="G1910" s="1">
        <v>2524665.36</v>
      </c>
    </row>
    <row r="1911" spans="1:7">
      <c r="A1911" t="s">
        <v>2006</v>
      </c>
      <c r="B1911" s="6">
        <v>45735</v>
      </c>
      <c r="C1911" s="6" t="str">
        <f>TEXT(Table3[[#This Row],[transaction_date]], "yyyy-mm")</f>
        <v>2025-03</v>
      </c>
      <c r="D1911" t="s">
        <v>90</v>
      </c>
      <c r="E1911" t="s">
        <v>3636</v>
      </c>
      <c r="F1911" t="s">
        <v>3610</v>
      </c>
      <c r="G1911" s="1">
        <v>4977791.4800000004</v>
      </c>
    </row>
    <row r="1912" spans="1:7">
      <c r="A1912" t="s">
        <v>2007</v>
      </c>
      <c r="B1912" s="6">
        <v>45782</v>
      </c>
      <c r="C1912" s="6" t="str">
        <f>TEXT(Table3[[#This Row],[transaction_date]], "yyyy-mm")</f>
        <v>2025-05</v>
      </c>
      <c r="D1912" t="s">
        <v>3597</v>
      </c>
      <c r="E1912" t="s">
        <v>3637</v>
      </c>
      <c r="F1912" t="s">
        <v>3623</v>
      </c>
      <c r="G1912" s="1">
        <v>38921.56</v>
      </c>
    </row>
    <row r="1913" spans="1:7">
      <c r="A1913" t="s">
        <v>2008</v>
      </c>
      <c r="B1913" s="6">
        <v>45939</v>
      </c>
      <c r="C1913" s="6" t="str">
        <f>TEXT(Table3[[#This Row],[transaction_date]], "yyyy-mm")</f>
        <v>2025-10</v>
      </c>
      <c r="D1913" t="s">
        <v>73</v>
      </c>
      <c r="E1913" t="s">
        <v>3636</v>
      </c>
      <c r="F1913" t="s">
        <v>3604</v>
      </c>
      <c r="G1913" s="1">
        <v>13060735.310000001</v>
      </c>
    </row>
    <row r="1914" spans="1:7">
      <c r="A1914" t="s">
        <v>2009</v>
      </c>
      <c r="B1914" s="6">
        <v>45952</v>
      </c>
      <c r="C1914" s="6" t="str">
        <f>TEXT(Table3[[#This Row],[transaction_date]], "yyyy-mm")</f>
        <v>2025-10</v>
      </c>
      <c r="D1914" t="s">
        <v>84</v>
      </c>
      <c r="E1914" t="s">
        <v>3637</v>
      </c>
      <c r="F1914" t="s">
        <v>3621</v>
      </c>
      <c r="G1914" s="1">
        <v>5073276.93</v>
      </c>
    </row>
    <row r="1915" spans="1:7">
      <c r="A1915" t="s">
        <v>2010</v>
      </c>
      <c r="B1915" s="6">
        <v>45824</v>
      </c>
      <c r="C1915" s="6" t="str">
        <f>TEXT(Table3[[#This Row],[transaction_date]], "yyyy-mm")</f>
        <v>2025-06</v>
      </c>
      <c r="D1915" t="s">
        <v>85</v>
      </c>
      <c r="E1915" t="s">
        <v>3636</v>
      </c>
      <c r="F1915" t="s">
        <v>3606</v>
      </c>
      <c r="G1915" s="1">
        <v>1326333.8400000001</v>
      </c>
    </row>
    <row r="1916" spans="1:7">
      <c r="A1916" t="s">
        <v>2011</v>
      </c>
      <c r="B1916" s="6">
        <v>46003</v>
      </c>
      <c r="C1916" s="6" t="str">
        <f>TEXT(Table3[[#This Row],[transaction_date]], "yyyy-mm")</f>
        <v>2025-12</v>
      </c>
      <c r="D1916" t="s">
        <v>85</v>
      </c>
      <c r="E1916" t="s">
        <v>3636</v>
      </c>
      <c r="F1916" t="s">
        <v>3605</v>
      </c>
      <c r="G1916" s="1">
        <v>2302684.4700000002</v>
      </c>
    </row>
    <row r="1917" spans="1:7">
      <c r="A1917" t="s">
        <v>2012</v>
      </c>
      <c r="B1917" s="6">
        <v>45909</v>
      </c>
      <c r="C1917" s="6" t="str">
        <f>TEXT(Table3[[#This Row],[transaction_date]], "yyyy-mm")</f>
        <v>2025-09</v>
      </c>
      <c r="D1917" t="s">
        <v>77</v>
      </c>
      <c r="E1917" t="s">
        <v>3637</v>
      </c>
      <c r="F1917" t="s">
        <v>3617</v>
      </c>
      <c r="G1917" s="1">
        <v>1178805.49</v>
      </c>
    </row>
    <row r="1918" spans="1:7">
      <c r="A1918" t="s">
        <v>2013</v>
      </c>
      <c r="B1918" s="6">
        <v>45840</v>
      </c>
      <c r="C1918" s="6" t="str">
        <f>TEXT(Table3[[#This Row],[transaction_date]], "yyyy-mm")</f>
        <v>2025-07</v>
      </c>
      <c r="D1918" t="s">
        <v>84</v>
      </c>
      <c r="E1918" t="s">
        <v>3637</v>
      </c>
      <c r="F1918" t="s">
        <v>3622</v>
      </c>
      <c r="G1918" s="1">
        <v>1431832.81</v>
      </c>
    </row>
    <row r="1919" spans="1:7">
      <c r="A1919" t="s">
        <v>2014</v>
      </c>
      <c r="B1919" s="6">
        <v>45841</v>
      </c>
      <c r="C1919" s="6" t="str">
        <f>TEXT(Table3[[#This Row],[transaction_date]], "yyyy-mm")</f>
        <v>2025-07</v>
      </c>
      <c r="D1919" t="s">
        <v>77</v>
      </c>
      <c r="E1919" t="s">
        <v>3636</v>
      </c>
      <c r="F1919" t="s">
        <v>3610</v>
      </c>
      <c r="G1919" s="1">
        <v>1933183.98</v>
      </c>
    </row>
    <row r="1920" spans="1:7">
      <c r="A1920" t="s">
        <v>2015</v>
      </c>
      <c r="B1920" s="6">
        <v>45751</v>
      </c>
      <c r="C1920" s="6" t="str">
        <f>TEXT(Table3[[#This Row],[transaction_date]], "yyyy-mm")</f>
        <v>2025-04</v>
      </c>
      <c r="D1920" t="s">
        <v>90</v>
      </c>
      <c r="E1920" t="s">
        <v>3636</v>
      </c>
      <c r="F1920" t="s">
        <v>3610</v>
      </c>
      <c r="G1920" s="1">
        <v>8711410.1899999995</v>
      </c>
    </row>
    <row r="1921" spans="1:7">
      <c r="A1921" t="s">
        <v>2016</v>
      </c>
      <c r="B1921" s="6">
        <v>45924</v>
      </c>
      <c r="C1921" s="6" t="str">
        <f>TEXT(Table3[[#This Row],[transaction_date]], "yyyy-mm")</f>
        <v>2025-09</v>
      </c>
      <c r="D1921" t="s">
        <v>95</v>
      </c>
      <c r="E1921" t="s">
        <v>3637</v>
      </c>
      <c r="F1921" t="s">
        <v>3620</v>
      </c>
      <c r="G1921" s="1">
        <v>6461966.7800000003</v>
      </c>
    </row>
    <row r="1922" spans="1:7">
      <c r="A1922" t="s">
        <v>2017</v>
      </c>
      <c r="B1922" s="6">
        <v>45905</v>
      </c>
      <c r="C1922" s="6" t="str">
        <f>TEXT(Table3[[#This Row],[transaction_date]], "yyyy-mm")</f>
        <v>2025-09</v>
      </c>
      <c r="D1922" t="s">
        <v>95</v>
      </c>
      <c r="E1922" t="s">
        <v>3636</v>
      </c>
      <c r="F1922" t="s">
        <v>3608</v>
      </c>
      <c r="G1922" s="1">
        <v>26110577.600000001</v>
      </c>
    </row>
    <row r="1923" spans="1:7">
      <c r="A1923" t="s">
        <v>2018</v>
      </c>
      <c r="B1923" s="6">
        <v>45870</v>
      </c>
      <c r="C1923" s="6" t="str">
        <f>TEXT(Table3[[#This Row],[transaction_date]], "yyyy-mm")</f>
        <v>2025-08</v>
      </c>
      <c r="D1923" t="s">
        <v>85</v>
      </c>
      <c r="E1923" t="s">
        <v>3636</v>
      </c>
      <c r="F1923" t="s">
        <v>3613</v>
      </c>
      <c r="G1923" s="1">
        <v>3064350.31</v>
      </c>
    </row>
    <row r="1924" spans="1:7">
      <c r="A1924" t="s">
        <v>2019</v>
      </c>
      <c r="B1924" s="6">
        <v>45988</v>
      </c>
      <c r="C1924" s="6" t="str">
        <f>TEXT(Table3[[#This Row],[transaction_date]], "yyyy-mm")</f>
        <v>2025-11</v>
      </c>
      <c r="D1924" t="s">
        <v>75</v>
      </c>
      <c r="E1924" t="s">
        <v>3636</v>
      </c>
      <c r="F1924" t="s">
        <v>3613</v>
      </c>
      <c r="G1924" s="1">
        <v>11950454.039999999</v>
      </c>
    </row>
    <row r="1925" spans="1:7">
      <c r="A1925" t="s">
        <v>2020</v>
      </c>
      <c r="B1925" s="6">
        <v>45957</v>
      </c>
      <c r="C1925" s="6" t="str">
        <f>TEXT(Table3[[#This Row],[transaction_date]], "yyyy-mm")</f>
        <v>2025-10</v>
      </c>
      <c r="D1925" t="s">
        <v>80</v>
      </c>
      <c r="E1925" t="s">
        <v>3637</v>
      </c>
      <c r="F1925" t="s">
        <v>3615</v>
      </c>
      <c r="G1925" s="1">
        <v>89267.1</v>
      </c>
    </row>
    <row r="1926" spans="1:7">
      <c r="A1926" t="s">
        <v>2021</v>
      </c>
      <c r="B1926" s="6">
        <v>45676</v>
      </c>
      <c r="C1926" s="6" t="str">
        <f>TEXT(Table3[[#This Row],[transaction_date]], "yyyy-mm")</f>
        <v>2025-01</v>
      </c>
      <c r="D1926" t="s">
        <v>77</v>
      </c>
      <c r="E1926" t="s">
        <v>3637</v>
      </c>
      <c r="F1926" t="s">
        <v>3619</v>
      </c>
      <c r="G1926" s="1">
        <v>11317574.43</v>
      </c>
    </row>
    <row r="1927" spans="1:7">
      <c r="A1927" t="s">
        <v>2022</v>
      </c>
      <c r="B1927" s="6">
        <v>45761</v>
      </c>
      <c r="C1927" s="6" t="str">
        <f>TEXT(Table3[[#This Row],[transaction_date]], "yyyy-mm")</f>
        <v>2025-04</v>
      </c>
      <c r="D1927" t="s">
        <v>73</v>
      </c>
      <c r="E1927" t="s">
        <v>3636</v>
      </c>
      <c r="F1927" t="s">
        <v>3613</v>
      </c>
      <c r="G1927" s="1">
        <v>176633.78</v>
      </c>
    </row>
    <row r="1928" spans="1:7">
      <c r="A1928" t="s">
        <v>2023</v>
      </c>
      <c r="B1928" s="6">
        <v>46005</v>
      </c>
      <c r="C1928" s="6" t="str">
        <f>TEXT(Table3[[#This Row],[transaction_date]], "yyyy-mm")</f>
        <v>2025-12</v>
      </c>
      <c r="D1928" t="s">
        <v>85</v>
      </c>
      <c r="E1928" t="s">
        <v>3637</v>
      </c>
      <c r="F1928" t="s">
        <v>3619</v>
      </c>
      <c r="G1928" s="1">
        <v>1279401.6200000001</v>
      </c>
    </row>
    <row r="1929" spans="1:7">
      <c r="A1929" t="s">
        <v>2024</v>
      </c>
      <c r="B1929" s="6">
        <v>45729</v>
      </c>
      <c r="C1929" s="6" t="str">
        <f>TEXT(Table3[[#This Row],[transaction_date]], "yyyy-mm")</f>
        <v>2025-03</v>
      </c>
      <c r="D1929" t="s">
        <v>79</v>
      </c>
      <c r="E1929" t="s">
        <v>3636</v>
      </c>
      <c r="F1929" t="s">
        <v>3612</v>
      </c>
      <c r="G1929" s="1">
        <v>4261742.3899999997</v>
      </c>
    </row>
    <row r="1930" spans="1:7">
      <c r="A1930" t="s">
        <v>2025</v>
      </c>
      <c r="B1930" s="6">
        <v>45961</v>
      </c>
      <c r="C1930" s="6" t="str">
        <f>TEXT(Table3[[#This Row],[transaction_date]], "yyyy-mm")</f>
        <v>2025-10</v>
      </c>
      <c r="D1930" t="s">
        <v>76</v>
      </c>
      <c r="E1930" t="s">
        <v>3637</v>
      </c>
      <c r="F1930" t="s">
        <v>3622</v>
      </c>
      <c r="G1930" s="1">
        <v>5483560.0300000003</v>
      </c>
    </row>
    <row r="1931" spans="1:7">
      <c r="A1931" t="s">
        <v>2026</v>
      </c>
      <c r="B1931" s="6">
        <v>45941</v>
      </c>
      <c r="C1931" s="6" t="str">
        <f>TEXT(Table3[[#This Row],[transaction_date]], "yyyy-mm")</f>
        <v>2025-10</v>
      </c>
      <c r="D1931" t="s">
        <v>76</v>
      </c>
      <c r="E1931" t="s">
        <v>3637</v>
      </c>
      <c r="F1931" t="s">
        <v>3622</v>
      </c>
      <c r="G1931" s="1">
        <v>5158937.6900000004</v>
      </c>
    </row>
    <row r="1932" spans="1:7">
      <c r="A1932" t="s">
        <v>2027</v>
      </c>
      <c r="B1932" s="6">
        <v>45833</v>
      </c>
      <c r="C1932" s="6" t="str">
        <f>TEXT(Table3[[#This Row],[transaction_date]], "yyyy-mm")</f>
        <v>2025-06</v>
      </c>
      <c r="D1932" t="s">
        <v>84</v>
      </c>
      <c r="E1932" t="s">
        <v>3637</v>
      </c>
      <c r="F1932" t="s">
        <v>3615</v>
      </c>
      <c r="G1932" s="1">
        <v>4400050.8600000003</v>
      </c>
    </row>
    <row r="1933" spans="1:7">
      <c r="A1933" t="s">
        <v>2028</v>
      </c>
      <c r="B1933" s="6">
        <v>45781</v>
      </c>
      <c r="C1933" s="6" t="str">
        <f>TEXT(Table3[[#This Row],[transaction_date]], "yyyy-mm")</f>
        <v>2025-05</v>
      </c>
      <c r="D1933" t="s">
        <v>93</v>
      </c>
      <c r="E1933" t="s">
        <v>3637</v>
      </c>
      <c r="F1933" t="s">
        <v>3614</v>
      </c>
      <c r="G1933" s="1">
        <v>3910824.27</v>
      </c>
    </row>
    <row r="1934" spans="1:7">
      <c r="A1934" t="s">
        <v>2029</v>
      </c>
      <c r="B1934" s="6">
        <v>45825</v>
      </c>
      <c r="C1934" s="6" t="str">
        <f>TEXT(Table3[[#This Row],[transaction_date]], "yyyy-mm")</f>
        <v>2025-06</v>
      </c>
      <c r="D1934" t="s">
        <v>73</v>
      </c>
      <c r="E1934" t="s">
        <v>3637</v>
      </c>
      <c r="F1934" t="s">
        <v>3620</v>
      </c>
      <c r="G1934" s="1">
        <v>398152.37</v>
      </c>
    </row>
    <row r="1935" spans="1:7">
      <c r="A1935" t="s">
        <v>2030</v>
      </c>
      <c r="B1935" s="6">
        <v>45980</v>
      </c>
      <c r="C1935" s="6" t="str">
        <f>TEXT(Table3[[#This Row],[transaction_date]], "yyyy-mm")</f>
        <v>2025-11</v>
      </c>
      <c r="D1935" t="s">
        <v>89</v>
      </c>
      <c r="E1935" t="s">
        <v>3636</v>
      </c>
      <c r="F1935" t="s">
        <v>3607</v>
      </c>
      <c r="G1935" s="1">
        <v>279744.56</v>
      </c>
    </row>
    <row r="1936" spans="1:7">
      <c r="A1936" t="s">
        <v>2031</v>
      </c>
      <c r="B1936" s="6">
        <v>45851</v>
      </c>
      <c r="C1936" s="6" t="str">
        <f>TEXT(Table3[[#This Row],[transaction_date]], "yyyy-mm")</f>
        <v>2025-07</v>
      </c>
      <c r="D1936" t="s">
        <v>79</v>
      </c>
      <c r="E1936" t="s">
        <v>3636</v>
      </c>
      <c r="F1936" t="s">
        <v>3605</v>
      </c>
      <c r="G1936" s="1">
        <v>481535.43</v>
      </c>
    </row>
    <row r="1937" spans="1:7">
      <c r="A1937" t="s">
        <v>2032</v>
      </c>
      <c r="B1937" s="6">
        <v>45897</v>
      </c>
      <c r="C1937" s="6" t="str">
        <f>TEXT(Table3[[#This Row],[transaction_date]], "yyyy-mm")</f>
        <v>2025-08</v>
      </c>
      <c r="D1937" t="s">
        <v>74</v>
      </c>
      <c r="E1937" t="s">
        <v>3637</v>
      </c>
      <c r="F1937" t="s">
        <v>3616</v>
      </c>
      <c r="G1937" s="1">
        <v>28609.41</v>
      </c>
    </row>
    <row r="1938" spans="1:7">
      <c r="A1938" t="s">
        <v>2033</v>
      </c>
      <c r="B1938" s="6">
        <v>45949</v>
      </c>
      <c r="C1938" s="6" t="str">
        <f>TEXT(Table3[[#This Row],[transaction_date]], "yyyy-mm")</f>
        <v>2025-10</v>
      </c>
      <c r="D1938" t="s">
        <v>95</v>
      </c>
      <c r="E1938" t="s">
        <v>3636</v>
      </c>
      <c r="F1938" t="s">
        <v>3608</v>
      </c>
      <c r="G1938" s="1">
        <v>28010944.530000001</v>
      </c>
    </row>
    <row r="1939" spans="1:7">
      <c r="A1939" t="s">
        <v>2034</v>
      </c>
      <c r="B1939" s="6">
        <v>45983</v>
      </c>
      <c r="C1939" s="6" t="str">
        <f>TEXT(Table3[[#This Row],[transaction_date]], "yyyy-mm")</f>
        <v>2025-11</v>
      </c>
      <c r="D1939" t="s">
        <v>89</v>
      </c>
      <c r="E1939" t="s">
        <v>3636</v>
      </c>
      <c r="F1939" t="s">
        <v>3604</v>
      </c>
      <c r="G1939" s="1">
        <v>2523269.91</v>
      </c>
    </row>
    <row r="1940" spans="1:7">
      <c r="A1940" t="s">
        <v>2035</v>
      </c>
      <c r="B1940" s="6">
        <v>45684</v>
      </c>
      <c r="C1940" s="6" t="str">
        <f>TEXT(Table3[[#This Row],[transaction_date]], "yyyy-mm")</f>
        <v>2025-01</v>
      </c>
      <c r="D1940" t="s">
        <v>76</v>
      </c>
      <c r="E1940" t="s">
        <v>3637</v>
      </c>
      <c r="F1940" t="s">
        <v>3617</v>
      </c>
      <c r="G1940" s="1">
        <v>112176.43</v>
      </c>
    </row>
    <row r="1941" spans="1:7">
      <c r="A1941" t="s">
        <v>2036</v>
      </c>
      <c r="B1941" s="6">
        <v>45669</v>
      </c>
      <c r="C1941" s="6" t="str">
        <f>TEXT(Table3[[#This Row],[transaction_date]], "yyyy-mm")</f>
        <v>2025-01</v>
      </c>
      <c r="D1941" t="s">
        <v>73</v>
      </c>
      <c r="E1941" t="s">
        <v>3637</v>
      </c>
      <c r="F1941" t="s">
        <v>3614</v>
      </c>
      <c r="G1941" s="1">
        <v>6578939.5199999996</v>
      </c>
    </row>
    <row r="1942" spans="1:7">
      <c r="A1942" t="s">
        <v>2037</v>
      </c>
      <c r="B1942" s="6">
        <v>45845</v>
      </c>
      <c r="C1942" s="6" t="str">
        <f>TEXT(Table3[[#This Row],[transaction_date]], "yyyy-mm")</f>
        <v>2025-07</v>
      </c>
      <c r="D1942" t="s">
        <v>84</v>
      </c>
      <c r="E1942" t="s">
        <v>3636</v>
      </c>
      <c r="F1942" t="s">
        <v>3606</v>
      </c>
      <c r="G1942" s="1">
        <v>5032261.68</v>
      </c>
    </row>
    <row r="1943" spans="1:7">
      <c r="A1943" t="s">
        <v>2038</v>
      </c>
      <c r="B1943" s="6">
        <v>45833</v>
      </c>
      <c r="C1943" s="6" t="str">
        <f>TEXT(Table3[[#This Row],[transaction_date]], "yyyy-mm")</f>
        <v>2025-06</v>
      </c>
      <c r="D1943" t="s">
        <v>78</v>
      </c>
      <c r="E1943" t="s">
        <v>3637</v>
      </c>
      <c r="F1943" t="s">
        <v>3615</v>
      </c>
      <c r="G1943" s="1">
        <v>1982954.64</v>
      </c>
    </row>
    <row r="1944" spans="1:7">
      <c r="A1944" t="s">
        <v>2039</v>
      </c>
      <c r="B1944" s="6">
        <v>45739</v>
      </c>
      <c r="C1944" s="6" t="str">
        <f>TEXT(Table3[[#This Row],[transaction_date]], "yyyy-mm")</f>
        <v>2025-03</v>
      </c>
      <c r="D1944" t="s">
        <v>3597</v>
      </c>
      <c r="E1944" t="s">
        <v>3637</v>
      </c>
      <c r="F1944" t="s">
        <v>3621</v>
      </c>
      <c r="G1944" s="1">
        <v>714338.54</v>
      </c>
    </row>
    <row r="1945" spans="1:7">
      <c r="A1945" t="s">
        <v>2040</v>
      </c>
      <c r="B1945" s="6">
        <v>45951</v>
      </c>
      <c r="C1945" s="6" t="str">
        <f>TEXT(Table3[[#This Row],[transaction_date]], "yyyy-mm")</f>
        <v>2025-10</v>
      </c>
      <c r="D1945" t="s">
        <v>73</v>
      </c>
      <c r="E1945" t="s">
        <v>3636</v>
      </c>
      <c r="F1945" t="s">
        <v>3613</v>
      </c>
      <c r="G1945" s="1">
        <v>382740.96</v>
      </c>
    </row>
    <row r="1946" spans="1:7">
      <c r="A1946" t="s">
        <v>2041</v>
      </c>
      <c r="B1946" s="6">
        <v>45978</v>
      </c>
      <c r="C1946" s="6" t="str">
        <f>TEXT(Table3[[#This Row],[transaction_date]], "yyyy-mm")</f>
        <v>2025-11</v>
      </c>
      <c r="D1946" t="s">
        <v>3597</v>
      </c>
      <c r="E1946" t="s">
        <v>3636</v>
      </c>
      <c r="F1946" t="s">
        <v>3607</v>
      </c>
      <c r="G1946" s="1">
        <v>5373859.8799999999</v>
      </c>
    </row>
    <row r="1947" spans="1:7">
      <c r="A1947" t="s">
        <v>2042</v>
      </c>
      <c r="B1947" s="6">
        <v>45805</v>
      </c>
      <c r="C1947" s="6" t="str">
        <f>TEXT(Table3[[#This Row],[transaction_date]], "yyyy-mm")</f>
        <v>2025-05</v>
      </c>
      <c r="D1947" t="s">
        <v>73</v>
      </c>
      <c r="E1947" t="s">
        <v>3637</v>
      </c>
      <c r="F1947" t="s">
        <v>3618</v>
      </c>
      <c r="G1947" s="1">
        <v>4343856.91</v>
      </c>
    </row>
    <row r="1948" spans="1:7">
      <c r="A1948" t="s">
        <v>2043</v>
      </c>
      <c r="B1948" s="6">
        <v>45773</v>
      </c>
      <c r="C1948" s="6" t="str">
        <f>TEXT(Table3[[#This Row],[transaction_date]], "yyyy-mm")</f>
        <v>2025-04</v>
      </c>
      <c r="D1948" t="s">
        <v>85</v>
      </c>
      <c r="E1948" t="s">
        <v>3637</v>
      </c>
      <c r="F1948" t="s">
        <v>3618</v>
      </c>
      <c r="G1948" s="1">
        <v>3451141.09</v>
      </c>
    </row>
    <row r="1949" spans="1:7">
      <c r="A1949" t="s">
        <v>2044</v>
      </c>
      <c r="B1949" s="6">
        <v>45829</v>
      </c>
      <c r="C1949" s="6" t="str">
        <f>TEXT(Table3[[#This Row],[transaction_date]], "yyyy-mm")</f>
        <v>2025-06</v>
      </c>
      <c r="D1949" t="s">
        <v>78</v>
      </c>
      <c r="E1949" t="s">
        <v>3636</v>
      </c>
      <c r="F1949" t="s">
        <v>3612</v>
      </c>
      <c r="G1949" s="1">
        <v>3439771.33</v>
      </c>
    </row>
    <row r="1950" spans="1:7">
      <c r="A1950" t="s">
        <v>2045</v>
      </c>
      <c r="B1950" s="6">
        <v>45831</v>
      </c>
      <c r="C1950" s="6" t="str">
        <f>TEXT(Table3[[#This Row],[transaction_date]], "yyyy-mm")</f>
        <v>2025-06</v>
      </c>
      <c r="D1950" t="s">
        <v>73</v>
      </c>
      <c r="E1950" t="s">
        <v>3636</v>
      </c>
      <c r="F1950" t="s">
        <v>3604</v>
      </c>
      <c r="G1950" s="1">
        <v>131621.45000000001</v>
      </c>
    </row>
    <row r="1951" spans="1:7">
      <c r="A1951" t="s">
        <v>2046</v>
      </c>
      <c r="B1951" s="6">
        <v>45918</v>
      </c>
      <c r="C1951" s="6" t="str">
        <f>TEXT(Table3[[#This Row],[transaction_date]], "yyyy-mm")</f>
        <v>2025-09</v>
      </c>
      <c r="D1951" t="s">
        <v>74</v>
      </c>
      <c r="E1951" t="s">
        <v>3636</v>
      </c>
      <c r="F1951" t="s">
        <v>3613</v>
      </c>
      <c r="G1951" s="1">
        <v>1575162.93</v>
      </c>
    </row>
    <row r="1952" spans="1:7">
      <c r="A1952" t="s">
        <v>2047</v>
      </c>
      <c r="B1952" s="6">
        <v>45800</v>
      </c>
      <c r="C1952" s="6" t="str">
        <f>TEXT(Table3[[#This Row],[transaction_date]], "yyyy-mm")</f>
        <v>2025-05</v>
      </c>
      <c r="D1952" t="s">
        <v>85</v>
      </c>
      <c r="E1952" t="s">
        <v>3637</v>
      </c>
      <c r="F1952" t="s">
        <v>3618</v>
      </c>
      <c r="G1952" s="1">
        <v>1432478.1</v>
      </c>
    </row>
    <row r="1953" spans="1:7">
      <c r="A1953" t="s">
        <v>2048</v>
      </c>
      <c r="B1953" s="6">
        <v>46019</v>
      </c>
      <c r="C1953" s="6" t="str">
        <f>TEXT(Table3[[#This Row],[transaction_date]], "yyyy-mm")</f>
        <v>2025-12</v>
      </c>
      <c r="D1953" t="s">
        <v>80</v>
      </c>
      <c r="E1953" t="s">
        <v>3637</v>
      </c>
      <c r="F1953" t="s">
        <v>3623</v>
      </c>
      <c r="G1953" s="1">
        <v>1001155.26</v>
      </c>
    </row>
    <row r="1954" spans="1:7">
      <c r="A1954" t="s">
        <v>2049</v>
      </c>
      <c r="B1954" s="6">
        <v>45883</v>
      </c>
      <c r="C1954" s="6" t="str">
        <f>TEXT(Table3[[#This Row],[transaction_date]], "yyyy-mm")</f>
        <v>2025-08</v>
      </c>
      <c r="D1954" t="s">
        <v>95</v>
      </c>
      <c r="E1954" t="s">
        <v>3637</v>
      </c>
      <c r="F1954" t="s">
        <v>3616</v>
      </c>
      <c r="G1954" s="1">
        <v>4079445.76</v>
      </c>
    </row>
    <row r="1955" spans="1:7">
      <c r="A1955" t="s">
        <v>2050</v>
      </c>
      <c r="B1955" s="6">
        <v>45701</v>
      </c>
      <c r="C1955" s="6" t="str">
        <f>TEXT(Table3[[#This Row],[transaction_date]], "yyyy-mm")</f>
        <v>2025-02</v>
      </c>
      <c r="D1955" t="s">
        <v>3597</v>
      </c>
      <c r="E1955" t="s">
        <v>3637</v>
      </c>
      <c r="F1955" t="s">
        <v>3614</v>
      </c>
      <c r="G1955" s="1">
        <v>7738917.0099999998</v>
      </c>
    </row>
    <row r="1956" spans="1:7">
      <c r="A1956" t="s">
        <v>2051</v>
      </c>
      <c r="B1956" s="6">
        <v>45994</v>
      </c>
      <c r="C1956" s="6" t="str">
        <f>TEXT(Table3[[#This Row],[transaction_date]], "yyyy-mm")</f>
        <v>2025-12</v>
      </c>
      <c r="D1956" t="s">
        <v>76</v>
      </c>
      <c r="E1956" t="s">
        <v>3637</v>
      </c>
      <c r="F1956" t="s">
        <v>3617</v>
      </c>
      <c r="G1956" s="1">
        <v>2970516.88</v>
      </c>
    </row>
    <row r="1957" spans="1:7">
      <c r="A1957" t="s">
        <v>2052</v>
      </c>
      <c r="B1957" s="6">
        <v>45775</v>
      </c>
      <c r="C1957" s="6" t="str">
        <f>TEXT(Table3[[#This Row],[transaction_date]], "yyyy-mm")</f>
        <v>2025-04</v>
      </c>
      <c r="D1957" t="s">
        <v>90</v>
      </c>
      <c r="E1957" t="s">
        <v>3636</v>
      </c>
      <c r="F1957" t="s">
        <v>3609</v>
      </c>
      <c r="G1957" s="1">
        <v>4186535.09</v>
      </c>
    </row>
    <row r="1958" spans="1:7">
      <c r="A1958" t="s">
        <v>2053</v>
      </c>
      <c r="B1958" s="6">
        <v>45845</v>
      </c>
      <c r="C1958" s="6" t="str">
        <f>TEXT(Table3[[#This Row],[transaction_date]], "yyyy-mm")</f>
        <v>2025-07</v>
      </c>
      <c r="D1958" t="s">
        <v>74</v>
      </c>
      <c r="E1958" t="s">
        <v>3636</v>
      </c>
      <c r="F1958" t="s">
        <v>3606</v>
      </c>
      <c r="G1958" s="1">
        <v>682931.66</v>
      </c>
    </row>
    <row r="1959" spans="1:7">
      <c r="A1959" t="s">
        <v>2054</v>
      </c>
      <c r="B1959" s="6">
        <v>45964</v>
      </c>
      <c r="C1959" s="6" t="str">
        <f>TEXT(Table3[[#This Row],[transaction_date]], "yyyy-mm")</f>
        <v>2025-11</v>
      </c>
      <c r="D1959" t="s">
        <v>73</v>
      </c>
      <c r="E1959" t="s">
        <v>3637</v>
      </c>
      <c r="F1959" t="s">
        <v>3620</v>
      </c>
      <c r="G1959" s="1">
        <v>1873749.85</v>
      </c>
    </row>
    <row r="1960" spans="1:7">
      <c r="A1960" t="s">
        <v>2055</v>
      </c>
      <c r="B1960" s="6">
        <v>45701</v>
      </c>
      <c r="C1960" s="6" t="str">
        <f>TEXT(Table3[[#This Row],[transaction_date]], "yyyy-mm")</f>
        <v>2025-02</v>
      </c>
      <c r="D1960" t="s">
        <v>85</v>
      </c>
      <c r="E1960" t="s">
        <v>3636</v>
      </c>
      <c r="F1960" t="s">
        <v>3613</v>
      </c>
      <c r="G1960" s="1">
        <v>3921641.98</v>
      </c>
    </row>
    <row r="1961" spans="1:7">
      <c r="A1961" t="s">
        <v>2056</v>
      </c>
      <c r="B1961" s="6">
        <v>45737</v>
      </c>
      <c r="C1961" s="6" t="str">
        <f>TEXT(Table3[[#This Row],[transaction_date]], "yyyy-mm")</f>
        <v>2025-03</v>
      </c>
      <c r="D1961" t="s">
        <v>78</v>
      </c>
      <c r="E1961" t="s">
        <v>3637</v>
      </c>
      <c r="F1961" t="s">
        <v>3622</v>
      </c>
      <c r="G1961" s="1">
        <v>5947956.9000000004</v>
      </c>
    </row>
    <row r="1962" spans="1:7">
      <c r="A1962" t="s">
        <v>2057</v>
      </c>
      <c r="B1962" s="6">
        <v>45859</v>
      </c>
      <c r="C1962" s="6" t="str">
        <f>TEXT(Table3[[#This Row],[transaction_date]], "yyyy-mm")</f>
        <v>2025-07</v>
      </c>
      <c r="D1962" t="s">
        <v>73</v>
      </c>
      <c r="E1962" t="s">
        <v>3637</v>
      </c>
      <c r="F1962" t="s">
        <v>3620</v>
      </c>
      <c r="G1962" s="1">
        <v>476995.4</v>
      </c>
    </row>
    <row r="1963" spans="1:7">
      <c r="A1963" t="s">
        <v>2058</v>
      </c>
      <c r="B1963" s="6">
        <v>45703</v>
      </c>
      <c r="C1963" s="6" t="str">
        <f>TEXT(Table3[[#This Row],[transaction_date]], "yyyy-mm")</f>
        <v>2025-02</v>
      </c>
      <c r="D1963" t="s">
        <v>82</v>
      </c>
      <c r="E1963" t="s">
        <v>3637</v>
      </c>
      <c r="F1963" t="s">
        <v>3623</v>
      </c>
      <c r="G1963" s="1">
        <v>13839650.17</v>
      </c>
    </row>
    <row r="1964" spans="1:7">
      <c r="A1964" t="s">
        <v>2059</v>
      </c>
      <c r="B1964" s="6">
        <v>45903</v>
      </c>
      <c r="C1964" s="6" t="str">
        <f>TEXT(Table3[[#This Row],[transaction_date]], "yyyy-mm")</f>
        <v>2025-09</v>
      </c>
      <c r="D1964" t="s">
        <v>80</v>
      </c>
      <c r="E1964" t="s">
        <v>3637</v>
      </c>
      <c r="F1964" t="s">
        <v>3620</v>
      </c>
      <c r="G1964" s="1">
        <v>904631.64</v>
      </c>
    </row>
    <row r="1965" spans="1:7">
      <c r="A1965" t="s">
        <v>2060</v>
      </c>
      <c r="B1965" s="6">
        <v>46017</v>
      </c>
      <c r="C1965" s="6" t="str">
        <f>TEXT(Table3[[#This Row],[transaction_date]], "yyyy-mm")</f>
        <v>2025-12</v>
      </c>
      <c r="D1965" t="s">
        <v>73</v>
      </c>
      <c r="E1965" t="s">
        <v>3636</v>
      </c>
      <c r="F1965" t="s">
        <v>3604</v>
      </c>
      <c r="G1965" s="1">
        <v>629494.18999999994</v>
      </c>
    </row>
    <row r="1966" spans="1:7">
      <c r="A1966" t="s">
        <v>2061</v>
      </c>
      <c r="B1966" s="6">
        <v>45757</v>
      </c>
      <c r="C1966" s="6" t="str">
        <f>TEXT(Table3[[#This Row],[transaction_date]], "yyyy-mm")</f>
        <v>2025-04</v>
      </c>
      <c r="D1966" t="s">
        <v>77</v>
      </c>
      <c r="E1966" t="s">
        <v>3637</v>
      </c>
      <c r="F1966" t="s">
        <v>3619</v>
      </c>
      <c r="G1966" s="1">
        <v>23632704.559999999</v>
      </c>
    </row>
    <row r="1967" spans="1:7">
      <c r="A1967" t="s">
        <v>2062</v>
      </c>
      <c r="B1967" s="6">
        <v>45748</v>
      </c>
      <c r="C1967" s="6" t="str">
        <f>TEXT(Table3[[#This Row],[transaction_date]], "yyyy-mm")</f>
        <v>2025-04</v>
      </c>
      <c r="D1967" t="s">
        <v>76</v>
      </c>
      <c r="E1967" t="s">
        <v>3636</v>
      </c>
      <c r="F1967" t="s">
        <v>3605</v>
      </c>
      <c r="G1967" s="1">
        <v>2337623.7799999998</v>
      </c>
    </row>
    <row r="1968" spans="1:7">
      <c r="A1968" t="s">
        <v>2063</v>
      </c>
      <c r="B1968" s="6">
        <v>45828</v>
      </c>
      <c r="C1968" s="6" t="str">
        <f>TEXT(Table3[[#This Row],[transaction_date]], "yyyy-mm")</f>
        <v>2025-06</v>
      </c>
      <c r="D1968" t="s">
        <v>80</v>
      </c>
      <c r="E1968" t="s">
        <v>3637</v>
      </c>
      <c r="F1968" t="s">
        <v>3623</v>
      </c>
      <c r="G1968" s="1">
        <v>2031995.12</v>
      </c>
    </row>
    <row r="1969" spans="1:7">
      <c r="A1969" t="s">
        <v>2064</v>
      </c>
      <c r="B1969" s="6">
        <v>45762</v>
      </c>
      <c r="C1969" s="6" t="str">
        <f>TEXT(Table3[[#This Row],[transaction_date]], "yyyy-mm")</f>
        <v>2025-04</v>
      </c>
      <c r="D1969" t="s">
        <v>75</v>
      </c>
      <c r="E1969" t="s">
        <v>3637</v>
      </c>
      <c r="F1969" t="s">
        <v>3621</v>
      </c>
      <c r="G1969" s="1">
        <v>16703943.720000001</v>
      </c>
    </row>
    <row r="1970" spans="1:7">
      <c r="A1970" t="s">
        <v>2065</v>
      </c>
      <c r="B1970" s="6">
        <v>45756</v>
      </c>
      <c r="C1970" s="6" t="str">
        <f>TEXT(Table3[[#This Row],[transaction_date]], "yyyy-mm")</f>
        <v>2025-04</v>
      </c>
      <c r="D1970" t="s">
        <v>84</v>
      </c>
      <c r="E1970" t="s">
        <v>3637</v>
      </c>
      <c r="F1970" t="s">
        <v>3616</v>
      </c>
      <c r="G1970" s="1">
        <v>10709817.560000001</v>
      </c>
    </row>
    <row r="1971" spans="1:7">
      <c r="A1971" t="s">
        <v>2066</v>
      </c>
      <c r="B1971" s="6">
        <v>45871</v>
      </c>
      <c r="C1971" s="6" t="str">
        <f>TEXT(Table3[[#This Row],[transaction_date]], "yyyy-mm")</f>
        <v>2025-08</v>
      </c>
      <c r="D1971" t="s">
        <v>90</v>
      </c>
      <c r="E1971" t="s">
        <v>3636</v>
      </c>
      <c r="F1971" t="s">
        <v>3610</v>
      </c>
      <c r="G1971" s="1">
        <v>15016028.23</v>
      </c>
    </row>
    <row r="1972" spans="1:7">
      <c r="A1972" t="s">
        <v>2067</v>
      </c>
      <c r="B1972" s="6">
        <v>45728</v>
      </c>
      <c r="C1972" s="6" t="str">
        <f>TEXT(Table3[[#This Row],[transaction_date]], "yyyy-mm")</f>
        <v>2025-03</v>
      </c>
      <c r="D1972" t="s">
        <v>85</v>
      </c>
      <c r="E1972" t="s">
        <v>3636</v>
      </c>
      <c r="F1972" t="s">
        <v>3604</v>
      </c>
      <c r="G1972" s="1">
        <v>3766205</v>
      </c>
    </row>
    <row r="1973" spans="1:7">
      <c r="A1973" t="s">
        <v>2068</v>
      </c>
      <c r="B1973" s="6">
        <v>45696</v>
      </c>
      <c r="C1973" s="6" t="str">
        <f>TEXT(Table3[[#This Row],[transaction_date]], "yyyy-mm")</f>
        <v>2025-02</v>
      </c>
      <c r="D1973" t="s">
        <v>90</v>
      </c>
      <c r="E1973" t="s">
        <v>3636</v>
      </c>
      <c r="F1973" t="s">
        <v>3608</v>
      </c>
      <c r="G1973" s="1">
        <v>11667190.83</v>
      </c>
    </row>
    <row r="1974" spans="1:7">
      <c r="A1974" t="s">
        <v>2069</v>
      </c>
      <c r="B1974" s="6">
        <v>45771</v>
      </c>
      <c r="C1974" s="6" t="str">
        <f>TEXT(Table3[[#This Row],[transaction_date]], "yyyy-mm")</f>
        <v>2025-04</v>
      </c>
      <c r="D1974" t="s">
        <v>77</v>
      </c>
      <c r="E1974" t="s">
        <v>3637</v>
      </c>
      <c r="F1974" t="s">
        <v>3619</v>
      </c>
      <c r="G1974" s="1">
        <v>1341884.74</v>
      </c>
    </row>
    <row r="1975" spans="1:7">
      <c r="A1975" t="s">
        <v>2070</v>
      </c>
      <c r="B1975" s="6">
        <v>46004</v>
      </c>
      <c r="C1975" s="6" t="str">
        <f>TEXT(Table3[[#This Row],[transaction_date]], "yyyy-mm")</f>
        <v>2025-12</v>
      </c>
      <c r="D1975" t="s">
        <v>73</v>
      </c>
      <c r="E1975" t="s">
        <v>3637</v>
      </c>
      <c r="F1975" t="s">
        <v>3621</v>
      </c>
      <c r="G1975" s="1">
        <v>5747269.7699999996</v>
      </c>
    </row>
    <row r="1976" spans="1:7">
      <c r="A1976" t="s">
        <v>2071</v>
      </c>
      <c r="B1976" s="6">
        <v>45950</v>
      </c>
      <c r="C1976" s="6" t="str">
        <f>TEXT(Table3[[#This Row],[transaction_date]], "yyyy-mm")</f>
        <v>2025-10</v>
      </c>
      <c r="D1976" t="s">
        <v>74</v>
      </c>
      <c r="E1976" t="s">
        <v>3637</v>
      </c>
      <c r="F1976" t="s">
        <v>3619</v>
      </c>
      <c r="G1976" s="1">
        <v>637393.85</v>
      </c>
    </row>
    <row r="1977" spans="1:7">
      <c r="A1977" t="s">
        <v>2072</v>
      </c>
      <c r="B1977" s="6">
        <v>45830</v>
      </c>
      <c r="C1977" s="6" t="str">
        <f>TEXT(Table3[[#This Row],[transaction_date]], "yyyy-mm")</f>
        <v>2025-06</v>
      </c>
      <c r="D1977" t="s">
        <v>93</v>
      </c>
      <c r="E1977" t="s">
        <v>3637</v>
      </c>
      <c r="F1977" t="s">
        <v>3623</v>
      </c>
      <c r="G1977" s="1">
        <v>13278094.9</v>
      </c>
    </row>
    <row r="1978" spans="1:7">
      <c r="A1978" t="s">
        <v>2073</v>
      </c>
      <c r="B1978" s="6">
        <v>45977</v>
      </c>
      <c r="C1978" s="6" t="str">
        <f>TEXT(Table3[[#This Row],[transaction_date]], "yyyy-mm")</f>
        <v>2025-11</v>
      </c>
      <c r="D1978" t="s">
        <v>93</v>
      </c>
      <c r="E1978" t="s">
        <v>3637</v>
      </c>
      <c r="F1978" t="s">
        <v>3620</v>
      </c>
      <c r="G1978" s="1">
        <v>32957.82</v>
      </c>
    </row>
    <row r="1979" spans="1:7">
      <c r="A1979" t="s">
        <v>2074</v>
      </c>
      <c r="B1979" s="6">
        <v>45734</v>
      </c>
      <c r="C1979" s="6" t="str">
        <f>TEXT(Table3[[#This Row],[transaction_date]], "yyyy-mm")</f>
        <v>2025-03</v>
      </c>
      <c r="D1979" t="s">
        <v>75</v>
      </c>
      <c r="E1979" t="s">
        <v>3637</v>
      </c>
      <c r="F1979" t="s">
        <v>3621</v>
      </c>
      <c r="G1979" s="1">
        <v>17214175.539999999</v>
      </c>
    </row>
    <row r="1980" spans="1:7">
      <c r="A1980" t="s">
        <v>2075</v>
      </c>
      <c r="B1980" s="6">
        <v>45904</v>
      </c>
      <c r="C1980" s="6" t="str">
        <f>TEXT(Table3[[#This Row],[transaction_date]], "yyyy-mm")</f>
        <v>2025-09</v>
      </c>
      <c r="D1980" t="s">
        <v>78</v>
      </c>
      <c r="E1980" t="s">
        <v>3637</v>
      </c>
      <c r="F1980" t="s">
        <v>3618</v>
      </c>
      <c r="G1980" s="1">
        <v>2119121.86</v>
      </c>
    </row>
    <row r="1981" spans="1:7">
      <c r="A1981" t="s">
        <v>2076</v>
      </c>
      <c r="B1981" s="6">
        <v>45750</v>
      </c>
      <c r="C1981" s="6" t="str">
        <f>TEXT(Table3[[#This Row],[transaction_date]], "yyyy-mm")</f>
        <v>2025-04</v>
      </c>
      <c r="D1981" t="s">
        <v>75</v>
      </c>
      <c r="E1981" t="s">
        <v>3636</v>
      </c>
      <c r="F1981" t="s">
        <v>3608</v>
      </c>
      <c r="G1981" s="1">
        <v>9946838.8599999994</v>
      </c>
    </row>
    <row r="1982" spans="1:7">
      <c r="A1982" t="s">
        <v>2077</v>
      </c>
      <c r="B1982" s="6">
        <v>45865</v>
      </c>
      <c r="C1982" s="6" t="str">
        <f>TEXT(Table3[[#This Row],[transaction_date]], "yyyy-mm")</f>
        <v>2025-07</v>
      </c>
      <c r="D1982" t="s">
        <v>78</v>
      </c>
      <c r="E1982" t="s">
        <v>3636</v>
      </c>
      <c r="F1982" t="s">
        <v>3613</v>
      </c>
      <c r="G1982" s="1">
        <v>4962341.67</v>
      </c>
    </row>
    <row r="1983" spans="1:7">
      <c r="A1983" t="s">
        <v>2078</v>
      </c>
      <c r="B1983" s="6">
        <v>45737</v>
      </c>
      <c r="C1983" s="6" t="str">
        <f>TEXT(Table3[[#This Row],[transaction_date]], "yyyy-mm")</f>
        <v>2025-03</v>
      </c>
      <c r="D1983" t="s">
        <v>84</v>
      </c>
      <c r="E1983" t="s">
        <v>3637</v>
      </c>
      <c r="F1983" t="s">
        <v>3619</v>
      </c>
      <c r="G1983" s="1">
        <v>4564456.92</v>
      </c>
    </row>
    <row r="1984" spans="1:7">
      <c r="A1984" t="s">
        <v>2079</v>
      </c>
      <c r="B1984" s="6">
        <v>45978</v>
      </c>
      <c r="C1984" s="6" t="str">
        <f>TEXT(Table3[[#This Row],[transaction_date]], "yyyy-mm")</f>
        <v>2025-11</v>
      </c>
      <c r="D1984" t="s">
        <v>84</v>
      </c>
      <c r="E1984" t="s">
        <v>3637</v>
      </c>
      <c r="F1984" t="s">
        <v>3614</v>
      </c>
      <c r="G1984" s="1">
        <v>15121313.43</v>
      </c>
    </row>
    <row r="1985" spans="1:7">
      <c r="A1985" t="s">
        <v>2080</v>
      </c>
      <c r="B1985" s="6">
        <v>45699</v>
      </c>
      <c r="C1985" s="6" t="str">
        <f>TEXT(Table3[[#This Row],[transaction_date]], "yyyy-mm")</f>
        <v>2025-02</v>
      </c>
      <c r="D1985" t="s">
        <v>84</v>
      </c>
      <c r="E1985" t="s">
        <v>3637</v>
      </c>
      <c r="F1985" t="s">
        <v>3621</v>
      </c>
      <c r="G1985" s="1">
        <v>11035631.67</v>
      </c>
    </row>
    <row r="1986" spans="1:7">
      <c r="A1986" t="s">
        <v>2081</v>
      </c>
      <c r="B1986" s="6">
        <v>45672</v>
      </c>
      <c r="C1986" s="6" t="str">
        <f>TEXT(Table3[[#This Row],[transaction_date]], "yyyy-mm")</f>
        <v>2025-01</v>
      </c>
      <c r="D1986" t="s">
        <v>84</v>
      </c>
      <c r="E1986" t="s">
        <v>3636</v>
      </c>
      <c r="F1986" t="s">
        <v>3613</v>
      </c>
      <c r="G1986" s="1">
        <v>4904119.0599999996</v>
      </c>
    </row>
    <row r="1987" spans="1:7">
      <c r="A1987" t="s">
        <v>2082</v>
      </c>
      <c r="B1987" s="6">
        <v>45752</v>
      </c>
      <c r="C1987" s="6" t="str">
        <f>TEXT(Table3[[#This Row],[transaction_date]], "yyyy-mm")</f>
        <v>2025-04</v>
      </c>
      <c r="D1987" t="s">
        <v>74</v>
      </c>
      <c r="E1987" t="s">
        <v>3636</v>
      </c>
      <c r="F1987" t="s">
        <v>3605</v>
      </c>
      <c r="G1987" s="1">
        <v>565478.51</v>
      </c>
    </row>
    <row r="1988" spans="1:7">
      <c r="A1988" t="s">
        <v>2083</v>
      </c>
      <c r="B1988" s="6">
        <v>45784</v>
      </c>
      <c r="C1988" s="6" t="str">
        <f>TEXT(Table3[[#This Row],[transaction_date]], "yyyy-mm")</f>
        <v>2025-05</v>
      </c>
      <c r="D1988" t="s">
        <v>85</v>
      </c>
      <c r="E1988" t="s">
        <v>3637</v>
      </c>
      <c r="F1988" t="s">
        <v>3623</v>
      </c>
      <c r="G1988" s="1">
        <v>818351.05</v>
      </c>
    </row>
    <row r="1989" spans="1:7">
      <c r="A1989" t="s">
        <v>2084</v>
      </c>
      <c r="B1989" s="6">
        <v>46018</v>
      </c>
      <c r="C1989" s="6" t="str">
        <f>TEXT(Table3[[#This Row],[transaction_date]], "yyyy-mm")</f>
        <v>2025-12</v>
      </c>
      <c r="D1989" t="s">
        <v>95</v>
      </c>
      <c r="E1989" t="s">
        <v>3637</v>
      </c>
      <c r="F1989" t="s">
        <v>3616</v>
      </c>
      <c r="G1989" s="1">
        <v>12120843.550000001</v>
      </c>
    </row>
    <row r="1990" spans="1:7">
      <c r="A1990" t="s">
        <v>2085</v>
      </c>
      <c r="B1990" s="6">
        <v>45986</v>
      </c>
      <c r="C1990" s="6" t="str">
        <f>TEXT(Table3[[#This Row],[transaction_date]], "yyyy-mm")</f>
        <v>2025-11</v>
      </c>
      <c r="D1990" t="s">
        <v>75</v>
      </c>
      <c r="E1990" t="s">
        <v>3637</v>
      </c>
      <c r="F1990" t="s">
        <v>3620</v>
      </c>
      <c r="G1990" s="1">
        <v>12361118.130000001</v>
      </c>
    </row>
    <row r="1991" spans="1:7">
      <c r="A1991" t="s">
        <v>2086</v>
      </c>
      <c r="B1991" s="6">
        <v>45715</v>
      </c>
      <c r="C1991" s="6" t="str">
        <f>TEXT(Table3[[#This Row],[transaction_date]], "yyyy-mm")</f>
        <v>2025-02</v>
      </c>
      <c r="D1991" t="s">
        <v>73</v>
      </c>
      <c r="E1991" t="s">
        <v>3637</v>
      </c>
      <c r="F1991" t="s">
        <v>3623</v>
      </c>
      <c r="G1991" s="1">
        <v>729334.17</v>
      </c>
    </row>
    <row r="1992" spans="1:7">
      <c r="A1992" t="s">
        <v>2087</v>
      </c>
      <c r="B1992" s="6">
        <v>45787</v>
      </c>
      <c r="C1992" s="6" t="str">
        <f>TEXT(Table3[[#This Row],[transaction_date]], "yyyy-mm")</f>
        <v>2025-05</v>
      </c>
      <c r="D1992" t="s">
        <v>82</v>
      </c>
      <c r="E1992" t="s">
        <v>3637</v>
      </c>
      <c r="F1992" t="s">
        <v>3620</v>
      </c>
      <c r="G1992" s="1">
        <v>14633883.880000001</v>
      </c>
    </row>
    <row r="1993" spans="1:7">
      <c r="A1993" t="s">
        <v>2088</v>
      </c>
      <c r="B1993" s="6">
        <v>45757</v>
      </c>
      <c r="C1993" s="6" t="str">
        <f>TEXT(Table3[[#This Row],[transaction_date]], "yyyy-mm")</f>
        <v>2025-04</v>
      </c>
      <c r="D1993" t="s">
        <v>95</v>
      </c>
      <c r="E1993" t="s">
        <v>3636</v>
      </c>
      <c r="F1993" t="s">
        <v>3606</v>
      </c>
      <c r="G1993" s="1">
        <v>18729649.34</v>
      </c>
    </row>
    <row r="1994" spans="1:7">
      <c r="A1994" t="s">
        <v>2089</v>
      </c>
      <c r="B1994" s="6">
        <v>45944</v>
      </c>
      <c r="C1994" s="6" t="str">
        <f>TEXT(Table3[[#This Row],[transaction_date]], "yyyy-mm")</f>
        <v>2025-10</v>
      </c>
      <c r="D1994" t="s">
        <v>80</v>
      </c>
      <c r="E1994" t="s">
        <v>3637</v>
      </c>
      <c r="F1994" t="s">
        <v>3618</v>
      </c>
      <c r="G1994" s="1">
        <v>1625367.75</v>
      </c>
    </row>
    <row r="1995" spans="1:7">
      <c r="A1995" t="s">
        <v>2090</v>
      </c>
      <c r="B1995" s="6">
        <v>45670</v>
      </c>
      <c r="C1995" s="6" t="str">
        <f>TEXT(Table3[[#This Row],[transaction_date]], "yyyy-mm")</f>
        <v>2025-01</v>
      </c>
      <c r="D1995" t="s">
        <v>84</v>
      </c>
      <c r="E1995" t="s">
        <v>3637</v>
      </c>
      <c r="F1995" t="s">
        <v>3619</v>
      </c>
      <c r="G1995" s="1">
        <v>9157543.4800000004</v>
      </c>
    </row>
    <row r="1996" spans="1:7">
      <c r="A1996" t="s">
        <v>2091</v>
      </c>
      <c r="B1996" s="6">
        <v>45992</v>
      </c>
      <c r="C1996" s="6" t="str">
        <f>TEXT(Table3[[#This Row],[transaction_date]], "yyyy-mm")</f>
        <v>2025-12</v>
      </c>
      <c r="D1996" t="s">
        <v>80</v>
      </c>
      <c r="E1996" t="s">
        <v>3636</v>
      </c>
      <c r="F1996" t="s">
        <v>3607</v>
      </c>
      <c r="G1996" s="1">
        <v>3763371.77</v>
      </c>
    </row>
    <row r="1997" spans="1:7">
      <c r="A1997" t="s">
        <v>2092</v>
      </c>
      <c r="B1997" s="6">
        <v>45784</v>
      </c>
      <c r="C1997" s="6" t="str">
        <f>TEXT(Table3[[#This Row],[transaction_date]], "yyyy-mm")</f>
        <v>2025-05</v>
      </c>
      <c r="D1997" t="s">
        <v>93</v>
      </c>
      <c r="E1997" t="s">
        <v>3636</v>
      </c>
      <c r="F1997" t="s">
        <v>3607</v>
      </c>
      <c r="G1997" s="1">
        <v>4172064.57</v>
      </c>
    </row>
    <row r="1998" spans="1:7">
      <c r="A1998" t="s">
        <v>2093</v>
      </c>
      <c r="B1998" s="6">
        <v>45689</v>
      </c>
      <c r="C1998" s="6" t="str">
        <f>TEXT(Table3[[#This Row],[transaction_date]], "yyyy-mm")</f>
        <v>2025-02</v>
      </c>
      <c r="D1998" t="s">
        <v>79</v>
      </c>
      <c r="E1998" t="s">
        <v>3636</v>
      </c>
      <c r="F1998" t="s">
        <v>3611</v>
      </c>
      <c r="G1998" s="1">
        <v>5202635.3099999996</v>
      </c>
    </row>
    <row r="1999" spans="1:7">
      <c r="A1999" t="s">
        <v>2094</v>
      </c>
      <c r="B1999" s="6">
        <v>45694</v>
      </c>
      <c r="C1999" s="6" t="str">
        <f>TEXT(Table3[[#This Row],[transaction_date]], "yyyy-mm")</f>
        <v>2025-02</v>
      </c>
      <c r="D1999" t="s">
        <v>75</v>
      </c>
      <c r="E1999" t="s">
        <v>3636</v>
      </c>
      <c r="F1999" t="s">
        <v>3612</v>
      </c>
      <c r="G1999" s="1">
        <v>2464910.29</v>
      </c>
    </row>
    <row r="2000" spans="1:7">
      <c r="A2000" t="s">
        <v>2095</v>
      </c>
      <c r="B2000" s="6">
        <v>45717</v>
      </c>
      <c r="C2000" s="6" t="str">
        <f>TEXT(Table3[[#This Row],[transaction_date]], "yyyy-mm")</f>
        <v>2025-03</v>
      </c>
      <c r="D2000" t="s">
        <v>77</v>
      </c>
      <c r="E2000" t="s">
        <v>3637</v>
      </c>
      <c r="F2000" t="s">
        <v>3622</v>
      </c>
      <c r="G2000" s="1">
        <v>8509135.7400000002</v>
      </c>
    </row>
    <row r="2001" spans="1:7">
      <c r="A2001" t="s">
        <v>2096</v>
      </c>
      <c r="B2001" s="6">
        <v>45845</v>
      </c>
      <c r="C2001" s="6" t="str">
        <f>TEXT(Table3[[#This Row],[transaction_date]], "yyyy-mm")</f>
        <v>2025-07</v>
      </c>
      <c r="D2001" t="s">
        <v>90</v>
      </c>
      <c r="E2001" t="s">
        <v>3636</v>
      </c>
      <c r="F2001" t="s">
        <v>3604</v>
      </c>
      <c r="G2001" s="1">
        <v>3536092.69</v>
      </c>
    </row>
    <row r="2002" spans="1:7">
      <c r="A2002" t="s">
        <v>2097</v>
      </c>
      <c r="B2002" s="6">
        <v>45962</v>
      </c>
      <c r="C2002" s="6" t="str">
        <f>TEXT(Table3[[#This Row],[transaction_date]], "yyyy-mm")</f>
        <v>2025-11</v>
      </c>
      <c r="D2002" t="s">
        <v>80</v>
      </c>
      <c r="E2002" t="s">
        <v>3637</v>
      </c>
      <c r="F2002" t="s">
        <v>3615</v>
      </c>
      <c r="G2002" s="1">
        <v>505054.39</v>
      </c>
    </row>
    <row r="2003" spans="1:7">
      <c r="A2003" t="s">
        <v>2098</v>
      </c>
      <c r="B2003" s="6">
        <v>45746</v>
      </c>
      <c r="C2003" s="6" t="str">
        <f>TEXT(Table3[[#This Row],[transaction_date]], "yyyy-mm")</f>
        <v>2025-03</v>
      </c>
      <c r="D2003" t="s">
        <v>93</v>
      </c>
      <c r="E2003" t="s">
        <v>3637</v>
      </c>
      <c r="F2003" t="s">
        <v>3623</v>
      </c>
      <c r="G2003" s="1">
        <v>4951176.76</v>
      </c>
    </row>
    <row r="2004" spans="1:7">
      <c r="A2004" t="s">
        <v>2099</v>
      </c>
      <c r="B2004" s="6">
        <v>45878</v>
      </c>
      <c r="C2004" s="6" t="str">
        <f>TEXT(Table3[[#This Row],[transaction_date]], "yyyy-mm")</f>
        <v>2025-08</v>
      </c>
      <c r="D2004" t="s">
        <v>78</v>
      </c>
      <c r="E2004" t="s">
        <v>3636</v>
      </c>
      <c r="F2004" t="s">
        <v>3609</v>
      </c>
      <c r="G2004" s="1">
        <v>247130.56</v>
      </c>
    </row>
    <row r="2005" spans="1:7">
      <c r="A2005" t="s">
        <v>2100</v>
      </c>
      <c r="B2005" s="6">
        <v>45785</v>
      </c>
      <c r="C2005" s="6" t="str">
        <f>TEXT(Table3[[#This Row],[transaction_date]], "yyyy-mm")</f>
        <v>2025-05</v>
      </c>
      <c r="D2005" t="s">
        <v>73</v>
      </c>
      <c r="E2005" t="s">
        <v>3636</v>
      </c>
      <c r="F2005" t="s">
        <v>3605</v>
      </c>
      <c r="G2005" s="1">
        <v>222721.37</v>
      </c>
    </row>
    <row r="2006" spans="1:7">
      <c r="A2006" t="s">
        <v>2101</v>
      </c>
      <c r="B2006" s="6">
        <v>45950</v>
      </c>
      <c r="C2006" s="6" t="str">
        <f>TEXT(Table3[[#This Row],[transaction_date]], "yyyy-mm")</f>
        <v>2025-10</v>
      </c>
      <c r="D2006" t="s">
        <v>80</v>
      </c>
      <c r="E2006" t="s">
        <v>3637</v>
      </c>
      <c r="F2006" t="s">
        <v>3615</v>
      </c>
      <c r="G2006" s="1">
        <v>343546.72</v>
      </c>
    </row>
    <row r="2007" spans="1:7">
      <c r="A2007" t="s">
        <v>2102</v>
      </c>
      <c r="B2007" s="6">
        <v>45984</v>
      </c>
      <c r="C2007" s="6" t="str">
        <f>TEXT(Table3[[#This Row],[transaction_date]], "yyyy-mm")</f>
        <v>2025-11</v>
      </c>
      <c r="D2007" t="s">
        <v>74</v>
      </c>
      <c r="E2007" t="s">
        <v>3636</v>
      </c>
      <c r="F2007" t="s">
        <v>3606</v>
      </c>
      <c r="G2007" s="1">
        <v>986478.37</v>
      </c>
    </row>
    <row r="2008" spans="1:7">
      <c r="A2008" t="s">
        <v>2103</v>
      </c>
      <c r="B2008" s="6">
        <v>45769</v>
      </c>
      <c r="C2008" s="6" t="str">
        <f>TEXT(Table3[[#This Row],[transaction_date]], "yyyy-mm")</f>
        <v>2025-04</v>
      </c>
      <c r="D2008" t="s">
        <v>73</v>
      </c>
      <c r="E2008" t="s">
        <v>3636</v>
      </c>
      <c r="F2008" t="s">
        <v>3612</v>
      </c>
      <c r="G2008" s="1">
        <v>3897194.48</v>
      </c>
    </row>
    <row r="2009" spans="1:7">
      <c r="A2009" t="s">
        <v>2104</v>
      </c>
      <c r="B2009" s="6">
        <v>45857</v>
      </c>
      <c r="C2009" s="6" t="str">
        <f>TEXT(Table3[[#This Row],[transaction_date]], "yyyy-mm")</f>
        <v>2025-07</v>
      </c>
      <c r="D2009" t="s">
        <v>75</v>
      </c>
      <c r="E2009" t="s">
        <v>3636</v>
      </c>
      <c r="F2009" t="s">
        <v>3609</v>
      </c>
      <c r="G2009" s="1">
        <v>920081.06</v>
      </c>
    </row>
    <row r="2010" spans="1:7">
      <c r="A2010" t="s">
        <v>2105</v>
      </c>
      <c r="B2010" s="6">
        <v>45842</v>
      </c>
      <c r="C2010" s="6" t="str">
        <f>TEXT(Table3[[#This Row],[transaction_date]], "yyyy-mm")</f>
        <v>2025-07</v>
      </c>
      <c r="D2010" t="s">
        <v>3597</v>
      </c>
      <c r="E2010" t="s">
        <v>3637</v>
      </c>
      <c r="F2010" t="s">
        <v>3621</v>
      </c>
      <c r="G2010" s="1">
        <v>534877.57999999996</v>
      </c>
    </row>
    <row r="2011" spans="1:7">
      <c r="A2011" t="s">
        <v>2106</v>
      </c>
      <c r="B2011" s="6">
        <v>45701</v>
      </c>
      <c r="C2011" s="6" t="str">
        <f>TEXT(Table3[[#This Row],[transaction_date]], "yyyy-mm")</f>
        <v>2025-02</v>
      </c>
      <c r="D2011" t="s">
        <v>76</v>
      </c>
      <c r="E2011" t="s">
        <v>3637</v>
      </c>
      <c r="F2011" t="s">
        <v>3621</v>
      </c>
      <c r="G2011" s="1">
        <v>598046.1</v>
      </c>
    </row>
    <row r="2012" spans="1:7">
      <c r="A2012" t="s">
        <v>2107</v>
      </c>
      <c r="B2012" s="6">
        <v>45720</v>
      </c>
      <c r="C2012" s="6" t="str">
        <f>TEXT(Table3[[#This Row],[transaction_date]], "yyyy-mm")</f>
        <v>2025-03</v>
      </c>
      <c r="D2012" t="s">
        <v>90</v>
      </c>
      <c r="E2012" t="s">
        <v>3636</v>
      </c>
      <c r="F2012" t="s">
        <v>3608</v>
      </c>
      <c r="G2012" s="1">
        <v>13681633.609999999</v>
      </c>
    </row>
    <row r="2013" spans="1:7">
      <c r="A2013" t="s">
        <v>2108</v>
      </c>
      <c r="B2013" s="6">
        <v>45814</v>
      </c>
      <c r="C2013" s="6" t="str">
        <f>TEXT(Table3[[#This Row],[transaction_date]], "yyyy-mm")</f>
        <v>2025-06</v>
      </c>
      <c r="D2013" t="s">
        <v>77</v>
      </c>
      <c r="E2013" t="s">
        <v>3637</v>
      </c>
      <c r="F2013" t="s">
        <v>3622</v>
      </c>
      <c r="G2013" s="1">
        <v>5267428.8899999997</v>
      </c>
    </row>
    <row r="2014" spans="1:7">
      <c r="A2014" t="s">
        <v>2109</v>
      </c>
      <c r="B2014" s="6">
        <v>45751</v>
      </c>
      <c r="C2014" s="6" t="str">
        <f>TEXT(Table3[[#This Row],[transaction_date]], "yyyy-mm")</f>
        <v>2025-04</v>
      </c>
      <c r="D2014" t="s">
        <v>3597</v>
      </c>
      <c r="E2014" t="s">
        <v>3637</v>
      </c>
      <c r="F2014" t="s">
        <v>3614</v>
      </c>
      <c r="G2014" s="1">
        <v>3904742.24</v>
      </c>
    </row>
    <row r="2015" spans="1:7">
      <c r="A2015" t="s">
        <v>2110</v>
      </c>
      <c r="B2015" s="6">
        <v>45662</v>
      </c>
      <c r="C2015" s="6" t="str">
        <f>TEXT(Table3[[#This Row],[transaction_date]], "yyyy-mm")</f>
        <v>2025-01</v>
      </c>
      <c r="D2015" t="s">
        <v>75</v>
      </c>
      <c r="E2015" t="s">
        <v>3636</v>
      </c>
      <c r="F2015" t="s">
        <v>3609</v>
      </c>
      <c r="G2015" s="1">
        <v>2597052.23</v>
      </c>
    </row>
    <row r="2016" spans="1:7">
      <c r="A2016" t="s">
        <v>2111</v>
      </c>
      <c r="B2016" s="6">
        <v>45701</v>
      </c>
      <c r="C2016" s="6" t="str">
        <f>TEXT(Table3[[#This Row],[transaction_date]], "yyyy-mm")</f>
        <v>2025-02</v>
      </c>
      <c r="D2016" t="s">
        <v>75</v>
      </c>
      <c r="E2016" t="s">
        <v>3636</v>
      </c>
      <c r="F2016" t="s">
        <v>3613</v>
      </c>
      <c r="G2016" s="1">
        <v>11973183.970000001</v>
      </c>
    </row>
    <row r="2017" spans="1:7">
      <c r="A2017" t="s">
        <v>2112</v>
      </c>
      <c r="B2017" s="6">
        <v>45959</v>
      </c>
      <c r="C2017" s="6" t="str">
        <f>TEXT(Table3[[#This Row],[transaction_date]], "yyyy-mm")</f>
        <v>2025-10</v>
      </c>
      <c r="D2017" t="s">
        <v>82</v>
      </c>
      <c r="E2017" t="s">
        <v>3637</v>
      </c>
      <c r="F2017" t="s">
        <v>3615</v>
      </c>
      <c r="G2017" s="1">
        <v>17140502.100000001</v>
      </c>
    </row>
    <row r="2018" spans="1:7">
      <c r="A2018" t="s">
        <v>2113</v>
      </c>
      <c r="B2018" s="6">
        <v>45817</v>
      </c>
      <c r="C2018" s="6" t="str">
        <f>TEXT(Table3[[#This Row],[transaction_date]], "yyyy-mm")</f>
        <v>2025-06</v>
      </c>
      <c r="D2018" t="s">
        <v>95</v>
      </c>
      <c r="E2018" t="s">
        <v>3637</v>
      </c>
      <c r="F2018" t="s">
        <v>3616</v>
      </c>
      <c r="G2018" s="1">
        <v>808686.32</v>
      </c>
    </row>
    <row r="2019" spans="1:7">
      <c r="A2019" t="s">
        <v>2114</v>
      </c>
      <c r="B2019" s="6">
        <v>45747</v>
      </c>
      <c r="C2019" s="6" t="str">
        <f>TEXT(Table3[[#This Row],[transaction_date]], "yyyy-mm")</f>
        <v>2025-03</v>
      </c>
      <c r="D2019" t="s">
        <v>73</v>
      </c>
      <c r="E2019" t="s">
        <v>3636</v>
      </c>
      <c r="F2019" t="s">
        <v>3607</v>
      </c>
      <c r="G2019" s="1">
        <v>1006025.54</v>
      </c>
    </row>
    <row r="2020" spans="1:7">
      <c r="A2020" t="s">
        <v>2115</v>
      </c>
      <c r="B2020" s="6">
        <v>45737</v>
      </c>
      <c r="C2020" s="6" t="str">
        <f>TEXT(Table3[[#This Row],[transaction_date]], "yyyy-mm")</f>
        <v>2025-03</v>
      </c>
      <c r="D2020" t="s">
        <v>79</v>
      </c>
      <c r="E2020" t="s">
        <v>3636</v>
      </c>
      <c r="F2020" t="s">
        <v>3611</v>
      </c>
      <c r="G2020" s="1">
        <v>2130507.66</v>
      </c>
    </row>
    <row r="2021" spans="1:7">
      <c r="A2021" t="s">
        <v>2116</v>
      </c>
      <c r="B2021" s="6">
        <v>45830</v>
      </c>
      <c r="C2021" s="6" t="str">
        <f>TEXT(Table3[[#This Row],[transaction_date]], "yyyy-mm")</f>
        <v>2025-06</v>
      </c>
      <c r="D2021" t="s">
        <v>95</v>
      </c>
      <c r="E2021" t="s">
        <v>3637</v>
      </c>
      <c r="F2021" t="s">
        <v>3614</v>
      </c>
      <c r="G2021" s="1">
        <v>1079697.71</v>
      </c>
    </row>
    <row r="2022" spans="1:7">
      <c r="A2022" t="s">
        <v>2117</v>
      </c>
      <c r="B2022" s="6">
        <v>46002</v>
      </c>
      <c r="C2022" s="6" t="str">
        <f>TEXT(Table3[[#This Row],[transaction_date]], "yyyy-mm")</f>
        <v>2025-12</v>
      </c>
      <c r="D2022" t="s">
        <v>76</v>
      </c>
      <c r="E2022" t="s">
        <v>3637</v>
      </c>
      <c r="F2022" t="s">
        <v>3618</v>
      </c>
      <c r="G2022" s="1">
        <v>5642287.71</v>
      </c>
    </row>
    <row r="2023" spans="1:7">
      <c r="A2023" t="s">
        <v>2118</v>
      </c>
      <c r="B2023" s="6">
        <v>45970</v>
      </c>
      <c r="C2023" s="6" t="str">
        <f>TEXT(Table3[[#This Row],[transaction_date]], "yyyy-mm")</f>
        <v>2025-11</v>
      </c>
      <c r="D2023" t="s">
        <v>77</v>
      </c>
      <c r="E2023" t="s">
        <v>3636</v>
      </c>
      <c r="F2023" t="s">
        <v>3608</v>
      </c>
      <c r="G2023" s="1">
        <v>1384872.53</v>
      </c>
    </row>
    <row r="2024" spans="1:7">
      <c r="A2024" t="s">
        <v>2119</v>
      </c>
      <c r="B2024" s="6">
        <v>45870</v>
      </c>
      <c r="C2024" s="6" t="str">
        <f>TEXT(Table3[[#This Row],[transaction_date]], "yyyy-mm")</f>
        <v>2025-08</v>
      </c>
      <c r="D2024" t="s">
        <v>75</v>
      </c>
      <c r="E2024" t="s">
        <v>3636</v>
      </c>
      <c r="F2024" t="s">
        <v>3608</v>
      </c>
      <c r="G2024" s="1">
        <v>2252438.56</v>
      </c>
    </row>
    <row r="2025" spans="1:7">
      <c r="A2025" t="s">
        <v>2120</v>
      </c>
      <c r="B2025" s="6">
        <v>45688</v>
      </c>
      <c r="C2025" s="6" t="str">
        <f>TEXT(Table3[[#This Row],[transaction_date]], "yyyy-mm")</f>
        <v>2025-01</v>
      </c>
      <c r="D2025" t="s">
        <v>75</v>
      </c>
      <c r="E2025" t="s">
        <v>3636</v>
      </c>
      <c r="F2025" t="s">
        <v>3612</v>
      </c>
      <c r="G2025" s="1">
        <v>6589899.8399999999</v>
      </c>
    </row>
    <row r="2026" spans="1:7">
      <c r="A2026" t="s">
        <v>2121</v>
      </c>
      <c r="B2026" s="6">
        <v>45715</v>
      </c>
      <c r="C2026" s="6" t="str">
        <f>TEXT(Table3[[#This Row],[transaction_date]], "yyyy-mm")</f>
        <v>2025-02</v>
      </c>
      <c r="D2026" t="s">
        <v>80</v>
      </c>
      <c r="E2026" t="s">
        <v>3636</v>
      </c>
      <c r="F2026" t="s">
        <v>3611</v>
      </c>
      <c r="G2026" s="1">
        <v>256114.15</v>
      </c>
    </row>
    <row r="2027" spans="1:7">
      <c r="A2027" t="s">
        <v>2122</v>
      </c>
      <c r="B2027" s="6">
        <v>45757</v>
      </c>
      <c r="C2027" s="6" t="str">
        <f>TEXT(Table3[[#This Row],[transaction_date]], "yyyy-mm")</f>
        <v>2025-04</v>
      </c>
      <c r="D2027" t="s">
        <v>80</v>
      </c>
      <c r="E2027" t="s">
        <v>3637</v>
      </c>
      <c r="F2027" t="s">
        <v>3618</v>
      </c>
      <c r="G2027" s="1">
        <v>3288013.26</v>
      </c>
    </row>
    <row r="2028" spans="1:7">
      <c r="A2028" t="s">
        <v>2123</v>
      </c>
      <c r="B2028" s="6">
        <v>45710</v>
      </c>
      <c r="C2028" s="6" t="str">
        <f>TEXT(Table3[[#This Row],[transaction_date]], "yyyy-mm")</f>
        <v>2025-02</v>
      </c>
      <c r="D2028" t="s">
        <v>82</v>
      </c>
      <c r="E2028" t="s">
        <v>3637</v>
      </c>
      <c r="F2028" t="s">
        <v>3620</v>
      </c>
      <c r="G2028" s="1">
        <v>1352527.57</v>
      </c>
    </row>
    <row r="2029" spans="1:7">
      <c r="A2029" t="s">
        <v>2124</v>
      </c>
      <c r="B2029" s="6">
        <v>45762</v>
      </c>
      <c r="C2029" s="6" t="str">
        <f>TEXT(Table3[[#This Row],[transaction_date]], "yyyy-mm")</f>
        <v>2025-04</v>
      </c>
      <c r="D2029" t="s">
        <v>80</v>
      </c>
      <c r="E2029" t="s">
        <v>3637</v>
      </c>
      <c r="F2029" t="s">
        <v>3620</v>
      </c>
      <c r="G2029" s="1">
        <v>2260745.83</v>
      </c>
    </row>
    <row r="2030" spans="1:7">
      <c r="A2030" t="s">
        <v>2125</v>
      </c>
      <c r="B2030" s="6">
        <v>45841</v>
      </c>
      <c r="C2030" s="6" t="str">
        <f>TEXT(Table3[[#This Row],[transaction_date]], "yyyy-mm")</f>
        <v>2025-07</v>
      </c>
      <c r="D2030" t="s">
        <v>85</v>
      </c>
      <c r="E2030" t="s">
        <v>3636</v>
      </c>
      <c r="F2030" t="s">
        <v>3611</v>
      </c>
      <c r="G2030" s="1">
        <v>1372870.21</v>
      </c>
    </row>
    <row r="2031" spans="1:7">
      <c r="A2031" t="s">
        <v>2126</v>
      </c>
      <c r="B2031" s="6">
        <v>45842</v>
      </c>
      <c r="C2031" s="6" t="str">
        <f>TEXT(Table3[[#This Row],[transaction_date]], "yyyy-mm")</f>
        <v>2025-07</v>
      </c>
      <c r="D2031" t="s">
        <v>76</v>
      </c>
      <c r="E2031" t="s">
        <v>3636</v>
      </c>
      <c r="F2031" t="s">
        <v>3611</v>
      </c>
      <c r="G2031" s="1">
        <v>13423368.060000001</v>
      </c>
    </row>
    <row r="2032" spans="1:7">
      <c r="A2032" t="s">
        <v>2127</v>
      </c>
      <c r="B2032" s="6">
        <v>45694</v>
      </c>
      <c r="C2032" s="6" t="str">
        <f>TEXT(Table3[[#This Row],[transaction_date]], "yyyy-mm")</f>
        <v>2025-02</v>
      </c>
      <c r="D2032" t="s">
        <v>93</v>
      </c>
      <c r="E2032" t="s">
        <v>3636</v>
      </c>
      <c r="F2032" t="s">
        <v>3607</v>
      </c>
      <c r="G2032" s="1">
        <v>10865042.720000001</v>
      </c>
    </row>
    <row r="2033" spans="1:7">
      <c r="A2033" t="s">
        <v>2128</v>
      </c>
      <c r="B2033" s="6">
        <v>45661</v>
      </c>
      <c r="C2033" s="6" t="str">
        <f>TEXT(Table3[[#This Row],[transaction_date]], "yyyy-mm")</f>
        <v>2025-01</v>
      </c>
      <c r="D2033" t="s">
        <v>79</v>
      </c>
      <c r="E2033" t="s">
        <v>3636</v>
      </c>
      <c r="F2033" t="s">
        <v>3606</v>
      </c>
      <c r="G2033" s="1">
        <v>8068218.2699999996</v>
      </c>
    </row>
    <row r="2034" spans="1:7">
      <c r="A2034" t="s">
        <v>2129</v>
      </c>
      <c r="B2034" s="6">
        <v>45751</v>
      </c>
      <c r="C2034" s="6" t="str">
        <f>TEXT(Table3[[#This Row],[transaction_date]], "yyyy-mm")</f>
        <v>2025-04</v>
      </c>
      <c r="D2034" t="s">
        <v>95</v>
      </c>
      <c r="E2034" t="s">
        <v>3636</v>
      </c>
      <c r="F2034" t="s">
        <v>3612</v>
      </c>
      <c r="G2034" s="1">
        <v>336725.1</v>
      </c>
    </row>
    <row r="2035" spans="1:7">
      <c r="A2035" t="s">
        <v>2130</v>
      </c>
      <c r="B2035" s="6">
        <v>45936</v>
      </c>
      <c r="C2035" s="6" t="str">
        <f>TEXT(Table3[[#This Row],[transaction_date]], "yyyy-mm")</f>
        <v>2025-10</v>
      </c>
      <c r="D2035" t="s">
        <v>73</v>
      </c>
      <c r="E2035" t="s">
        <v>3637</v>
      </c>
      <c r="F2035" t="s">
        <v>3620</v>
      </c>
      <c r="G2035" s="1">
        <v>1569914.97</v>
      </c>
    </row>
    <row r="2036" spans="1:7">
      <c r="A2036" t="s">
        <v>2131</v>
      </c>
      <c r="B2036" s="6">
        <v>45833</v>
      </c>
      <c r="C2036" s="6" t="str">
        <f>TEXT(Table3[[#This Row],[transaction_date]], "yyyy-mm")</f>
        <v>2025-06</v>
      </c>
      <c r="D2036" t="s">
        <v>84</v>
      </c>
      <c r="E2036" t="s">
        <v>3636</v>
      </c>
      <c r="F2036" t="s">
        <v>3605</v>
      </c>
      <c r="G2036" s="1">
        <v>5127.84</v>
      </c>
    </row>
    <row r="2037" spans="1:7">
      <c r="A2037" t="s">
        <v>2132</v>
      </c>
      <c r="B2037" s="6">
        <v>45965</v>
      </c>
      <c r="C2037" s="6" t="str">
        <f>TEXT(Table3[[#This Row],[transaction_date]], "yyyy-mm")</f>
        <v>2025-11</v>
      </c>
      <c r="D2037" t="s">
        <v>85</v>
      </c>
      <c r="E2037" t="s">
        <v>3636</v>
      </c>
      <c r="F2037" t="s">
        <v>3611</v>
      </c>
      <c r="G2037" s="1">
        <v>874688.96</v>
      </c>
    </row>
    <row r="2038" spans="1:7">
      <c r="A2038" t="s">
        <v>2133</v>
      </c>
      <c r="B2038" s="6">
        <v>45886</v>
      </c>
      <c r="C2038" s="6" t="str">
        <f>TEXT(Table3[[#This Row],[transaction_date]], "yyyy-mm")</f>
        <v>2025-08</v>
      </c>
      <c r="D2038" t="s">
        <v>3597</v>
      </c>
      <c r="E2038" t="s">
        <v>3637</v>
      </c>
      <c r="F2038" t="s">
        <v>3614</v>
      </c>
      <c r="G2038" s="1">
        <v>909500.95</v>
      </c>
    </row>
    <row r="2039" spans="1:7">
      <c r="A2039" t="s">
        <v>2134</v>
      </c>
      <c r="B2039" s="6">
        <v>45947</v>
      </c>
      <c r="C2039" s="6" t="str">
        <f>TEXT(Table3[[#This Row],[transaction_date]], "yyyy-mm")</f>
        <v>2025-10</v>
      </c>
      <c r="D2039" t="s">
        <v>74</v>
      </c>
      <c r="E2039" t="s">
        <v>3636</v>
      </c>
      <c r="F2039" t="s">
        <v>3605</v>
      </c>
      <c r="G2039" s="1">
        <v>24993.52</v>
      </c>
    </row>
    <row r="2040" spans="1:7">
      <c r="A2040" t="s">
        <v>2135</v>
      </c>
      <c r="B2040" s="6">
        <v>45954</v>
      </c>
      <c r="C2040" s="6" t="str">
        <f>TEXT(Table3[[#This Row],[transaction_date]], "yyyy-mm")</f>
        <v>2025-10</v>
      </c>
      <c r="D2040" t="s">
        <v>73</v>
      </c>
      <c r="E2040" t="s">
        <v>3637</v>
      </c>
      <c r="F2040" t="s">
        <v>3615</v>
      </c>
      <c r="G2040" s="1">
        <v>521861.23</v>
      </c>
    </row>
    <row r="2041" spans="1:7">
      <c r="A2041" t="s">
        <v>2136</v>
      </c>
      <c r="B2041" s="6">
        <v>45695</v>
      </c>
      <c r="C2041" s="6" t="str">
        <f>TEXT(Table3[[#This Row],[transaction_date]], "yyyy-mm")</f>
        <v>2025-02</v>
      </c>
      <c r="D2041" t="s">
        <v>3597</v>
      </c>
      <c r="E2041" t="s">
        <v>3637</v>
      </c>
      <c r="F2041" t="s">
        <v>3619</v>
      </c>
      <c r="G2041" s="1">
        <v>1138480.8500000001</v>
      </c>
    </row>
    <row r="2042" spans="1:7">
      <c r="A2042" t="s">
        <v>2137</v>
      </c>
      <c r="B2042" s="6">
        <v>45767</v>
      </c>
      <c r="C2042" s="6" t="str">
        <f>TEXT(Table3[[#This Row],[transaction_date]], "yyyy-mm")</f>
        <v>2025-04</v>
      </c>
      <c r="D2042" t="s">
        <v>95</v>
      </c>
      <c r="E2042" t="s">
        <v>3636</v>
      </c>
      <c r="F2042" t="s">
        <v>3606</v>
      </c>
      <c r="G2042" s="1">
        <v>16696691.220000001</v>
      </c>
    </row>
    <row r="2043" spans="1:7">
      <c r="A2043" t="s">
        <v>2138</v>
      </c>
      <c r="B2043" s="6">
        <v>45842</v>
      </c>
      <c r="C2043" s="6" t="str">
        <f>TEXT(Table3[[#This Row],[transaction_date]], "yyyy-mm")</f>
        <v>2025-07</v>
      </c>
      <c r="D2043" t="s">
        <v>3597</v>
      </c>
      <c r="E2043" t="s">
        <v>3637</v>
      </c>
      <c r="F2043" t="s">
        <v>3620</v>
      </c>
      <c r="G2043" s="1">
        <v>9704869.3699999992</v>
      </c>
    </row>
    <row r="2044" spans="1:7">
      <c r="A2044" t="s">
        <v>2139</v>
      </c>
      <c r="B2044" s="6">
        <v>45783</v>
      </c>
      <c r="C2044" s="6" t="str">
        <f>TEXT(Table3[[#This Row],[transaction_date]], "yyyy-mm")</f>
        <v>2025-05</v>
      </c>
      <c r="D2044" t="s">
        <v>95</v>
      </c>
      <c r="E2044" t="s">
        <v>3637</v>
      </c>
      <c r="F2044" t="s">
        <v>3623</v>
      </c>
      <c r="G2044" s="1">
        <v>6907906.4299999997</v>
      </c>
    </row>
    <row r="2045" spans="1:7">
      <c r="A2045" t="s">
        <v>2140</v>
      </c>
      <c r="B2045" s="6">
        <v>45854</v>
      </c>
      <c r="C2045" s="6" t="str">
        <f>TEXT(Table3[[#This Row],[transaction_date]], "yyyy-mm")</f>
        <v>2025-07</v>
      </c>
      <c r="D2045" t="s">
        <v>75</v>
      </c>
      <c r="E2045" t="s">
        <v>3637</v>
      </c>
      <c r="F2045" t="s">
        <v>3618</v>
      </c>
      <c r="G2045" s="1">
        <v>242574.03</v>
      </c>
    </row>
    <row r="2046" spans="1:7">
      <c r="A2046" t="s">
        <v>2141</v>
      </c>
      <c r="B2046" s="6">
        <v>46008</v>
      </c>
      <c r="C2046" s="6" t="str">
        <f>TEXT(Table3[[#This Row],[transaction_date]], "yyyy-mm")</f>
        <v>2025-12</v>
      </c>
      <c r="D2046" t="s">
        <v>93</v>
      </c>
      <c r="E2046" t="s">
        <v>3637</v>
      </c>
      <c r="F2046" t="s">
        <v>3614</v>
      </c>
      <c r="G2046" s="1">
        <v>6727800.5</v>
      </c>
    </row>
    <row r="2047" spans="1:7">
      <c r="A2047" t="s">
        <v>2142</v>
      </c>
      <c r="B2047" s="6">
        <v>45969</v>
      </c>
      <c r="C2047" s="6" t="str">
        <f>TEXT(Table3[[#This Row],[transaction_date]], "yyyy-mm")</f>
        <v>2025-11</v>
      </c>
      <c r="D2047" t="s">
        <v>84</v>
      </c>
      <c r="E2047" t="s">
        <v>3636</v>
      </c>
      <c r="F2047" t="s">
        <v>3613</v>
      </c>
      <c r="G2047" s="1">
        <v>26141923.579999998</v>
      </c>
    </row>
    <row r="2048" spans="1:7">
      <c r="A2048" t="s">
        <v>2143</v>
      </c>
      <c r="B2048" s="6">
        <v>46012</v>
      </c>
      <c r="C2048" s="6" t="str">
        <f>TEXT(Table3[[#This Row],[transaction_date]], "yyyy-mm")</f>
        <v>2025-12</v>
      </c>
      <c r="D2048" t="s">
        <v>75</v>
      </c>
      <c r="E2048" t="s">
        <v>3637</v>
      </c>
      <c r="F2048" t="s">
        <v>3615</v>
      </c>
      <c r="G2048" s="1">
        <v>7040608.21</v>
      </c>
    </row>
    <row r="2049" spans="1:7">
      <c r="A2049" t="s">
        <v>2144</v>
      </c>
      <c r="B2049" s="6">
        <v>45888</v>
      </c>
      <c r="C2049" s="6" t="str">
        <f>TEXT(Table3[[#This Row],[transaction_date]], "yyyy-mm")</f>
        <v>2025-08</v>
      </c>
      <c r="D2049" t="s">
        <v>75</v>
      </c>
      <c r="E2049" t="s">
        <v>3636</v>
      </c>
      <c r="F2049" t="s">
        <v>3613</v>
      </c>
      <c r="G2049" s="1">
        <v>13000032.33</v>
      </c>
    </row>
    <row r="2050" spans="1:7">
      <c r="A2050" t="s">
        <v>2145</v>
      </c>
      <c r="B2050" s="6">
        <v>45677</v>
      </c>
      <c r="C2050" s="6" t="str">
        <f>TEXT(Table3[[#This Row],[transaction_date]], "yyyy-mm")</f>
        <v>2025-01</v>
      </c>
      <c r="D2050" t="s">
        <v>82</v>
      </c>
      <c r="E2050" t="s">
        <v>3637</v>
      </c>
      <c r="F2050" t="s">
        <v>3616</v>
      </c>
      <c r="G2050" s="1">
        <v>4348985.54</v>
      </c>
    </row>
    <row r="2051" spans="1:7">
      <c r="A2051" t="s">
        <v>2146</v>
      </c>
      <c r="B2051" s="6">
        <v>45935</v>
      </c>
      <c r="C2051" s="6" t="str">
        <f>TEXT(Table3[[#This Row],[transaction_date]], "yyyy-mm")</f>
        <v>2025-10</v>
      </c>
      <c r="D2051" t="s">
        <v>93</v>
      </c>
      <c r="E2051" t="s">
        <v>3636</v>
      </c>
      <c r="F2051" t="s">
        <v>3609</v>
      </c>
      <c r="G2051" s="1">
        <v>3407780.98</v>
      </c>
    </row>
    <row r="2052" spans="1:7">
      <c r="A2052" t="s">
        <v>2147</v>
      </c>
      <c r="B2052" s="6">
        <v>45834</v>
      </c>
      <c r="C2052" s="6" t="str">
        <f>TEXT(Table3[[#This Row],[transaction_date]], "yyyy-mm")</f>
        <v>2025-06</v>
      </c>
      <c r="D2052" t="s">
        <v>93</v>
      </c>
      <c r="E2052" t="s">
        <v>3636</v>
      </c>
      <c r="F2052" t="s">
        <v>3608</v>
      </c>
      <c r="G2052" s="1">
        <v>7926957.2400000002</v>
      </c>
    </row>
    <row r="2053" spans="1:7">
      <c r="A2053" t="s">
        <v>2148</v>
      </c>
      <c r="B2053" s="6">
        <v>45840</v>
      </c>
      <c r="C2053" s="6" t="str">
        <f>TEXT(Table3[[#This Row],[transaction_date]], "yyyy-mm")</f>
        <v>2025-07</v>
      </c>
      <c r="D2053" t="s">
        <v>74</v>
      </c>
      <c r="E2053" t="s">
        <v>3636</v>
      </c>
      <c r="F2053" t="s">
        <v>3610</v>
      </c>
      <c r="G2053" s="1">
        <v>533545.34</v>
      </c>
    </row>
    <row r="2054" spans="1:7">
      <c r="A2054" t="s">
        <v>2149</v>
      </c>
      <c r="B2054" s="6">
        <v>45957</v>
      </c>
      <c r="C2054" s="6" t="str">
        <f>TEXT(Table3[[#This Row],[transaction_date]], "yyyy-mm")</f>
        <v>2025-10</v>
      </c>
      <c r="D2054" t="s">
        <v>75</v>
      </c>
      <c r="E2054" t="s">
        <v>3636</v>
      </c>
      <c r="F2054" t="s">
        <v>3608</v>
      </c>
      <c r="G2054" s="1">
        <v>11584148.83</v>
      </c>
    </row>
    <row r="2055" spans="1:7">
      <c r="A2055" t="s">
        <v>2150</v>
      </c>
      <c r="B2055" s="6">
        <v>45835</v>
      </c>
      <c r="C2055" s="6" t="str">
        <f>TEXT(Table3[[#This Row],[transaction_date]], "yyyy-mm")</f>
        <v>2025-06</v>
      </c>
      <c r="D2055" t="s">
        <v>79</v>
      </c>
      <c r="E2055" t="s">
        <v>3637</v>
      </c>
      <c r="F2055" t="s">
        <v>3619</v>
      </c>
      <c r="G2055" s="1">
        <v>1058771.3</v>
      </c>
    </row>
    <row r="2056" spans="1:7">
      <c r="A2056" t="s">
        <v>2151</v>
      </c>
      <c r="B2056" s="6">
        <v>45848</v>
      </c>
      <c r="C2056" s="6" t="str">
        <f>TEXT(Table3[[#This Row],[transaction_date]], "yyyy-mm")</f>
        <v>2025-07</v>
      </c>
      <c r="D2056" t="s">
        <v>93</v>
      </c>
      <c r="E2056" t="s">
        <v>3636</v>
      </c>
      <c r="F2056" t="s">
        <v>3611</v>
      </c>
      <c r="G2056" s="1">
        <v>5910679.4900000002</v>
      </c>
    </row>
    <row r="2057" spans="1:7">
      <c r="A2057" t="s">
        <v>2152</v>
      </c>
      <c r="B2057" s="6">
        <v>45908</v>
      </c>
      <c r="C2057" s="6" t="str">
        <f>TEXT(Table3[[#This Row],[transaction_date]], "yyyy-mm")</f>
        <v>2025-09</v>
      </c>
      <c r="D2057" t="s">
        <v>73</v>
      </c>
      <c r="E2057" t="s">
        <v>3637</v>
      </c>
      <c r="F2057" t="s">
        <v>3622</v>
      </c>
      <c r="G2057" s="1">
        <v>3030983.56</v>
      </c>
    </row>
    <row r="2058" spans="1:7">
      <c r="A2058" t="s">
        <v>2153</v>
      </c>
      <c r="B2058" s="6">
        <v>46021</v>
      </c>
      <c r="C2058" s="6" t="str">
        <f>TEXT(Table3[[#This Row],[transaction_date]], "yyyy-mm")</f>
        <v>2025-12</v>
      </c>
      <c r="D2058" t="s">
        <v>77</v>
      </c>
      <c r="E2058" t="s">
        <v>3637</v>
      </c>
      <c r="F2058" t="s">
        <v>3617</v>
      </c>
      <c r="G2058" s="1">
        <v>3311602.89</v>
      </c>
    </row>
    <row r="2059" spans="1:7">
      <c r="A2059" t="s">
        <v>2154</v>
      </c>
      <c r="B2059" s="6">
        <v>45829</v>
      </c>
      <c r="C2059" s="6" t="str">
        <f>TEXT(Table3[[#This Row],[transaction_date]], "yyyy-mm")</f>
        <v>2025-06</v>
      </c>
      <c r="D2059" t="s">
        <v>74</v>
      </c>
      <c r="E2059" t="s">
        <v>3637</v>
      </c>
      <c r="F2059" t="s">
        <v>3619</v>
      </c>
      <c r="G2059" s="1">
        <v>2014210.12</v>
      </c>
    </row>
    <row r="2060" spans="1:7">
      <c r="A2060" t="s">
        <v>2155</v>
      </c>
      <c r="B2060" s="6">
        <v>45727</v>
      </c>
      <c r="C2060" s="6" t="str">
        <f>TEXT(Table3[[#This Row],[transaction_date]], "yyyy-mm")</f>
        <v>2025-03</v>
      </c>
      <c r="D2060" t="s">
        <v>78</v>
      </c>
      <c r="E2060" t="s">
        <v>3637</v>
      </c>
      <c r="F2060" t="s">
        <v>3614</v>
      </c>
      <c r="G2060" s="1">
        <v>3223033.44</v>
      </c>
    </row>
    <row r="2061" spans="1:7">
      <c r="A2061" t="s">
        <v>2156</v>
      </c>
      <c r="B2061" s="6">
        <v>45698</v>
      </c>
      <c r="C2061" s="6" t="str">
        <f>TEXT(Table3[[#This Row],[transaction_date]], "yyyy-mm")</f>
        <v>2025-02</v>
      </c>
      <c r="D2061" t="s">
        <v>90</v>
      </c>
      <c r="E2061" t="s">
        <v>3636</v>
      </c>
      <c r="F2061" t="s">
        <v>3610</v>
      </c>
      <c r="G2061" s="1">
        <v>22575189.059999999</v>
      </c>
    </row>
    <row r="2062" spans="1:7">
      <c r="A2062" t="s">
        <v>2157</v>
      </c>
      <c r="B2062" s="6">
        <v>45944</v>
      </c>
      <c r="C2062" s="6" t="str">
        <f>TEXT(Table3[[#This Row],[transaction_date]], "yyyy-mm")</f>
        <v>2025-10</v>
      </c>
      <c r="D2062" t="s">
        <v>3597</v>
      </c>
      <c r="E2062" t="s">
        <v>3636</v>
      </c>
      <c r="F2062" t="s">
        <v>3607</v>
      </c>
      <c r="G2062" s="1">
        <v>6544683.6699999999</v>
      </c>
    </row>
    <row r="2063" spans="1:7">
      <c r="A2063" t="s">
        <v>2158</v>
      </c>
      <c r="B2063" s="6">
        <v>45986</v>
      </c>
      <c r="C2063" s="6" t="str">
        <f>TEXT(Table3[[#This Row],[transaction_date]], "yyyy-mm")</f>
        <v>2025-11</v>
      </c>
      <c r="D2063" t="s">
        <v>75</v>
      </c>
      <c r="E2063" t="s">
        <v>3637</v>
      </c>
      <c r="F2063" t="s">
        <v>3620</v>
      </c>
      <c r="G2063" s="1">
        <v>6225725.96</v>
      </c>
    </row>
    <row r="2064" spans="1:7">
      <c r="A2064" t="s">
        <v>2159</v>
      </c>
      <c r="B2064" s="6">
        <v>45901</v>
      </c>
      <c r="C2064" s="6" t="str">
        <f>TEXT(Table3[[#This Row],[transaction_date]], "yyyy-mm")</f>
        <v>2025-09</v>
      </c>
      <c r="D2064" t="s">
        <v>73</v>
      </c>
      <c r="E2064" t="s">
        <v>3637</v>
      </c>
      <c r="F2064" t="s">
        <v>3619</v>
      </c>
      <c r="G2064" s="1">
        <v>682829.35</v>
      </c>
    </row>
    <row r="2065" spans="1:7">
      <c r="A2065" t="s">
        <v>2160</v>
      </c>
      <c r="B2065" s="6">
        <v>45781</v>
      </c>
      <c r="C2065" s="6" t="str">
        <f>TEXT(Table3[[#This Row],[transaction_date]], "yyyy-mm")</f>
        <v>2025-05</v>
      </c>
      <c r="D2065" t="s">
        <v>73</v>
      </c>
      <c r="E2065" t="s">
        <v>3637</v>
      </c>
      <c r="F2065" t="s">
        <v>3623</v>
      </c>
      <c r="G2065" s="1">
        <v>78207.850000000006</v>
      </c>
    </row>
    <row r="2066" spans="1:7">
      <c r="A2066" t="s">
        <v>2161</v>
      </c>
      <c r="B2066" s="6">
        <v>45786</v>
      </c>
      <c r="C2066" s="6" t="str">
        <f>TEXT(Table3[[#This Row],[transaction_date]], "yyyy-mm")</f>
        <v>2025-05</v>
      </c>
      <c r="D2066" t="s">
        <v>73</v>
      </c>
      <c r="E2066" t="s">
        <v>3636</v>
      </c>
      <c r="F2066" t="s">
        <v>3609</v>
      </c>
      <c r="G2066" s="1">
        <v>4875476.83</v>
      </c>
    </row>
    <row r="2067" spans="1:7">
      <c r="A2067" t="s">
        <v>2162</v>
      </c>
      <c r="B2067" s="6">
        <v>45903</v>
      </c>
      <c r="C2067" s="6" t="str">
        <f>TEXT(Table3[[#This Row],[transaction_date]], "yyyy-mm")</f>
        <v>2025-09</v>
      </c>
      <c r="D2067" t="s">
        <v>78</v>
      </c>
      <c r="E2067" t="s">
        <v>3637</v>
      </c>
      <c r="F2067" t="s">
        <v>3622</v>
      </c>
      <c r="G2067" s="1">
        <v>7097746.0999999996</v>
      </c>
    </row>
    <row r="2068" spans="1:7">
      <c r="A2068" t="s">
        <v>2163</v>
      </c>
      <c r="B2068" s="6">
        <v>46003</v>
      </c>
      <c r="C2068" s="6" t="str">
        <f>TEXT(Table3[[#This Row],[transaction_date]], "yyyy-mm")</f>
        <v>2025-12</v>
      </c>
      <c r="D2068" t="s">
        <v>90</v>
      </c>
      <c r="E2068" t="s">
        <v>3637</v>
      </c>
      <c r="F2068" t="s">
        <v>3619</v>
      </c>
      <c r="G2068" s="1">
        <v>11519817.220000001</v>
      </c>
    </row>
    <row r="2069" spans="1:7">
      <c r="A2069" t="s">
        <v>2164</v>
      </c>
      <c r="B2069" s="6">
        <v>45802</v>
      </c>
      <c r="C2069" s="6" t="str">
        <f>TEXT(Table3[[#This Row],[transaction_date]], "yyyy-mm")</f>
        <v>2025-05</v>
      </c>
      <c r="D2069" t="s">
        <v>76</v>
      </c>
      <c r="E2069" t="s">
        <v>3637</v>
      </c>
      <c r="F2069" t="s">
        <v>3622</v>
      </c>
      <c r="G2069" s="1">
        <v>7676742.0599999996</v>
      </c>
    </row>
    <row r="2070" spans="1:7">
      <c r="A2070" t="s">
        <v>2165</v>
      </c>
      <c r="B2070" s="6">
        <v>45812</v>
      </c>
      <c r="C2070" s="6" t="str">
        <f>TEXT(Table3[[#This Row],[transaction_date]], "yyyy-mm")</f>
        <v>2025-06</v>
      </c>
      <c r="D2070" t="s">
        <v>95</v>
      </c>
      <c r="E2070" t="s">
        <v>3637</v>
      </c>
      <c r="F2070" t="s">
        <v>3622</v>
      </c>
      <c r="G2070" s="1">
        <v>7357845.6500000004</v>
      </c>
    </row>
    <row r="2071" spans="1:7">
      <c r="A2071" t="s">
        <v>2166</v>
      </c>
      <c r="B2071" s="6">
        <v>45664</v>
      </c>
      <c r="C2071" s="6" t="str">
        <f>TEXT(Table3[[#This Row],[transaction_date]], "yyyy-mm")</f>
        <v>2025-01</v>
      </c>
      <c r="D2071" t="s">
        <v>77</v>
      </c>
      <c r="E2071" t="s">
        <v>3637</v>
      </c>
      <c r="F2071" t="s">
        <v>3615</v>
      </c>
      <c r="G2071" s="1">
        <v>13456447.550000001</v>
      </c>
    </row>
    <row r="2072" spans="1:7">
      <c r="A2072" t="s">
        <v>2167</v>
      </c>
      <c r="B2072" s="6">
        <v>45822</v>
      </c>
      <c r="C2072" s="6" t="str">
        <f>TEXT(Table3[[#This Row],[transaction_date]], "yyyy-mm")</f>
        <v>2025-06</v>
      </c>
      <c r="D2072" t="s">
        <v>78</v>
      </c>
      <c r="E2072" t="s">
        <v>3637</v>
      </c>
      <c r="F2072" t="s">
        <v>3618</v>
      </c>
      <c r="G2072" s="1">
        <v>1137089.8500000001</v>
      </c>
    </row>
    <row r="2073" spans="1:7">
      <c r="A2073" t="s">
        <v>2168</v>
      </c>
      <c r="B2073" s="6">
        <v>45980</v>
      </c>
      <c r="C2073" s="6" t="str">
        <f>TEXT(Table3[[#This Row],[transaction_date]], "yyyy-mm")</f>
        <v>2025-11</v>
      </c>
      <c r="D2073" t="s">
        <v>78</v>
      </c>
      <c r="E2073" t="s">
        <v>3637</v>
      </c>
      <c r="F2073" t="s">
        <v>3618</v>
      </c>
      <c r="G2073" s="1">
        <v>2418209.69</v>
      </c>
    </row>
    <row r="2074" spans="1:7">
      <c r="A2074" t="s">
        <v>2169</v>
      </c>
      <c r="B2074" s="6">
        <v>45887</v>
      </c>
      <c r="C2074" s="6" t="str">
        <f>TEXT(Table3[[#This Row],[transaction_date]], "yyyy-mm")</f>
        <v>2025-08</v>
      </c>
      <c r="D2074" t="s">
        <v>75</v>
      </c>
      <c r="E2074" t="s">
        <v>3636</v>
      </c>
      <c r="F2074" t="s">
        <v>3612</v>
      </c>
      <c r="G2074" s="1">
        <v>8069566.8399999999</v>
      </c>
    </row>
    <row r="2075" spans="1:7">
      <c r="A2075" t="s">
        <v>2170</v>
      </c>
      <c r="B2075" s="6">
        <v>45712</v>
      </c>
      <c r="C2075" s="6" t="str">
        <f>TEXT(Table3[[#This Row],[transaction_date]], "yyyy-mm")</f>
        <v>2025-02</v>
      </c>
      <c r="D2075" t="s">
        <v>78</v>
      </c>
      <c r="E2075" t="s">
        <v>3636</v>
      </c>
      <c r="F2075" t="s">
        <v>3613</v>
      </c>
      <c r="G2075" s="1">
        <v>4795245.51</v>
      </c>
    </row>
    <row r="2076" spans="1:7">
      <c r="A2076" t="s">
        <v>2171</v>
      </c>
      <c r="B2076" s="6">
        <v>45868</v>
      </c>
      <c r="C2076" s="6" t="str">
        <f>TEXT(Table3[[#This Row],[transaction_date]], "yyyy-mm")</f>
        <v>2025-07</v>
      </c>
      <c r="D2076" t="s">
        <v>93</v>
      </c>
      <c r="E2076" t="s">
        <v>3636</v>
      </c>
      <c r="F2076" t="s">
        <v>3611</v>
      </c>
      <c r="G2076" s="1">
        <v>9030231.9900000002</v>
      </c>
    </row>
    <row r="2077" spans="1:7">
      <c r="A2077" t="s">
        <v>2172</v>
      </c>
      <c r="B2077" s="6">
        <v>45738</v>
      </c>
      <c r="C2077" s="6" t="str">
        <f>TEXT(Table3[[#This Row],[transaction_date]], "yyyy-mm")</f>
        <v>2025-03</v>
      </c>
      <c r="D2077" t="s">
        <v>93</v>
      </c>
      <c r="E2077" t="s">
        <v>3637</v>
      </c>
      <c r="F2077" t="s">
        <v>3621</v>
      </c>
      <c r="G2077" s="1">
        <v>5054849.99</v>
      </c>
    </row>
    <row r="2078" spans="1:7">
      <c r="A2078" t="s">
        <v>2173</v>
      </c>
      <c r="B2078" s="6">
        <v>45855</v>
      </c>
      <c r="C2078" s="6" t="str">
        <f>TEXT(Table3[[#This Row],[transaction_date]], "yyyy-mm")</f>
        <v>2025-07</v>
      </c>
      <c r="D2078" t="s">
        <v>82</v>
      </c>
      <c r="E2078" t="s">
        <v>3636</v>
      </c>
      <c r="F2078" t="s">
        <v>3606</v>
      </c>
      <c r="G2078" s="1">
        <v>5266404.8600000003</v>
      </c>
    </row>
    <row r="2079" spans="1:7">
      <c r="A2079" t="s">
        <v>2174</v>
      </c>
      <c r="B2079" s="6">
        <v>46016</v>
      </c>
      <c r="C2079" s="6" t="str">
        <f>TEXT(Table3[[#This Row],[transaction_date]], "yyyy-mm")</f>
        <v>2025-12</v>
      </c>
      <c r="D2079" t="s">
        <v>95</v>
      </c>
      <c r="E2079" t="s">
        <v>3637</v>
      </c>
      <c r="F2079" t="s">
        <v>3616</v>
      </c>
      <c r="G2079" s="1">
        <v>11531083.84</v>
      </c>
    </row>
    <row r="2080" spans="1:7">
      <c r="A2080" t="s">
        <v>2175</v>
      </c>
      <c r="B2080" s="6">
        <v>45881</v>
      </c>
      <c r="C2080" s="6" t="str">
        <f>TEXT(Table3[[#This Row],[transaction_date]], "yyyy-mm")</f>
        <v>2025-08</v>
      </c>
      <c r="D2080" t="s">
        <v>80</v>
      </c>
      <c r="E2080" t="s">
        <v>3636</v>
      </c>
      <c r="F2080" t="s">
        <v>3609</v>
      </c>
      <c r="G2080" s="1">
        <v>948751.55</v>
      </c>
    </row>
    <row r="2081" spans="1:7">
      <c r="A2081" t="s">
        <v>2176</v>
      </c>
      <c r="B2081" s="6">
        <v>45980</v>
      </c>
      <c r="C2081" s="6" t="str">
        <f>TEXT(Table3[[#This Row],[transaction_date]], "yyyy-mm")</f>
        <v>2025-11</v>
      </c>
      <c r="D2081" t="s">
        <v>85</v>
      </c>
      <c r="E2081" t="s">
        <v>3636</v>
      </c>
      <c r="F2081" t="s">
        <v>3607</v>
      </c>
      <c r="G2081" s="1">
        <v>1219117.01</v>
      </c>
    </row>
    <row r="2082" spans="1:7">
      <c r="A2082" t="s">
        <v>2177</v>
      </c>
      <c r="B2082" s="6">
        <v>45976</v>
      </c>
      <c r="C2082" s="6" t="str">
        <f>TEXT(Table3[[#This Row],[transaction_date]], "yyyy-mm")</f>
        <v>2025-11</v>
      </c>
      <c r="D2082" t="s">
        <v>73</v>
      </c>
      <c r="E2082" t="s">
        <v>3636</v>
      </c>
      <c r="F2082" t="s">
        <v>3604</v>
      </c>
      <c r="G2082" s="1">
        <v>1237563.06</v>
      </c>
    </row>
    <row r="2083" spans="1:7">
      <c r="A2083" t="s">
        <v>2178</v>
      </c>
      <c r="B2083" s="6">
        <v>45710</v>
      </c>
      <c r="C2083" s="6" t="str">
        <f>TEXT(Table3[[#This Row],[transaction_date]], "yyyy-mm")</f>
        <v>2025-02</v>
      </c>
      <c r="D2083" t="s">
        <v>95</v>
      </c>
      <c r="E2083" t="s">
        <v>3636</v>
      </c>
      <c r="F2083" t="s">
        <v>3604</v>
      </c>
      <c r="G2083" s="1">
        <v>279230.23</v>
      </c>
    </row>
    <row r="2084" spans="1:7">
      <c r="A2084" t="s">
        <v>2179</v>
      </c>
      <c r="B2084" s="6">
        <v>45985</v>
      </c>
      <c r="C2084" s="6" t="str">
        <f>TEXT(Table3[[#This Row],[transaction_date]], "yyyy-mm")</f>
        <v>2025-11</v>
      </c>
      <c r="D2084" t="s">
        <v>85</v>
      </c>
      <c r="E2084" t="s">
        <v>3637</v>
      </c>
      <c r="F2084" t="s">
        <v>3621</v>
      </c>
      <c r="G2084" s="1">
        <v>1157011.1399999999</v>
      </c>
    </row>
    <row r="2085" spans="1:7">
      <c r="A2085" t="s">
        <v>2180</v>
      </c>
      <c r="B2085" s="6">
        <v>45903</v>
      </c>
      <c r="C2085" s="6" t="str">
        <f>TEXT(Table3[[#This Row],[transaction_date]], "yyyy-mm")</f>
        <v>2025-09</v>
      </c>
      <c r="D2085" t="s">
        <v>79</v>
      </c>
      <c r="E2085" t="s">
        <v>3636</v>
      </c>
      <c r="F2085" t="s">
        <v>3606</v>
      </c>
      <c r="G2085" s="1">
        <v>1651345.2</v>
      </c>
    </row>
    <row r="2086" spans="1:7">
      <c r="A2086" t="s">
        <v>2181</v>
      </c>
      <c r="B2086" s="6">
        <v>45998</v>
      </c>
      <c r="C2086" s="6" t="str">
        <f>TEXT(Table3[[#This Row],[transaction_date]], "yyyy-mm")</f>
        <v>2025-12</v>
      </c>
      <c r="D2086" t="s">
        <v>95</v>
      </c>
      <c r="E2086" t="s">
        <v>3636</v>
      </c>
      <c r="F2086" t="s">
        <v>3610</v>
      </c>
      <c r="G2086" s="1">
        <v>482591.28</v>
      </c>
    </row>
    <row r="2087" spans="1:7">
      <c r="A2087" t="s">
        <v>2182</v>
      </c>
      <c r="B2087" s="6">
        <v>46002</v>
      </c>
      <c r="C2087" s="6" t="str">
        <f>TEXT(Table3[[#This Row],[transaction_date]], "yyyy-mm")</f>
        <v>2025-12</v>
      </c>
      <c r="D2087" t="s">
        <v>73</v>
      </c>
      <c r="E2087" t="s">
        <v>3637</v>
      </c>
      <c r="F2087" t="s">
        <v>3619</v>
      </c>
      <c r="G2087" s="1">
        <v>1329199.1499999999</v>
      </c>
    </row>
    <row r="2088" spans="1:7">
      <c r="A2088" t="s">
        <v>2183</v>
      </c>
      <c r="B2088" s="6">
        <v>45722</v>
      </c>
      <c r="C2088" s="6" t="str">
        <f>TEXT(Table3[[#This Row],[transaction_date]], "yyyy-mm")</f>
        <v>2025-03</v>
      </c>
      <c r="D2088" t="s">
        <v>73</v>
      </c>
      <c r="E2088" t="s">
        <v>3637</v>
      </c>
      <c r="F2088" t="s">
        <v>3616</v>
      </c>
      <c r="G2088" s="1">
        <v>3916369.38</v>
      </c>
    </row>
    <row r="2089" spans="1:7">
      <c r="A2089" t="s">
        <v>2184</v>
      </c>
      <c r="B2089" s="6">
        <v>45714</v>
      </c>
      <c r="C2089" s="6" t="str">
        <f>TEXT(Table3[[#This Row],[transaction_date]], "yyyy-mm")</f>
        <v>2025-02</v>
      </c>
      <c r="D2089" t="s">
        <v>76</v>
      </c>
      <c r="E2089" t="s">
        <v>3637</v>
      </c>
      <c r="F2089" t="s">
        <v>3621</v>
      </c>
      <c r="G2089" s="1">
        <v>1602210.1</v>
      </c>
    </row>
    <row r="2090" spans="1:7">
      <c r="A2090" t="s">
        <v>2185</v>
      </c>
      <c r="B2090" s="6">
        <v>45865</v>
      </c>
      <c r="C2090" s="6" t="str">
        <f>TEXT(Table3[[#This Row],[transaction_date]], "yyyy-mm")</f>
        <v>2025-07</v>
      </c>
      <c r="D2090" t="s">
        <v>90</v>
      </c>
      <c r="E2090" t="s">
        <v>3637</v>
      </c>
      <c r="F2090" t="s">
        <v>3615</v>
      </c>
      <c r="G2090" s="1">
        <v>170306.7</v>
      </c>
    </row>
    <row r="2091" spans="1:7">
      <c r="A2091" t="s">
        <v>2186</v>
      </c>
      <c r="B2091" s="6">
        <v>45848</v>
      </c>
      <c r="C2091" s="6" t="str">
        <f>TEXT(Table3[[#This Row],[transaction_date]], "yyyy-mm")</f>
        <v>2025-07</v>
      </c>
      <c r="D2091" t="s">
        <v>76</v>
      </c>
      <c r="E2091" t="s">
        <v>3637</v>
      </c>
      <c r="F2091" t="s">
        <v>3619</v>
      </c>
      <c r="G2091" s="1">
        <v>9598407.3000000007</v>
      </c>
    </row>
    <row r="2092" spans="1:7">
      <c r="A2092" t="s">
        <v>2187</v>
      </c>
      <c r="B2092" s="6">
        <v>45742</v>
      </c>
      <c r="C2092" s="6" t="str">
        <f>TEXT(Table3[[#This Row],[transaction_date]], "yyyy-mm")</f>
        <v>2025-03</v>
      </c>
      <c r="D2092" t="s">
        <v>75</v>
      </c>
      <c r="E2092" t="s">
        <v>3636</v>
      </c>
      <c r="F2092" t="s">
        <v>3605</v>
      </c>
      <c r="G2092" s="1">
        <v>4618003.99</v>
      </c>
    </row>
    <row r="2093" spans="1:7">
      <c r="A2093" t="s">
        <v>2188</v>
      </c>
      <c r="B2093" s="6">
        <v>45966</v>
      </c>
      <c r="C2093" s="6" t="str">
        <f>TEXT(Table3[[#This Row],[transaction_date]], "yyyy-mm")</f>
        <v>2025-11</v>
      </c>
      <c r="D2093" t="s">
        <v>90</v>
      </c>
      <c r="E2093" t="s">
        <v>3637</v>
      </c>
      <c r="F2093" t="s">
        <v>3617</v>
      </c>
      <c r="G2093" s="1">
        <v>6449646.8700000001</v>
      </c>
    </row>
    <row r="2094" spans="1:7">
      <c r="A2094" t="s">
        <v>2189</v>
      </c>
      <c r="B2094" s="6">
        <v>45944</v>
      </c>
      <c r="C2094" s="6" t="str">
        <f>TEXT(Table3[[#This Row],[transaction_date]], "yyyy-mm")</f>
        <v>2025-10</v>
      </c>
      <c r="D2094" t="s">
        <v>77</v>
      </c>
      <c r="E2094" t="s">
        <v>3636</v>
      </c>
      <c r="F2094" t="s">
        <v>3605</v>
      </c>
      <c r="G2094" s="1">
        <v>7659636.6200000001</v>
      </c>
    </row>
    <row r="2095" spans="1:7">
      <c r="A2095" t="s">
        <v>2190</v>
      </c>
      <c r="B2095" s="6">
        <v>45981</v>
      </c>
      <c r="C2095" s="6" t="str">
        <f>TEXT(Table3[[#This Row],[transaction_date]], "yyyy-mm")</f>
        <v>2025-11</v>
      </c>
      <c r="D2095" t="s">
        <v>73</v>
      </c>
      <c r="E2095" t="s">
        <v>3636</v>
      </c>
      <c r="F2095" t="s">
        <v>3612</v>
      </c>
      <c r="G2095" s="1">
        <v>359495.81</v>
      </c>
    </row>
    <row r="2096" spans="1:7">
      <c r="A2096" t="s">
        <v>2191</v>
      </c>
      <c r="B2096" s="6">
        <v>45991</v>
      </c>
      <c r="C2096" s="6" t="str">
        <f>TEXT(Table3[[#This Row],[transaction_date]], "yyyy-mm")</f>
        <v>2025-11</v>
      </c>
      <c r="D2096" t="s">
        <v>95</v>
      </c>
      <c r="E2096" t="s">
        <v>3636</v>
      </c>
      <c r="F2096" t="s">
        <v>3612</v>
      </c>
      <c r="G2096" s="1">
        <v>737444.1</v>
      </c>
    </row>
    <row r="2097" spans="1:7">
      <c r="A2097" t="s">
        <v>2192</v>
      </c>
      <c r="B2097" s="6">
        <v>45753</v>
      </c>
      <c r="C2097" s="6" t="str">
        <f>TEXT(Table3[[#This Row],[transaction_date]], "yyyy-mm")</f>
        <v>2025-04</v>
      </c>
      <c r="D2097" t="s">
        <v>78</v>
      </c>
      <c r="E2097" t="s">
        <v>3637</v>
      </c>
      <c r="F2097" t="s">
        <v>3620</v>
      </c>
      <c r="G2097" s="1">
        <v>2482732.2000000002</v>
      </c>
    </row>
    <row r="2098" spans="1:7">
      <c r="A2098" t="s">
        <v>2193</v>
      </c>
      <c r="B2098" s="6">
        <v>45756</v>
      </c>
      <c r="C2098" s="6" t="str">
        <f>TEXT(Table3[[#This Row],[transaction_date]], "yyyy-mm")</f>
        <v>2025-04</v>
      </c>
      <c r="D2098" t="s">
        <v>74</v>
      </c>
      <c r="E2098" t="s">
        <v>3637</v>
      </c>
      <c r="F2098" t="s">
        <v>3619</v>
      </c>
      <c r="G2098" s="1">
        <v>1651065.76</v>
      </c>
    </row>
    <row r="2099" spans="1:7">
      <c r="A2099" t="s">
        <v>2194</v>
      </c>
      <c r="B2099" s="6">
        <v>45868</v>
      </c>
      <c r="C2099" s="6" t="str">
        <f>TEXT(Table3[[#This Row],[transaction_date]], "yyyy-mm")</f>
        <v>2025-07</v>
      </c>
      <c r="D2099" t="s">
        <v>79</v>
      </c>
      <c r="E2099" t="s">
        <v>3637</v>
      </c>
      <c r="F2099" t="s">
        <v>3622</v>
      </c>
      <c r="G2099" s="1">
        <v>1925507.02</v>
      </c>
    </row>
    <row r="2100" spans="1:7">
      <c r="A2100" t="s">
        <v>2195</v>
      </c>
      <c r="B2100" s="6">
        <v>45741</v>
      </c>
      <c r="C2100" s="6" t="str">
        <f>TEXT(Table3[[#This Row],[transaction_date]], "yyyy-mm")</f>
        <v>2025-03</v>
      </c>
      <c r="D2100" t="s">
        <v>75</v>
      </c>
      <c r="E2100" t="s">
        <v>3636</v>
      </c>
      <c r="F2100" t="s">
        <v>3606</v>
      </c>
      <c r="G2100" s="1">
        <v>2300893.58</v>
      </c>
    </row>
    <row r="2101" spans="1:7">
      <c r="A2101" t="s">
        <v>2196</v>
      </c>
      <c r="B2101" s="6">
        <v>45684</v>
      </c>
      <c r="C2101" s="6" t="str">
        <f>TEXT(Table3[[#This Row],[transaction_date]], "yyyy-mm")</f>
        <v>2025-01</v>
      </c>
      <c r="D2101" t="s">
        <v>73</v>
      </c>
      <c r="E2101" t="s">
        <v>3636</v>
      </c>
      <c r="F2101" t="s">
        <v>3613</v>
      </c>
      <c r="G2101" s="1">
        <v>663764.6</v>
      </c>
    </row>
    <row r="2102" spans="1:7">
      <c r="A2102" t="s">
        <v>2197</v>
      </c>
      <c r="B2102" s="6">
        <v>45789</v>
      </c>
      <c r="C2102" s="6" t="str">
        <f>TEXT(Table3[[#This Row],[transaction_date]], "yyyy-mm")</f>
        <v>2025-05</v>
      </c>
      <c r="D2102" t="s">
        <v>76</v>
      </c>
      <c r="E2102" t="s">
        <v>3636</v>
      </c>
      <c r="F2102" t="s">
        <v>3612</v>
      </c>
      <c r="G2102" s="1">
        <v>8149105.3300000001</v>
      </c>
    </row>
    <row r="2103" spans="1:7">
      <c r="A2103" t="s">
        <v>2198</v>
      </c>
      <c r="B2103" s="6">
        <v>45879</v>
      </c>
      <c r="C2103" s="6" t="str">
        <f>TEXT(Table3[[#This Row],[transaction_date]], "yyyy-mm")</f>
        <v>2025-08</v>
      </c>
      <c r="D2103" t="s">
        <v>77</v>
      </c>
      <c r="E2103" t="s">
        <v>3636</v>
      </c>
      <c r="F2103" t="s">
        <v>3605</v>
      </c>
      <c r="G2103" s="1">
        <v>1537290.33</v>
      </c>
    </row>
    <row r="2104" spans="1:7">
      <c r="A2104" t="s">
        <v>2199</v>
      </c>
      <c r="B2104" s="6">
        <v>45803</v>
      </c>
      <c r="C2104" s="6" t="str">
        <f>TEXT(Table3[[#This Row],[transaction_date]], "yyyy-mm")</f>
        <v>2025-05</v>
      </c>
      <c r="D2104" t="s">
        <v>3597</v>
      </c>
      <c r="E2104" t="s">
        <v>3637</v>
      </c>
      <c r="F2104" t="s">
        <v>3621</v>
      </c>
      <c r="G2104" s="1">
        <v>1347693.55</v>
      </c>
    </row>
    <row r="2105" spans="1:7">
      <c r="A2105" t="s">
        <v>2200</v>
      </c>
      <c r="B2105" s="6">
        <v>45993</v>
      </c>
      <c r="C2105" s="6" t="str">
        <f>TEXT(Table3[[#This Row],[transaction_date]], "yyyy-mm")</f>
        <v>2025-12</v>
      </c>
      <c r="D2105" t="s">
        <v>80</v>
      </c>
      <c r="E2105" t="s">
        <v>3636</v>
      </c>
      <c r="F2105" t="s">
        <v>3609</v>
      </c>
      <c r="G2105" s="1">
        <v>4639974.7699999996</v>
      </c>
    </row>
    <row r="2106" spans="1:7">
      <c r="A2106" t="s">
        <v>2201</v>
      </c>
      <c r="B2106" s="6">
        <v>45874</v>
      </c>
      <c r="C2106" s="6" t="str">
        <f>TEXT(Table3[[#This Row],[transaction_date]], "yyyy-mm")</f>
        <v>2025-08</v>
      </c>
      <c r="D2106" t="s">
        <v>84</v>
      </c>
      <c r="E2106" t="s">
        <v>3636</v>
      </c>
      <c r="F2106" t="s">
        <v>3610</v>
      </c>
      <c r="G2106" s="1">
        <v>33205911.559999999</v>
      </c>
    </row>
    <row r="2107" spans="1:7">
      <c r="A2107" t="s">
        <v>2202</v>
      </c>
      <c r="B2107" s="6">
        <v>45979</v>
      </c>
      <c r="C2107" s="6" t="str">
        <f>TEXT(Table3[[#This Row],[transaction_date]], "yyyy-mm")</f>
        <v>2025-11</v>
      </c>
      <c r="D2107" t="s">
        <v>84</v>
      </c>
      <c r="E2107" t="s">
        <v>3637</v>
      </c>
      <c r="F2107" t="s">
        <v>3619</v>
      </c>
      <c r="G2107" s="1">
        <v>7283848.25</v>
      </c>
    </row>
    <row r="2108" spans="1:7">
      <c r="A2108" t="s">
        <v>2203</v>
      </c>
      <c r="B2108" s="6">
        <v>45884</v>
      </c>
      <c r="C2108" s="6" t="str">
        <f>TEXT(Table3[[#This Row],[transaction_date]], "yyyy-mm")</f>
        <v>2025-08</v>
      </c>
      <c r="D2108" t="s">
        <v>95</v>
      </c>
      <c r="E2108" t="s">
        <v>3637</v>
      </c>
      <c r="F2108" t="s">
        <v>3616</v>
      </c>
      <c r="G2108" s="1">
        <v>9486670.0899999999</v>
      </c>
    </row>
    <row r="2109" spans="1:7">
      <c r="A2109" t="s">
        <v>2204</v>
      </c>
      <c r="B2109" s="6">
        <v>45806</v>
      </c>
      <c r="C2109" s="6" t="str">
        <f>TEXT(Table3[[#This Row],[transaction_date]], "yyyy-mm")</f>
        <v>2025-05</v>
      </c>
      <c r="D2109" t="s">
        <v>89</v>
      </c>
      <c r="E2109" t="s">
        <v>3636</v>
      </c>
      <c r="F2109" t="s">
        <v>3604</v>
      </c>
      <c r="G2109" s="1">
        <v>1048683.6299999999</v>
      </c>
    </row>
    <row r="2110" spans="1:7">
      <c r="A2110" t="s">
        <v>2205</v>
      </c>
      <c r="B2110" s="6">
        <v>45860</v>
      </c>
      <c r="C2110" s="6" t="str">
        <f>TEXT(Table3[[#This Row],[transaction_date]], "yyyy-mm")</f>
        <v>2025-07</v>
      </c>
      <c r="D2110" t="s">
        <v>77</v>
      </c>
      <c r="E2110" t="s">
        <v>3637</v>
      </c>
      <c r="F2110" t="s">
        <v>3618</v>
      </c>
      <c r="G2110" s="1">
        <v>12417711.16</v>
      </c>
    </row>
    <row r="2111" spans="1:7">
      <c r="A2111" t="s">
        <v>2206</v>
      </c>
      <c r="B2111" s="6">
        <v>45780</v>
      </c>
      <c r="C2111" s="6" t="str">
        <f>TEXT(Table3[[#This Row],[transaction_date]], "yyyy-mm")</f>
        <v>2025-05</v>
      </c>
      <c r="D2111" t="s">
        <v>77</v>
      </c>
      <c r="E2111" t="s">
        <v>3637</v>
      </c>
      <c r="F2111" t="s">
        <v>3622</v>
      </c>
      <c r="G2111" s="1">
        <v>3830748.65</v>
      </c>
    </row>
    <row r="2112" spans="1:7">
      <c r="A2112" t="s">
        <v>2207</v>
      </c>
      <c r="B2112" s="6">
        <v>45694</v>
      </c>
      <c r="C2112" s="6" t="str">
        <f>TEXT(Table3[[#This Row],[transaction_date]], "yyyy-mm")</f>
        <v>2025-02</v>
      </c>
      <c r="D2112" t="s">
        <v>89</v>
      </c>
      <c r="E2112" t="s">
        <v>3636</v>
      </c>
      <c r="F2112" t="s">
        <v>3611</v>
      </c>
      <c r="G2112" s="1">
        <v>1844382.51</v>
      </c>
    </row>
    <row r="2113" spans="1:7">
      <c r="A2113" t="s">
        <v>2208</v>
      </c>
      <c r="B2113" s="6">
        <v>45843</v>
      </c>
      <c r="C2113" s="6" t="str">
        <f>TEXT(Table3[[#This Row],[transaction_date]], "yyyy-mm")</f>
        <v>2025-07</v>
      </c>
      <c r="D2113" t="s">
        <v>75</v>
      </c>
      <c r="E2113" t="s">
        <v>3637</v>
      </c>
      <c r="F2113" t="s">
        <v>3620</v>
      </c>
      <c r="G2113" s="1">
        <v>13127600.890000001</v>
      </c>
    </row>
    <row r="2114" spans="1:7">
      <c r="A2114" t="s">
        <v>2209</v>
      </c>
      <c r="B2114" s="6">
        <v>45884</v>
      </c>
      <c r="C2114" s="6" t="str">
        <f>TEXT(Table3[[#This Row],[transaction_date]], "yyyy-mm")</f>
        <v>2025-08</v>
      </c>
      <c r="D2114" t="s">
        <v>3597</v>
      </c>
      <c r="E2114" t="s">
        <v>3637</v>
      </c>
      <c r="F2114" t="s">
        <v>3621</v>
      </c>
      <c r="G2114" s="1">
        <v>981526.5</v>
      </c>
    </row>
    <row r="2115" spans="1:7">
      <c r="A2115" t="s">
        <v>2210</v>
      </c>
      <c r="B2115" s="6">
        <v>45895</v>
      </c>
      <c r="C2115" s="6" t="str">
        <f>TEXT(Table3[[#This Row],[transaction_date]], "yyyy-mm")</f>
        <v>2025-08</v>
      </c>
      <c r="D2115" t="s">
        <v>82</v>
      </c>
      <c r="E2115" t="s">
        <v>3637</v>
      </c>
      <c r="F2115" t="s">
        <v>3620</v>
      </c>
      <c r="G2115" s="1">
        <v>6864547.9699999997</v>
      </c>
    </row>
    <row r="2116" spans="1:7">
      <c r="A2116" t="s">
        <v>2211</v>
      </c>
      <c r="B2116" s="6">
        <v>45988</v>
      </c>
      <c r="C2116" s="6" t="str">
        <f>TEXT(Table3[[#This Row],[transaction_date]], "yyyy-mm")</f>
        <v>2025-11</v>
      </c>
      <c r="D2116" t="s">
        <v>79</v>
      </c>
      <c r="E2116" t="s">
        <v>3637</v>
      </c>
      <c r="F2116" t="s">
        <v>3618</v>
      </c>
      <c r="G2116" s="1">
        <v>3724546.84</v>
      </c>
    </row>
    <row r="2117" spans="1:7">
      <c r="A2117" t="s">
        <v>2212</v>
      </c>
      <c r="B2117" s="6">
        <v>45879</v>
      </c>
      <c r="C2117" s="6" t="str">
        <f>TEXT(Table3[[#This Row],[transaction_date]], "yyyy-mm")</f>
        <v>2025-08</v>
      </c>
      <c r="D2117" t="s">
        <v>75</v>
      </c>
      <c r="E2117" t="s">
        <v>3636</v>
      </c>
      <c r="F2117" t="s">
        <v>3605</v>
      </c>
      <c r="G2117" s="1">
        <v>18450519.850000001</v>
      </c>
    </row>
    <row r="2118" spans="1:7">
      <c r="A2118" t="s">
        <v>2213</v>
      </c>
      <c r="B2118" s="6">
        <v>45892</v>
      </c>
      <c r="C2118" s="6" t="str">
        <f>TEXT(Table3[[#This Row],[transaction_date]], "yyyy-mm")</f>
        <v>2025-08</v>
      </c>
      <c r="D2118" t="s">
        <v>82</v>
      </c>
      <c r="E2118" t="s">
        <v>3636</v>
      </c>
      <c r="F2118" t="s">
        <v>3605</v>
      </c>
      <c r="G2118" s="1">
        <v>581903.14</v>
      </c>
    </row>
    <row r="2119" spans="1:7">
      <c r="A2119" t="s">
        <v>2214</v>
      </c>
      <c r="B2119" s="6">
        <v>45700</v>
      </c>
      <c r="C2119" s="6" t="str">
        <f>TEXT(Table3[[#This Row],[transaction_date]], "yyyy-mm")</f>
        <v>2025-02</v>
      </c>
      <c r="D2119" t="s">
        <v>90</v>
      </c>
      <c r="E2119" t="s">
        <v>3636</v>
      </c>
      <c r="F2119" t="s">
        <v>3612</v>
      </c>
      <c r="G2119" s="1">
        <v>563202.13</v>
      </c>
    </row>
    <row r="2120" spans="1:7">
      <c r="A2120" t="s">
        <v>2215</v>
      </c>
      <c r="B2120" s="6">
        <v>45999</v>
      </c>
      <c r="C2120" s="6" t="str">
        <f>TEXT(Table3[[#This Row],[transaction_date]], "yyyy-mm")</f>
        <v>2025-12</v>
      </c>
      <c r="D2120" t="s">
        <v>95</v>
      </c>
      <c r="E2120" t="s">
        <v>3636</v>
      </c>
      <c r="F2120" t="s">
        <v>3613</v>
      </c>
      <c r="G2120" s="1">
        <v>6601808.4900000002</v>
      </c>
    </row>
    <row r="2121" spans="1:7">
      <c r="A2121" t="s">
        <v>2216</v>
      </c>
      <c r="B2121" s="6">
        <v>45697</v>
      </c>
      <c r="C2121" s="6" t="str">
        <f>TEXT(Table3[[#This Row],[transaction_date]], "yyyy-mm")</f>
        <v>2025-02</v>
      </c>
      <c r="D2121" t="s">
        <v>80</v>
      </c>
      <c r="E2121" t="s">
        <v>3636</v>
      </c>
      <c r="F2121" t="s">
        <v>3608</v>
      </c>
      <c r="G2121" s="1">
        <v>4061259.31</v>
      </c>
    </row>
    <row r="2122" spans="1:7">
      <c r="A2122" t="s">
        <v>2217</v>
      </c>
      <c r="B2122" s="6">
        <v>45681</v>
      </c>
      <c r="C2122" s="6" t="str">
        <f>TEXT(Table3[[#This Row],[transaction_date]], "yyyy-mm")</f>
        <v>2025-01</v>
      </c>
      <c r="D2122" t="s">
        <v>80</v>
      </c>
      <c r="E2122" t="s">
        <v>3636</v>
      </c>
      <c r="F2122" t="s">
        <v>3609</v>
      </c>
      <c r="G2122" s="1">
        <v>3264873.63</v>
      </c>
    </row>
    <row r="2123" spans="1:7">
      <c r="A2123" t="s">
        <v>2218</v>
      </c>
      <c r="B2123" s="6">
        <v>45911</v>
      </c>
      <c r="C2123" s="6" t="str">
        <f>TEXT(Table3[[#This Row],[transaction_date]], "yyyy-mm")</f>
        <v>2025-09</v>
      </c>
      <c r="D2123" t="s">
        <v>3597</v>
      </c>
      <c r="E2123" t="s">
        <v>3636</v>
      </c>
      <c r="F2123" t="s">
        <v>3606</v>
      </c>
      <c r="G2123" s="1">
        <v>861282.79</v>
      </c>
    </row>
    <row r="2124" spans="1:7">
      <c r="A2124" t="s">
        <v>2219</v>
      </c>
      <c r="B2124" s="6">
        <v>45672</v>
      </c>
      <c r="C2124" s="6" t="str">
        <f>TEXT(Table3[[#This Row],[transaction_date]], "yyyy-mm")</f>
        <v>2025-01</v>
      </c>
      <c r="D2124" t="s">
        <v>75</v>
      </c>
      <c r="E2124" t="s">
        <v>3637</v>
      </c>
      <c r="F2124" t="s">
        <v>3622</v>
      </c>
      <c r="G2124" s="1">
        <v>5840653.9000000004</v>
      </c>
    </row>
    <row r="2125" spans="1:7">
      <c r="A2125" t="s">
        <v>2220</v>
      </c>
      <c r="B2125" s="6">
        <v>45928</v>
      </c>
      <c r="C2125" s="6" t="str">
        <f>TEXT(Table3[[#This Row],[transaction_date]], "yyyy-mm")</f>
        <v>2025-09</v>
      </c>
      <c r="D2125" t="s">
        <v>84</v>
      </c>
      <c r="E2125" t="s">
        <v>3637</v>
      </c>
      <c r="F2125" t="s">
        <v>3620</v>
      </c>
      <c r="G2125" s="1">
        <v>8456819.7599999998</v>
      </c>
    </row>
    <row r="2126" spans="1:7">
      <c r="A2126" t="s">
        <v>2221</v>
      </c>
      <c r="B2126" s="6">
        <v>46000</v>
      </c>
      <c r="C2126" s="6" t="str">
        <f>TEXT(Table3[[#This Row],[transaction_date]], "yyyy-mm")</f>
        <v>2025-12</v>
      </c>
      <c r="D2126" t="s">
        <v>89</v>
      </c>
      <c r="E2126" t="s">
        <v>3636</v>
      </c>
      <c r="F2126" t="s">
        <v>3611</v>
      </c>
      <c r="G2126" s="1">
        <v>2679170.2999999998</v>
      </c>
    </row>
    <row r="2127" spans="1:7">
      <c r="A2127" t="s">
        <v>2222</v>
      </c>
      <c r="B2127" s="6">
        <v>45782</v>
      </c>
      <c r="C2127" s="6" t="str">
        <f>TEXT(Table3[[#This Row],[transaction_date]], "yyyy-mm")</f>
        <v>2025-05</v>
      </c>
      <c r="D2127" t="s">
        <v>79</v>
      </c>
      <c r="E2127" t="s">
        <v>3637</v>
      </c>
      <c r="F2127" t="s">
        <v>3623</v>
      </c>
      <c r="G2127" s="1">
        <v>6190964.9299999997</v>
      </c>
    </row>
    <row r="2128" spans="1:7">
      <c r="A2128" t="s">
        <v>2223</v>
      </c>
      <c r="B2128" s="6">
        <v>45851</v>
      </c>
      <c r="C2128" s="6" t="str">
        <f>TEXT(Table3[[#This Row],[transaction_date]], "yyyy-mm")</f>
        <v>2025-07</v>
      </c>
      <c r="D2128" t="s">
        <v>84</v>
      </c>
      <c r="E2128" t="s">
        <v>3637</v>
      </c>
      <c r="F2128" t="s">
        <v>3620</v>
      </c>
      <c r="G2128" s="1">
        <v>6691800.5899999999</v>
      </c>
    </row>
    <row r="2129" spans="1:7">
      <c r="A2129" t="s">
        <v>2224</v>
      </c>
      <c r="B2129" s="6">
        <v>45773</v>
      </c>
      <c r="C2129" s="6" t="str">
        <f>TEXT(Table3[[#This Row],[transaction_date]], "yyyy-mm")</f>
        <v>2025-04</v>
      </c>
      <c r="D2129" t="s">
        <v>82</v>
      </c>
      <c r="E2129" t="s">
        <v>3636</v>
      </c>
      <c r="F2129" t="s">
        <v>3605</v>
      </c>
      <c r="G2129" s="1">
        <v>595522.06000000006</v>
      </c>
    </row>
    <row r="2130" spans="1:7">
      <c r="A2130" t="s">
        <v>2225</v>
      </c>
      <c r="B2130" s="6">
        <v>45958</v>
      </c>
      <c r="C2130" s="6" t="str">
        <f>TEXT(Table3[[#This Row],[transaction_date]], "yyyy-mm")</f>
        <v>2025-10</v>
      </c>
      <c r="D2130" t="s">
        <v>76</v>
      </c>
      <c r="E2130" t="s">
        <v>3636</v>
      </c>
      <c r="F2130" t="s">
        <v>3609</v>
      </c>
      <c r="G2130" s="1">
        <v>41421490.810000002</v>
      </c>
    </row>
    <row r="2131" spans="1:7">
      <c r="A2131" t="s">
        <v>2226</v>
      </c>
      <c r="B2131" s="6">
        <v>45922</v>
      </c>
      <c r="C2131" s="6" t="str">
        <f>TEXT(Table3[[#This Row],[transaction_date]], "yyyy-mm")</f>
        <v>2025-09</v>
      </c>
      <c r="D2131" t="s">
        <v>75</v>
      </c>
      <c r="E2131" t="s">
        <v>3637</v>
      </c>
      <c r="F2131" t="s">
        <v>3618</v>
      </c>
      <c r="G2131" s="1">
        <v>186132.43</v>
      </c>
    </row>
    <row r="2132" spans="1:7">
      <c r="A2132" t="s">
        <v>2227</v>
      </c>
      <c r="B2132" s="6">
        <v>45802</v>
      </c>
      <c r="C2132" s="6" t="str">
        <f>TEXT(Table3[[#This Row],[transaction_date]], "yyyy-mm")</f>
        <v>2025-05</v>
      </c>
      <c r="D2132" t="s">
        <v>73</v>
      </c>
      <c r="E2132" t="s">
        <v>3636</v>
      </c>
      <c r="F2132" t="s">
        <v>3605</v>
      </c>
      <c r="G2132" s="1">
        <v>680277.25</v>
      </c>
    </row>
    <row r="2133" spans="1:7">
      <c r="A2133" t="s">
        <v>2228</v>
      </c>
      <c r="B2133" s="6">
        <v>45827</v>
      </c>
      <c r="C2133" s="6" t="str">
        <f>TEXT(Table3[[#This Row],[transaction_date]], "yyyy-mm")</f>
        <v>2025-06</v>
      </c>
      <c r="D2133" t="s">
        <v>95</v>
      </c>
      <c r="E2133" t="s">
        <v>3637</v>
      </c>
      <c r="F2133" t="s">
        <v>3620</v>
      </c>
      <c r="G2133" s="1">
        <v>6923109.6299999999</v>
      </c>
    </row>
    <row r="2134" spans="1:7">
      <c r="A2134" t="s">
        <v>2229</v>
      </c>
      <c r="B2134" s="6">
        <v>45753</v>
      </c>
      <c r="C2134" s="6" t="str">
        <f>TEXT(Table3[[#This Row],[transaction_date]], "yyyy-mm")</f>
        <v>2025-04</v>
      </c>
      <c r="D2134" t="s">
        <v>73</v>
      </c>
      <c r="E2134" t="s">
        <v>3637</v>
      </c>
      <c r="F2134" t="s">
        <v>3616</v>
      </c>
      <c r="G2134" s="1">
        <v>3733196.94</v>
      </c>
    </row>
    <row r="2135" spans="1:7">
      <c r="A2135" t="s">
        <v>2230</v>
      </c>
      <c r="B2135" s="6">
        <v>45804</v>
      </c>
      <c r="C2135" s="6" t="str">
        <f>TEXT(Table3[[#This Row],[transaction_date]], "yyyy-mm")</f>
        <v>2025-05</v>
      </c>
      <c r="D2135" t="s">
        <v>76</v>
      </c>
      <c r="E2135" t="s">
        <v>3637</v>
      </c>
      <c r="F2135" t="s">
        <v>3618</v>
      </c>
      <c r="G2135" s="1">
        <v>7615456.1799999997</v>
      </c>
    </row>
    <row r="2136" spans="1:7">
      <c r="A2136" t="s">
        <v>2231</v>
      </c>
      <c r="B2136" s="6">
        <v>45762</v>
      </c>
      <c r="C2136" s="6" t="str">
        <f>TEXT(Table3[[#This Row],[transaction_date]], "yyyy-mm")</f>
        <v>2025-04</v>
      </c>
      <c r="D2136" t="s">
        <v>73</v>
      </c>
      <c r="E2136" t="s">
        <v>3636</v>
      </c>
      <c r="F2136" t="s">
        <v>3611</v>
      </c>
      <c r="G2136" s="1">
        <v>7508728.79</v>
      </c>
    </row>
    <row r="2137" spans="1:7">
      <c r="A2137" t="s">
        <v>2232</v>
      </c>
      <c r="B2137" s="6">
        <v>45782</v>
      </c>
      <c r="C2137" s="6" t="str">
        <f>TEXT(Table3[[#This Row],[transaction_date]], "yyyy-mm")</f>
        <v>2025-05</v>
      </c>
      <c r="D2137" t="s">
        <v>3597</v>
      </c>
      <c r="E2137" t="s">
        <v>3637</v>
      </c>
      <c r="F2137" t="s">
        <v>3620</v>
      </c>
      <c r="G2137" s="1">
        <v>10447834.18</v>
      </c>
    </row>
    <row r="2138" spans="1:7">
      <c r="A2138" t="s">
        <v>2233</v>
      </c>
      <c r="B2138" s="6">
        <v>45858</v>
      </c>
      <c r="C2138" s="6" t="str">
        <f>TEXT(Table3[[#This Row],[transaction_date]], "yyyy-mm")</f>
        <v>2025-07</v>
      </c>
      <c r="D2138" t="s">
        <v>3597</v>
      </c>
      <c r="E2138" t="s">
        <v>3636</v>
      </c>
      <c r="F2138" t="s">
        <v>3605</v>
      </c>
      <c r="G2138" s="1">
        <v>10658602.060000001</v>
      </c>
    </row>
    <row r="2139" spans="1:7">
      <c r="A2139" t="s">
        <v>2234</v>
      </c>
      <c r="B2139" s="6">
        <v>45838</v>
      </c>
      <c r="C2139" s="6" t="str">
        <f>TEXT(Table3[[#This Row],[transaction_date]], "yyyy-mm")</f>
        <v>2025-06</v>
      </c>
      <c r="D2139" t="s">
        <v>74</v>
      </c>
      <c r="E2139" t="s">
        <v>3637</v>
      </c>
      <c r="F2139" t="s">
        <v>3616</v>
      </c>
      <c r="G2139" s="1">
        <v>156015.04999999999</v>
      </c>
    </row>
    <row r="2140" spans="1:7">
      <c r="A2140" t="s">
        <v>2235</v>
      </c>
      <c r="B2140" s="6">
        <v>45766</v>
      </c>
      <c r="C2140" s="6" t="str">
        <f>TEXT(Table3[[#This Row],[transaction_date]], "yyyy-mm")</f>
        <v>2025-04</v>
      </c>
      <c r="D2140" t="s">
        <v>77</v>
      </c>
      <c r="E2140" t="s">
        <v>3637</v>
      </c>
      <c r="F2140" t="s">
        <v>3620</v>
      </c>
      <c r="G2140" s="1">
        <v>1856173.7</v>
      </c>
    </row>
    <row r="2141" spans="1:7">
      <c r="A2141" t="s">
        <v>2236</v>
      </c>
      <c r="B2141" s="6">
        <v>45856</v>
      </c>
      <c r="C2141" s="6" t="str">
        <f>TEXT(Table3[[#This Row],[transaction_date]], "yyyy-mm")</f>
        <v>2025-07</v>
      </c>
      <c r="D2141" t="s">
        <v>3597</v>
      </c>
      <c r="E2141" t="s">
        <v>3637</v>
      </c>
      <c r="F2141" t="s">
        <v>3621</v>
      </c>
      <c r="G2141" s="1">
        <v>2656585.5099999998</v>
      </c>
    </row>
    <row r="2142" spans="1:7">
      <c r="A2142" t="s">
        <v>2237</v>
      </c>
      <c r="B2142" s="6">
        <v>45795</v>
      </c>
      <c r="C2142" s="6" t="str">
        <f>TEXT(Table3[[#This Row],[transaction_date]], "yyyy-mm")</f>
        <v>2025-05</v>
      </c>
      <c r="D2142" t="s">
        <v>78</v>
      </c>
      <c r="E2142" t="s">
        <v>3636</v>
      </c>
      <c r="F2142" t="s">
        <v>3612</v>
      </c>
      <c r="G2142" s="1">
        <v>3444954.93</v>
      </c>
    </row>
    <row r="2143" spans="1:7">
      <c r="A2143" t="s">
        <v>2238</v>
      </c>
      <c r="B2143" s="6">
        <v>45981</v>
      </c>
      <c r="C2143" s="6" t="str">
        <f>TEXT(Table3[[#This Row],[transaction_date]], "yyyy-mm")</f>
        <v>2025-11</v>
      </c>
      <c r="D2143" t="s">
        <v>73</v>
      </c>
      <c r="E2143" t="s">
        <v>3636</v>
      </c>
      <c r="F2143" t="s">
        <v>3609</v>
      </c>
      <c r="G2143" s="1">
        <v>9775086</v>
      </c>
    </row>
    <row r="2144" spans="1:7">
      <c r="A2144" t="s">
        <v>2239</v>
      </c>
      <c r="B2144" s="6">
        <v>45807</v>
      </c>
      <c r="C2144" s="6" t="str">
        <f>TEXT(Table3[[#This Row],[transaction_date]], "yyyy-mm")</f>
        <v>2025-05</v>
      </c>
      <c r="D2144" t="s">
        <v>95</v>
      </c>
      <c r="E2144" t="s">
        <v>3636</v>
      </c>
      <c r="F2144" t="s">
        <v>3612</v>
      </c>
      <c r="G2144" s="1">
        <v>842807.32</v>
      </c>
    </row>
    <row r="2145" spans="1:7">
      <c r="A2145" t="s">
        <v>2240</v>
      </c>
      <c r="B2145" s="6">
        <v>45824</v>
      </c>
      <c r="C2145" s="6" t="str">
        <f>TEXT(Table3[[#This Row],[transaction_date]], "yyyy-mm")</f>
        <v>2025-06</v>
      </c>
      <c r="D2145" t="s">
        <v>76</v>
      </c>
      <c r="E2145" t="s">
        <v>3637</v>
      </c>
      <c r="F2145" t="s">
        <v>3621</v>
      </c>
      <c r="G2145" s="1">
        <v>1949379.21</v>
      </c>
    </row>
    <row r="2146" spans="1:7">
      <c r="A2146" t="s">
        <v>2241</v>
      </c>
      <c r="B2146" s="6">
        <v>45674</v>
      </c>
      <c r="C2146" s="6" t="str">
        <f>TEXT(Table3[[#This Row],[transaction_date]], "yyyy-mm")</f>
        <v>2025-01</v>
      </c>
      <c r="D2146" t="s">
        <v>95</v>
      </c>
      <c r="E2146" t="s">
        <v>3636</v>
      </c>
      <c r="F2146" t="s">
        <v>3609</v>
      </c>
      <c r="G2146" s="1">
        <v>3688832.17</v>
      </c>
    </row>
    <row r="2147" spans="1:7">
      <c r="A2147" t="s">
        <v>2242</v>
      </c>
      <c r="B2147" s="6">
        <v>45885</v>
      </c>
      <c r="C2147" s="6" t="str">
        <f>TEXT(Table3[[#This Row],[transaction_date]], "yyyy-mm")</f>
        <v>2025-08</v>
      </c>
      <c r="D2147" t="s">
        <v>84</v>
      </c>
      <c r="E2147" t="s">
        <v>3637</v>
      </c>
      <c r="F2147" t="s">
        <v>3616</v>
      </c>
      <c r="G2147" s="1">
        <v>7524054.3099999996</v>
      </c>
    </row>
    <row r="2148" spans="1:7">
      <c r="A2148" t="s">
        <v>2243</v>
      </c>
      <c r="B2148" s="6">
        <v>45754</v>
      </c>
      <c r="C2148" s="6" t="str">
        <f>TEXT(Table3[[#This Row],[transaction_date]], "yyyy-mm")</f>
        <v>2025-04</v>
      </c>
      <c r="D2148" t="s">
        <v>80</v>
      </c>
      <c r="E2148" t="s">
        <v>3637</v>
      </c>
      <c r="F2148" t="s">
        <v>3622</v>
      </c>
      <c r="G2148" s="1">
        <v>490206.08</v>
      </c>
    </row>
    <row r="2149" spans="1:7">
      <c r="A2149" t="s">
        <v>2244</v>
      </c>
      <c r="B2149" s="6">
        <v>45962</v>
      </c>
      <c r="C2149" s="6" t="str">
        <f>TEXT(Table3[[#This Row],[transaction_date]], "yyyy-mm")</f>
        <v>2025-11</v>
      </c>
      <c r="D2149" t="s">
        <v>3597</v>
      </c>
      <c r="E2149" t="s">
        <v>3637</v>
      </c>
      <c r="F2149" t="s">
        <v>3619</v>
      </c>
      <c r="G2149" s="1">
        <v>7954604.79</v>
      </c>
    </row>
    <row r="2150" spans="1:7">
      <c r="A2150" t="s">
        <v>2245</v>
      </c>
      <c r="B2150" s="6">
        <v>45798</v>
      </c>
      <c r="C2150" s="6" t="str">
        <f>TEXT(Table3[[#This Row],[transaction_date]], "yyyy-mm")</f>
        <v>2025-05</v>
      </c>
      <c r="D2150" t="s">
        <v>73</v>
      </c>
      <c r="E2150" t="s">
        <v>3636</v>
      </c>
      <c r="F2150" t="s">
        <v>3612</v>
      </c>
      <c r="G2150" s="1">
        <v>3271017.77</v>
      </c>
    </row>
    <row r="2151" spans="1:7">
      <c r="A2151" t="s">
        <v>2246</v>
      </c>
      <c r="B2151" s="6">
        <v>45963</v>
      </c>
      <c r="C2151" s="6" t="str">
        <f>TEXT(Table3[[#This Row],[transaction_date]], "yyyy-mm")</f>
        <v>2025-11</v>
      </c>
      <c r="D2151" t="s">
        <v>73</v>
      </c>
      <c r="E2151" t="s">
        <v>3636</v>
      </c>
      <c r="F2151" t="s">
        <v>3604</v>
      </c>
      <c r="G2151" s="1">
        <v>717236.14</v>
      </c>
    </row>
    <row r="2152" spans="1:7">
      <c r="A2152" t="s">
        <v>2247</v>
      </c>
      <c r="B2152" s="6">
        <v>45985</v>
      </c>
      <c r="C2152" s="6" t="str">
        <f>TEXT(Table3[[#This Row],[transaction_date]], "yyyy-mm")</f>
        <v>2025-11</v>
      </c>
      <c r="D2152" t="s">
        <v>80</v>
      </c>
      <c r="E2152" t="s">
        <v>3636</v>
      </c>
      <c r="F2152" t="s">
        <v>3605</v>
      </c>
      <c r="G2152" s="1">
        <v>421386.12</v>
      </c>
    </row>
    <row r="2153" spans="1:7">
      <c r="A2153" t="s">
        <v>2248</v>
      </c>
      <c r="B2153" s="6">
        <v>45801</v>
      </c>
      <c r="C2153" s="6" t="str">
        <f>TEXT(Table3[[#This Row],[transaction_date]], "yyyy-mm")</f>
        <v>2025-05</v>
      </c>
      <c r="D2153" t="s">
        <v>80</v>
      </c>
      <c r="E2153" t="s">
        <v>3637</v>
      </c>
      <c r="F2153" t="s">
        <v>3620</v>
      </c>
      <c r="G2153" s="1">
        <v>2130749.27</v>
      </c>
    </row>
    <row r="2154" spans="1:7">
      <c r="A2154" t="s">
        <v>2249</v>
      </c>
      <c r="B2154" s="6">
        <v>45770</v>
      </c>
      <c r="C2154" s="6" t="str">
        <f>TEXT(Table3[[#This Row],[transaction_date]], "yyyy-mm")</f>
        <v>2025-04</v>
      </c>
      <c r="D2154" t="s">
        <v>75</v>
      </c>
      <c r="E2154" t="s">
        <v>3636</v>
      </c>
      <c r="F2154" t="s">
        <v>3604</v>
      </c>
      <c r="G2154" s="1">
        <v>4873951.6500000004</v>
      </c>
    </row>
    <row r="2155" spans="1:7">
      <c r="A2155" t="s">
        <v>2250</v>
      </c>
      <c r="B2155" s="6">
        <v>45712</v>
      </c>
      <c r="C2155" s="6" t="str">
        <f>TEXT(Table3[[#This Row],[transaction_date]], "yyyy-mm")</f>
        <v>2025-02</v>
      </c>
      <c r="D2155" t="s">
        <v>73</v>
      </c>
      <c r="E2155" t="s">
        <v>3636</v>
      </c>
      <c r="F2155" t="s">
        <v>3609</v>
      </c>
      <c r="G2155" s="1">
        <v>521935</v>
      </c>
    </row>
    <row r="2156" spans="1:7">
      <c r="A2156" t="s">
        <v>2251</v>
      </c>
      <c r="B2156" s="6">
        <v>45734</v>
      </c>
      <c r="C2156" s="6" t="str">
        <f>TEXT(Table3[[#This Row],[transaction_date]], "yyyy-mm")</f>
        <v>2025-03</v>
      </c>
      <c r="D2156" t="s">
        <v>84</v>
      </c>
      <c r="E2156" t="s">
        <v>3636</v>
      </c>
      <c r="F2156" t="s">
        <v>3604</v>
      </c>
      <c r="G2156" s="1">
        <v>13328454.890000001</v>
      </c>
    </row>
    <row r="2157" spans="1:7">
      <c r="A2157" t="s">
        <v>2252</v>
      </c>
      <c r="B2157" s="6">
        <v>45979</v>
      </c>
      <c r="C2157" s="6" t="str">
        <f>TEXT(Table3[[#This Row],[transaction_date]], "yyyy-mm")</f>
        <v>2025-11</v>
      </c>
      <c r="D2157" t="s">
        <v>3597</v>
      </c>
      <c r="E2157" t="s">
        <v>3637</v>
      </c>
      <c r="F2157" t="s">
        <v>3618</v>
      </c>
      <c r="G2157" s="1">
        <v>1759288.76</v>
      </c>
    </row>
    <row r="2158" spans="1:7">
      <c r="A2158" t="s">
        <v>2253</v>
      </c>
      <c r="B2158" s="6">
        <v>45759</v>
      </c>
      <c r="C2158" s="6" t="str">
        <f>TEXT(Table3[[#This Row],[transaction_date]], "yyyy-mm")</f>
        <v>2025-04</v>
      </c>
      <c r="D2158" t="s">
        <v>74</v>
      </c>
      <c r="E2158" t="s">
        <v>3636</v>
      </c>
      <c r="F2158" t="s">
        <v>3611</v>
      </c>
      <c r="G2158" s="1">
        <v>1127878.33</v>
      </c>
    </row>
    <row r="2159" spans="1:7">
      <c r="A2159" t="s">
        <v>2254</v>
      </c>
      <c r="B2159" s="6">
        <v>45774</v>
      </c>
      <c r="C2159" s="6" t="str">
        <f>TEXT(Table3[[#This Row],[transaction_date]], "yyyy-mm")</f>
        <v>2025-04</v>
      </c>
      <c r="D2159" t="s">
        <v>93</v>
      </c>
      <c r="E2159" t="s">
        <v>3637</v>
      </c>
      <c r="F2159" t="s">
        <v>3616</v>
      </c>
      <c r="G2159" s="1">
        <v>15271758.15</v>
      </c>
    </row>
    <row r="2160" spans="1:7">
      <c r="A2160" t="s">
        <v>2255</v>
      </c>
      <c r="B2160" s="6">
        <v>45767</v>
      </c>
      <c r="C2160" s="6" t="str">
        <f>TEXT(Table3[[#This Row],[transaction_date]], "yyyy-mm")</f>
        <v>2025-04</v>
      </c>
      <c r="D2160" t="s">
        <v>93</v>
      </c>
      <c r="E2160" t="s">
        <v>3636</v>
      </c>
      <c r="F2160" t="s">
        <v>3609</v>
      </c>
      <c r="G2160" s="1">
        <v>3074397.55</v>
      </c>
    </row>
    <row r="2161" spans="1:7">
      <c r="A2161" t="s">
        <v>2256</v>
      </c>
      <c r="B2161" s="6">
        <v>45812</v>
      </c>
      <c r="C2161" s="6" t="str">
        <f>TEXT(Table3[[#This Row],[transaction_date]], "yyyy-mm")</f>
        <v>2025-06</v>
      </c>
      <c r="D2161" t="s">
        <v>74</v>
      </c>
      <c r="E2161" t="s">
        <v>3636</v>
      </c>
      <c r="F2161" t="s">
        <v>3605</v>
      </c>
      <c r="G2161" s="1">
        <v>492804.15</v>
      </c>
    </row>
    <row r="2162" spans="1:7">
      <c r="A2162" t="s">
        <v>2257</v>
      </c>
      <c r="B2162" s="6">
        <v>45777</v>
      </c>
      <c r="C2162" s="6" t="str">
        <f>TEXT(Table3[[#This Row],[transaction_date]], "yyyy-mm")</f>
        <v>2025-04</v>
      </c>
      <c r="D2162" t="s">
        <v>89</v>
      </c>
      <c r="E2162" t="s">
        <v>3637</v>
      </c>
      <c r="F2162" t="s">
        <v>3618</v>
      </c>
      <c r="G2162" s="1">
        <v>2889359.14</v>
      </c>
    </row>
    <row r="2163" spans="1:7">
      <c r="A2163" t="s">
        <v>2258</v>
      </c>
      <c r="B2163" s="6">
        <v>45676</v>
      </c>
      <c r="C2163" s="6" t="str">
        <f>TEXT(Table3[[#This Row],[transaction_date]], "yyyy-mm")</f>
        <v>2025-01</v>
      </c>
      <c r="D2163" t="s">
        <v>73</v>
      </c>
      <c r="E2163" t="s">
        <v>3636</v>
      </c>
      <c r="F2163" t="s">
        <v>3609</v>
      </c>
      <c r="G2163" s="1">
        <v>481202.56</v>
      </c>
    </row>
    <row r="2164" spans="1:7">
      <c r="A2164" t="s">
        <v>2259</v>
      </c>
      <c r="B2164" s="6">
        <v>45700</v>
      </c>
      <c r="C2164" s="6" t="str">
        <f>TEXT(Table3[[#This Row],[transaction_date]], "yyyy-mm")</f>
        <v>2025-02</v>
      </c>
      <c r="D2164" t="s">
        <v>75</v>
      </c>
      <c r="E2164" t="s">
        <v>3636</v>
      </c>
      <c r="F2164" t="s">
        <v>3604</v>
      </c>
      <c r="G2164" s="1">
        <v>6646293.6200000001</v>
      </c>
    </row>
    <row r="2165" spans="1:7">
      <c r="A2165" t="s">
        <v>2260</v>
      </c>
      <c r="B2165" s="6">
        <v>45856</v>
      </c>
      <c r="C2165" s="6" t="str">
        <f>TEXT(Table3[[#This Row],[transaction_date]], "yyyy-mm")</f>
        <v>2025-07</v>
      </c>
      <c r="D2165" t="s">
        <v>74</v>
      </c>
      <c r="E2165" t="s">
        <v>3637</v>
      </c>
      <c r="F2165" t="s">
        <v>3620</v>
      </c>
      <c r="G2165" s="1">
        <v>1106104.1299999999</v>
      </c>
    </row>
    <row r="2166" spans="1:7">
      <c r="A2166" t="s">
        <v>2261</v>
      </c>
      <c r="B2166" s="6">
        <v>45723</v>
      </c>
      <c r="C2166" s="6" t="str">
        <f>TEXT(Table3[[#This Row],[transaction_date]], "yyyy-mm")</f>
        <v>2025-03</v>
      </c>
      <c r="D2166" t="s">
        <v>90</v>
      </c>
      <c r="E2166" t="s">
        <v>3637</v>
      </c>
      <c r="F2166" t="s">
        <v>3615</v>
      </c>
      <c r="G2166" s="1">
        <v>5534330.5800000001</v>
      </c>
    </row>
    <row r="2167" spans="1:7">
      <c r="A2167" t="s">
        <v>2262</v>
      </c>
      <c r="B2167" s="6">
        <v>45955</v>
      </c>
      <c r="C2167" s="6" t="str">
        <f>TEXT(Table3[[#This Row],[transaction_date]], "yyyy-mm")</f>
        <v>2025-10</v>
      </c>
      <c r="D2167" t="s">
        <v>74</v>
      </c>
      <c r="E2167" t="s">
        <v>3636</v>
      </c>
      <c r="F2167" t="s">
        <v>3611</v>
      </c>
      <c r="G2167" s="1">
        <v>97698.43</v>
      </c>
    </row>
    <row r="2168" spans="1:7">
      <c r="A2168" t="s">
        <v>2263</v>
      </c>
      <c r="B2168" s="6">
        <v>45728</v>
      </c>
      <c r="C2168" s="6" t="str">
        <f>TEXT(Table3[[#This Row],[transaction_date]], "yyyy-mm")</f>
        <v>2025-03</v>
      </c>
      <c r="D2168" t="s">
        <v>3597</v>
      </c>
      <c r="E2168" t="s">
        <v>3637</v>
      </c>
      <c r="F2168" t="s">
        <v>3620</v>
      </c>
      <c r="G2168" s="1">
        <v>9068264.7799999993</v>
      </c>
    </row>
    <row r="2169" spans="1:7">
      <c r="A2169" t="s">
        <v>2264</v>
      </c>
      <c r="B2169" s="6">
        <v>45676</v>
      </c>
      <c r="C2169" s="6" t="str">
        <f>TEXT(Table3[[#This Row],[transaction_date]], "yyyy-mm")</f>
        <v>2025-01</v>
      </c>
      <c r="D2169" t="s">
        <v>84</v>
      </c>
      <c r="E2169" t="s">
        <v>3637</v>
      </c>
      <c r="F2169" t="s">
        <v>3621</v>
      </c>
      <c r="G2169" s="1">
        <v>2700752.88</v>
      </c>
    </row>
    <row r="2170" spans="1:7">
      <c r="A2170" t="s">
        <v>2265</v>
      </c>
      <c r="B2170" s="6">
        <v>45866</v>
      </c>
      <c r="C2170" s="6" t="str">
        <f>TEXT(Table3[[#This Row],[transaction_date]], "yyyy-mm")</f>
        <v>2025-07</v>
      </c>
      <c r="D2170" t="s">
        <v>79</v>
      </c>
      <c r="E2170" t="s">
        <v>3636</v>
      </c>
      <c r="F2170" t="s">
        <v>3605</v>
      </c>
      <c r="G2170" s="1">
        <v>941016.3</v>
      </c>
    </row>
    <row r="2171" spans="1:7">
      <c r="A2171" t="s">
        <v>2266</v>
      </c>
      <c r="B2171" s="6">
        <v>45839</v>
      </c>
      <c r="C2171" s="6" t="str">
        <f>TEXT(Table3[[#This Row],[transaction_date]], "yyyy-mm")</f>
        <v>2025-07</v>
      </c>
      <c r="D2171" t="s">
        <v>80</v>
      </c>
      <c r="E2171" t="s">
        <v>3637</v>
      </c>
      <c r="F2171" t="s">
        <v>3615</v>
      </c>
      <c r="G2171" s="1">
        <v>453158.26</v>
      </c>
    </row>
    <row r="2172" spans="1:7">
      <c r="A2172" t="s">
        <v>2267</v>
      </c>
      <c r="B2172" s="6">
        <v>45995</v>
      </c>
      <c r="C2172" s="6" t="str">
        <f>TEXT(Table3[[#This Row],[transaction_date]], "yyyy-mm")</f>
        <v>2025-12</v>
      </c>
      <c r="D2172" t="s">
        <v>78</v>
      </c>
      <c r="E2172" t="s">
        <v>3636</v>
      </c>
      <c r="F2172" t="s">
        <v>3610</v>
      </c>
      <c r="G2172" s="1">
        <v>2163079.52</v>
      </c>
    </row>
    <row r="2173" spans="1:7">
      <c r="A2173" t="s">
        <v>2268</v>
      </c>
      <c r="B2173" s="6">
        <v>45737</v>
      </c>
      <c r="C2173" s="6" t="str">
        <f>TEXT(Table3[[#This Row],[transaction_date]], "yyyy-mm")</f>
        <v>2025-03</v>
      </c>
      <c r="D2173" t="s">
        <v>95</v>
      </c>
      <c r="E2173" t="s">
        <v>3637</v>
      </c>
      <c r="F2173" t="s">
        <v>3620</v>
      </c>
      <c r="G2173" s="1">
        <v>3241833.7</v>
      </c>
    </row>
    <row r="2174" spans="1:7">
      <c r="A2174" t="s">
        <v>2269</v>
      </c>
      <c r="B2174" s="6">
        <v>45704</v>
      </c>
      <c r="C2174" s="6" t="str">
        <f>TEXT(Table3[[#This Row],[transaction_date]], "yyyy-mm")</f>
        <v>2025-02</v>
      </c>
      <c r="D2174" t="s">
        <v>77</v>
      </c>
      <c r="E2174" t="s">
        <v>3636</v>
      </c>
      <c r="F2174" t="s">
        <v>3605</v>
      </c>
      <c r="G2174" s="1">
        <v>2754670.65</v>
      </c>
    </row>
    <row r="2175" spans="1:7">
      <c r="A2175" t="s">
        <v>2270</v>
      </c>
      <c r="B2175" s="6">
        <v>45976</v>
      </c>
      <c r="C2175" s="6" t="str">
        <f>TEXT(Table3[[#This Row],[transaction_date]], "yyyy-mm")</f>
        <v>2025-11</v>
      </c>
      <c r="D2175" t="s">
        <v>89</v>
      </c>
      <c r="E2175" t="s">
        <v>3636</v>
      </c>
      <c r="F2175" t="s">
        <v>3612</v>
      </c>
      <c r="G2175" s="1">
        <v>536691.89</v>
      </c>
    </row>
    <row r="2176" spans="1:7">
      <c r="A2176" t="s">
        <v>2271</v>
      </c>
      <c r="B2176" s="6">
        <v>45698</v>
      </c>
      <c r="C2176" s="6" t="str">
        <f>TEXT(Table3[[#This Row],[transaction_date]], "yyyy-mm")</f>
        <v>2025-02</v>
      </c>
      <c r="D2176" t="s">
        <v>76</v>
      </c>
      <c r="E2176" t="s">
        <v>3637</v>
      </c>
      <c r="F2176" t="s">
        <v>3617</v>
      </c>
      <c r="G2176" s="1">
        <v>169906.25</v>
      </c>
    </row>
    <row r="2177" spans="1:7">
      <c r="A2177" t="s">
        <v>2272</v>
      </c>
      <c r="B2177" s="6">
        <v>45861</v>
      </c>
      <c r="C2177" s="6" t="str">
        <f>TEXT(Table3[[#This Row],[transaction_date]], "yyyy-mm")</f>
        <v>2025-07</v>
      </c>
      <c r="D2177" t="s">
        <v>77</v>
      </c>
      <c r="E2177" t="s">
        <v>3637</v>
      </c>
      <c r="F2177" t="s">
        <v>3615</v>
      </c>
      <c r="G2177" s="1">
        <v>8915609.7200000007</v>
      </c>
    </row>
    <row r="2178" spans="1:7">
      <c r="A2178" t="s">
        <v>2273</v>
      </c>
      <c r="B2178" s="6">
        <v>45715</v>
      </c>
      <c r="C2178" s="6" t="str">
        <f>TEXT(Table3[[#This Row],[transaction_date]], "yyyy-mm")</f>
        <v>2025-02</v>
      </c>
      <c r="D2178" t="s">
        <v>90</v>
      </c>
      <c r="E2178" t="s">
        <v>3637</v>
      </c>
      <c r="F2178" t="s">
        <v>3622</v>
      </c>
      <c r="G2178" s="1">
        <v>3827780.6</v>
      </c>
    </row>
    <row r="2179" spans="1:7">
      <c r="A2179" t="s">
        <v>2274</v>
      </c>
      <c r="B2179" s="6">
        <v>45894</v>
      </c>
      <c r="C2179" s="6" t="str">
        <f>TEXT(Table3[[#This Row],[transaction_date]], "yyyy-mm")</f>
        <v>2025-08</v>
      </c>
      <c r="D2179" t="s">
        <v>93</v>
      </c>
      <c r="E2179" t="s">
        <v>3636</v>
      </c>
      <c r="F2179" t="s">
        <v>3608</v>
      </c>
      <c r="G2179" s="1">
        <v>2044149.8</v>
      </c>
    </row>
    <row r="2180" spans="1:7">
      <c r="A2180" t="s">
        <v>2275</v>
      </c>
      <c r="B2180" s="6">
        <v>45926</v>
      </c>
      <c r="C2180" s="6" t="str">
        <f>TEXT(Table3[[#This Row],[transaction_date]], "yyyy-mm")</f>
        <v>2025-09</v>
      </c>
      <c r="D2180" t="s">
        <v>93</v>
      </c>
      <c r="E2180" t="s">
        <v>3636</v>
      </c>
      <c r="F2180" t="s">
        <v>3611</v>
      </c>
      <c r="G2180" s="1">
        <v>5546166.6500000004</v>
      </c>
    </row>
    <row r="2181" spans="1:7">
      <c r="A2181" t="s">
        <v>2276</v>
      </c>
      <c r="B2181" s="6">
        <v>45731</v>
      </c>
      <c r="C2181" s="6" t="str">
        <f>TEXT(Table3[[#This Row],[transaction_date]], "yyyy-mm")</f>
        <v>2025-03</v>
      </c>
      <c r="D2181" t="s">
        <v>73</v>
      </c>
      <c r="E2181" t="s">
        <v>3637</v>
      </c>
      <c r="F2181" t="s">
        <v>3623</v>
      </c>
      <c r="G2181" s="1">
        <v>871278.85</v>
      </c>
    </row>
    <row r="2182" spans="1:7">
      <c r="A2182" t="s">
        <v>2277</v>
      </c>
      <c r="B2182" s="6">
        <v>45868</v>
      </c>
      <c r="C2182" s="6" t="str">
        <f>TEXT(Table3[[#This Row],[transaction_date]], "yyyy-mm")</f>
        <v>2025-07</v>
      </c>
      <c r="D2182" t="s">
        <v>84</v>
      </c>
      <c r="E2182" t="s">
        <v>3636</v>
      </c>
      <c r="F2182" t="s">
        <v>3604</v>
      </c>
      <c r="G2182" s="1">
        <v>1281841.1000000001</v>
      </c>
    </row>
    <row r="2183" spans="1:7">
      <c r="A2183" t="s">
        <v>2278</v>
      </c>
      <c r="B2183" s="6">
        <v>45823</v>
      </c>
      <c r="C2183" s="6" t="str">
        <f>TEXT(Table3[[#This Row],[transaction_date]], "yyyy-mm")</f>
        <v>2025-06</v>
      </c>
      <c r="D2183" t="s">
        <v>85</v>
      </c>
      <c r="E2183" t="s">
        <v>3636</v>
      </c>
      <c r="F2183" t="s">
        <v>3605</v>
      </c>
      <c r="G2183" s="1">
        <v>1844040.72</v>
      </c>
    </row>
    <row r="2184" spans="1:7">
      <c r="A2184" t="s">
        <v>2279</v>
      </c>
      <c r="B2184" s="6">
        <v>45695</v>
      </c>
      <c r="C2184" s="6" t="str">
        <f>TEXT(Table3[[#This Row],[transaction_date]], "yyyy-mm")</f>
        <v>2025-02</v>
      </c>
      <c r="D2184" t="s">
        <v>80</v>
      </c>
      <c r="E2184" t="s">
        <v>3637</v>
      </c>
      <c r="F2184" t="s">
        <v>3623</v>
      </c>
      <c r="G2184" s="1">
        <v>2013940.04</v>
      </c>
    </row>
    <row r="2185" spans="1:7">
      <c r="A2185" t="s">
        <v>2280</v>
      </c>
      <c r="B2185" s="6">
        <v>45876</v>
      </c>
      <c r="C2185" s="6" t="str">
        <f>TEXT(Table3[[#This Row],[transaction_date]], "yyyy-mm")</f>
        <v>2025-08</v>
      </c>
      <c r="D2185" t="s">
        <v>74</v>
      </c>
      <c r="E2185" t="s">
        <v>3637</v>
      </c>
      <c r="F2185" t="s">
        <v>3618</v>
      </c>
      <c r="G2185" s="1">
        <v>465526.36</v>
      </c>
    </row>
    <row r="2186" spans="1:7">
      <c r="A2186" t="s">
        <v>2281</v>
      </c>
      <c r="B2186" s="6">
        <v>45937</v>
      </c>
      <c r="C2186" s="6" t="str">
        <f>TEXT(Table3[[#This Row],[transaction_date]], "yyyy-mm")</f>
        <v>2025-10</v>
      </c>
      <c r="D2186" t="s">
        <v>75</v>
      </c>
      <c r="E2186" t="s">
        <v>3636</v>
      </c>
      <c r="F2186" t="s">
        <v>3613</v>
      </c>
      <c r="G2186" s="1">
        <v>6828820.4500000002</v>
      </c>
    </row>
    <row r="2187" spans="1:7">
      <c r="A2187" t="s">
        <v>2282</v>
      </c>
      <c r="B2187" s="6">
        <v>45872</v>
      </c>
      <c r="C2187" s="6" t="str">
        <f>TEXT(Table3[[#This Row],[transaction_date]], "yyyy-mm")</f>
        <v>2025-08</v>
      </c>
      <c r="D2187" t="s">
        <v>76</v>
      </c>
      <c r="E2187" t="s">
        <v>3636</v>
      </c>
      <c r="F2187" t="s">
        <v>3608</v>
      </c>
      <c r="G2187" s="1">
        <v>3980879.34</v>
      </c>
    </row>
    <row r="2188" spans="1:7">
      <c r="A2188" t="s">
        <v>2283</v>
      </c>
      <c r="B2188" s="6">
        <v>45780</v>
      </c>
      <c r="C2188" s="6" t="str">
        <f>TEXT(Table3[[#This Row],[transaction_date]], "yyyy-mm")</f>
        <v>2025-05</v>
      </c>
      <c r="D2188" t="s">
        <v>3597</v>
      </c>
      <c r="E2188" t="s">
        <v>3636</v>
      </c>
      <c r="F2188" t="s">
        <v>3604</v>
      </c>
      <c r="G2188" s="1">
        <v>13284932.15</v>
      </c>
    </row>
    <row r="2189" spans="1:7">
      <c r="A2189" t="s">
        <v>2284</v>
      </c>
      <c r="B2189" s="6">
        <v>45703</v>
      </c>
      <c r="C2189" s="6" t="str">
        <f>TEXT(Table3[[#This Row],[transaction_date]], "yyyy-mm")</f>
        <v>2025-02</v>
      </c>
      <c r="D2189" t="s">
        <v>79</v>
      </c>
      <c r="E2189" t="s">
        <v>3637</v>
      </c>
      <c r="F2189" t="s">
        <v>3614</v>
      </c>
      <c r="G2189" s="1">
        <v>586595.46</v>
      </c>
    </row>
    <row r="2190" spans="1:7">
      <c r="A2190" t="s">
        <v>2285</v>
      </c>
      <c r="B2190" s="6">
        <v>45910</v>
      </c>
      <c r="C2190" s="6" t="str">
        <f>TEXT(Table3[[#This Row],[transaction_date]], "yyyy-mm")</f>
        <v>2025-09</v>
      </c>
      <c r="D2190" t="s">
        <v>82</v>
      </c>
      <c r="E2190" t="s">
        <v>3636</v>
      </c>
      <c r="F2190" t="s">
        <v>3605</v>
      </c>
      <c r="G2190" s="1">
        <v>105477.44</v>
      </c>
    </row>
    <row r="2191" spans="1:7">
      <c r="A2191" t="s">
        <v>2286</v>
      </c>
      <c r="B2191" s="6">
        <v>45887</v>
      </c>
      <c r="C2191" s="6" t="str">
        <f>TEXT(Table3[[#This Row],[transaction_date]], "yyyy-mm")</f>
        <v>2025-08</v>
      </c>
      <c r="D2191" t="s">
        <v>3597</v>
      </c>
      <c r="E2191" t="s">
        <v>3637</v>
      </c>
      <c r="F2191" t="s">
        <v>3614</v>
      </c>
      <c r="G2191" s="1">
        <v>7420080.4900000002</v>
      </c>
    </row>
    <row r="2192" spans="1:7">
      <c r="A2192" t="s">
        <v>2287</v>
      </c>
      <c r="B2192" s="6">
        <v>45815</v>
      </c>
      <c r="C2192" s="6" t="str">
        <f>TEXT(Table3[[#This Row],[transaction_date]], "yyyy-mm")</f>
        <v>2025-06</v>
      </c>
      <c r="D2192" t="s">
        <v>77</v>
      </c>
      <c r="E2192" t="s">
        <v>3637</v>
      </c>
      <c r="F2192" t="s">
        <v>3618</v>
      </c>
      <c r="G2192" s="1">
        <v>5379047.2000000002</v>
      </c>
    </row>
    <row r="2193" spans="1:7">
      <c r="A2193" t="s">
        <v>2288</v>
      </c>
      <c r="B2193" s="6">
        <v>45671</v>
      </c>
      <c r="C2193" s="6" t="str">
        <f>TEXT(Table3[[#This Row],[transaction_date]], "yyyy-mm")</f>
        <v>2025-01</v>
      </c>
      <c r="D2193" t="s">
        <v>79</v>
      </c>
      <c r="E2193" t="s">
        <v>3636</v>
      </c>
      <c r="F2193" t="s">
        <v>3613</v>
      </c>
      <c r="G2193" s="1">
        <v>714208.27</v>
      </c>
    </row>
    <row r="2194" spans="1:7">
      <c r="A2194" t="s">
        <v>2289</v>
      </c>
      <c r="B2194" s="6">
        <v>45921</v>
      </c>
      <c r="C2194" s="6" t="str">
        <f>TEXT(Table3[[#This Row],[transaction_date]], "yyyy-mm")</f>
        <v>2025-09</v>
      </c>
      <c r="D2194" t="s">
        <v>76</v>
      </c>
      <c r="E2194" t="s">
        <v>3637</v>
      </c>
      <c r="F2194" t="s">
        <v>3617</v>
      </c>
      <c r="G2194" s="1">
        <v>3386171.26</v>
      </c>
    </row>
    <row r="2195" spans="1:7">
      <c r="A2195" t="s">
        <v>2290</v>
      </c>
      <c r="B2195" s="6">
        <v>45916</v>
      </c>
      <c r="C2195" s="6" t="str">
        <f>TEXT(Table3[[#This Row],[transaction_date]], "yyyy-mm")</f>
        <v>2025-09</v>
      </c>
      <c r="D2195" t="s">
        <v>84</v>
      </c>
      <c r="E2195" t="s">
        <v>3637</v>
      </c>
      <c r="F2195" t="s">
        <v>3620</v>
      </c>
      <c r="G2195" s="1">
        <v>5306817.57</v>
      </c>
    </row>
    <row r="2196" spans="1:7">
      <c r="A2196" t="s">
        <v>2291</v>
      </c>
      <c r="B2196" s="6">
        <v>45971</v>
      </c>
      <c r="C2196" s="6" t="str">
        <f>TEXT(Table3[[#This Row],[transaction_date]], "yyyy-mm")</f>
        <v>2025-11</v>
      </c>
      <c r="D2196" t="s">
        <v>89</v>
      </c>
      <c r="E2196" t="s">
        <v>3637</v>
      </c>
      <c r="F2196" t="s">
        <v>3618</v>
      </c>
      <c r="G2196" s="1">
        <v>104553.43</v>
      </c>
    </row>
    <row r="2197" spans="1:7">
      <c r="A2197" t="s">
        <v>2292</v>
      </c>
      <c r="B2197" s="6">
        <v>45732</v>
      </c>
      <c r="C2197" s="6" t="str">
        <f>TEXT(Table3[[#This Row],[transaction_date]], "yyyy-mm")</f>
        <v>2025-03</v>
      </c>
      <c r="D2197" t="s">
        <v>80</v>
      </c>
      <c r="E2197" t="s">
        <v>3637</v>
      </c>
      <c r="F2197" t="s">
        <v>3620</v>
      </c>
      <c r="G2197" s="1">
        <v>961675.99</v>
      </c>
    </row>
    <row r="2198" spans="1:7">
      <c r="A2198" t="s">
        <v>2293</v>
      </c>
      <c r="B2198" s="6">
        <v>45706</v>
      </c>
      <c r="C2198" s="6" t="str">
        <f>TEXT(Table3[[#This Row],[transaction_date]], "yyyy-mm")</f>
        <v>2025-02</v>
      </c>
      <c r="D2198" t="s">
        <v>93</v>
      </c>
      <c r="E2198" t="s">
        <v>3636</v>
      </c>
      <c r="F2198" t="s">
        <v>3604</v>
      </c>
      <c r="G2198" s="1">
        <v>2793794.65</v>
      </c>
    </row>
    <row r="2199" spans="1:7">
      <c r="A2199" t="s">
        <v>2294</v>
      </c>
      <c r="B2199" s="6">
        <v>45680</v>
      </c>
      <c r="C2199" s="6" t="str">
        <f>TEXT(Table3[[#This Row],[transaction_date]], "yyyy-mm")</f>
        <v>2025-01</v>
      </c>
      <c r="D2199" t="s">
        <v>3597</v>
      </c>
      <c r="E2199" t="s">
        <v>3637</v>
      </c>
      <c r="F2199" t="s">
        <v>3618</v>
      </c>
      <c r="G2199" s="1">
        <v>10795715.99</v>
      </c>
    </row>
    <row r="2200" spans="1:7">
      <c r="A2200" t="s">
        <v>2295</v>
      </c>
      <c r="B2200" s="6">
        <v>45934</v>
      </c>
      <c r="C2200" s="6" t="str">
        <f>TEXT(Table3[[#This Row],[transaction_date]], "yyyy-mm")</f>
        <v>2025-10</v>
      </c>
      <c r="D2200" t="s">
        <v>90</v>
      </c>
      <c r="E2200" t="s">
        <v>3637</v>
      </c>
      <c r="F2200" t="s">
        <v>3621</v>
      </c>
      <c r="G2200" s="1">
        <v>2532800.08</v>
      </c>
    </row>
    <row r="2201" spans="1:7">
      <c r="A2201" t="s">
        <v>2296</v>
      </c>
      <c r="B2201" s="6">
        <v>45912</v>
      </c>
      <c r="C2201" s="6" t="str">
        <f>TEXT(Table3[[#This Row],[transaction_date]], "yyyy-mm")</f>
        <v>2025-09</v>
      </c>
      <c r="D2201" t="s">
        <v>84</v>
      </c>
      <c r="E2201" t="s">
        <v>3637</v>
      </c>
      <c r="F2201" t="s">
        <v>3614</v>
      </c>
      <c r="G2201" s="1">
        <v>11739712.09</v>
      </c>
    </row>
    <row r="2202" spans="1:7">
      <c r="A2202" t="s">
        <v>2297</v>
      </c>
      <c r="B2202" s="6">
        <v>45941</v>
      </c>
      <c r="C2202" s="6" t="str">
        <f>TEXT(Table3[[#This Row],[transaction_date]], "yyyy-mm")</f>
        <v>2025-10</v>
      </c>
      <c r="D2202" t="s">
        <v>80</v>
      </c>
      <c r="E2202" t="s">
        <v>3637</v>
      </c>
      <c r="F2202" t="s">
        <v>3623</v>
      </c>
      <c r="G2202" s="1">
        <v>948488.73</v>
      </c>
    </row>
    <row r="2203" spans="1:7">
      <c r="A2203" t="s">
        <v>2298</v>
      </c>
      <c r="B2203" s="6">
        <v>45969</v>
      </c>
      <c r="C2203" s="6" t="str">
        <f>TEXT(Table3[[#This Row],[transaction_date]], "yyyy-mm")</f>
        <v>2025-11</v>
      </c>
      <c r="D2203" t="s">
        <v>76</v>
      </c>
      <c r="E2203" t="s">
        <v>3637</v>
      </c>
      <c r="F2203" t="s">
        <v>3622</v>
      </c>
      <c r="G2203" s="1">
        <v>3548792.69</v>
      </c>
    </row>
    <row r="2204" spans="1:7">
      <c r="A2204" t="s">
        <v>2299</v>
      </c>
      <c r="B2204" s="6">
        <v>45944</v>
      </c>
      <c r="C2204" s="6" t="str">
        <f>TEXT(Table3[[#This Row],[transaction_date]], "yyyy-mm")</f>
        <v>2025-10</v>
      </c>
      <c r="D2204" t="s">
        <v>76</v>
      </c>
      <c r="E2204" t="s">
        <v>3637</v>
      </c>
      <c r="F2204" t="s">
        <v>3618</v>
      </c>
      <c r="G2204" s="1">
        <v>6809960.7800000003</v>
      </c>
    </row>
    <row r="2205" spans="1:7">
      <c r="A2205" t="s">
        <v>2300</v>
      </c>
      <c r="B2205" s="6">
        <v>45848</v>
      </c>
      <c r="C2205" s="6" t="str">
        <f>TEXT(Table3[[#This Row],[transaction_date]], "yyyy-mm")</f>
        <v>2025-07</v>
      </c>
      <c r="D2205" t="s">
        <v>79</v>
      </c>
      <c r="E2205" t="s">
        <v>3636</v>
      </c>
      <c r="F2205" t="s">
        <v>3607</v>
      </c>
      <c r="G2205" s="1">
        <v>294314.71000000002</v>
      </c>
    </row>
    <row r="2206" spans="1:7">
      <c r="A2206" t="s">
        <v>2301</v>
      </c>
      <c r="B2206" s="6">
        <v>45682</v>
      </c>
      <c r="C2206" s="6" t="str">
        <f>TEXT(Table3[[#This Row],[transaction_date]], "yyyy-mm")</f>
        <v>2025-01</v>
      </c>
      <c r="D2206" t="s">
        <v>85</v>
      </c>
      <c r="E2206" t="s">
        <v>3636</v>
      </c>
      <c r="F2206" t="s">
        <v>3607</v>
      </c>
      <c r="G2206" s="1">
        <v>2739619.38</v>
      </c>
    </row>
    <row r="2207" spans="1:7">
      <c r="A2207" t="s">
        <v>2302</v>
      </c>
      <c r="B2207" s="6">
        <v>45805</v>
      </c>
      <c r="C2207" s="6" t="str">
        <f>TEXT(Table3[[#This Row],[transaction_date]], "yyyy-mm")</f>
        <v>2025-05</v>
      </c>
      <c r="D2207" t="s">
        <v>79</v>
      </c>
      <c r="E2207" t="s">
        <v>3636</v>
      </c>
      <c r="F2207" t="s">
        <v>3611</v>
      </c>
      <c r="G2207" s="1">
        <v>4915833.5599999996</v>
      </c>
    </row>
    <row r="2208" spans="1:7">
      <c r="A2208" t="s">
        <v>2303</v>
      </c>
      <c r="B2208" s="6">
        <v>45828</v>
      </c>
      <c r="C2208" s="6" t="str">
        <f>TEXT(Table3[[#This Row],[transaction_date]], "yyyy-mm")</f>
        <v>2025-06</v>
      </c>
      <c r="D2208" t="s">
        <v>93</v>
      </c>
      <c r="E2208" t="s">
        <v>3636</v>
      </c>
      <c r="F2208" t="s">
        <v>3610</v>
      </c>
      <c r="G2208" s="1">
        <v>6065442.79</v>
      </c>
    </row>
    <row r="2209" spans="1:7">
      <c r="A2209" t="s">
        <v>2304</v>
      </c>
      <c r="B2209" s="6">
        <v>45827</v>
      </c>
      <c r="C2209" s="6" t="str">
        <f>TEXT(Table3[[#This Row],[transaction_date]], "yyyy-mm")</f>
        <v>2025-06</v>
      </c>
      <c r="D2209" t="s">
        <v>85</v>
      </c>
      <c r="E2209" t="s">
        <v>3637</v>
      </c>
      <c r="F2209" t="s">
        <v>3614</v>
      </c>
      <c r="G2209" s="1">
        <v>3578542.56</v>
      </c>
    </row>
    <row r="2210" spans="1:7">
      <c r="A2210" t="s">
        <v>2305</v>
      </c>
      <c r="B2210" s="6">
        <v>45661</v>
      </c>
      <c r="C2210" s="6" t="str">
        <f>TEXT(Table3[[#This Row],[transaction_date]], "yyyy-mm")</f>
        <v>2025-01</v>
      </c>
      <c r="D2210" t="s">
        <v>75</v>
      </c>
      <c r="E2210" t="s">
        <v>3636</v>
      </c>
      <c r="F2210" t="s">
        <v>3612</v>
      </c>
      <c r="G2210" s="1">
        <v>2135893.66</v>
      </c>
    </row>
    <row r="2211" spans="1:7">
      <c r="A2211" t="s">
        <v>2306</v>
      </c>
      <c r="B2211" s="6">
        <v>45921</v>
      </c>
      <c r="C2211" s="6" t="str">
        <f>TEXT(Table3[[#This Row],[transaction_date]], "yyyy-mm")</f>
        <v>2025-09</v>
      </c>
      <c r="D2211" t="s">
        <v>80</v>
      </c>
      <c r="E2211" t="s">
        <v>3636</v>
      </c>
      <c r="F2211" t="s">
        <v>3608</v>
      </c>
      <c r="G2211" s="1">
        <v>2746924.18</v>
      </c>
    </row>
    <row r="2212" spans="1:7">
      <c r="A2212" t="s">
        <v>2307</v>
      </c>
      <c r="B2212" s="6">
        <v>45906</v>
      </c>
      <c r="C2212" s="6" t="str">
        <f>TEXT(Table3[[#This Row],[transaction_date]], "yyyy-mm")</f>
        <v>2025-09</v>
      </c>
      <c r="D2212" t="s">
        <v>93</v>
      </c>
      <c r="E2212" t="s">
        <v>3637</v>
      </c>
      <c r="F2212" t="s">
        <v>3614</v>
      </c>
      <c r="G2212" s="1">
        <v>1969424.11</v>
      </c>
    </row>
    <row r="2213" spans="1:7">
      <c r="A2213" t="s">
        <v>2308</v>
      </c>
      <c r="B2213" s="6">
        <v>45861</v>
      </c>
      <c r="C2213" s="6" t="str">
        <f>TEXT(Table3[[#This Row],[transaction_date]], "yyyy-mm")</f>
        <v>2025-07</v>
      </c>
      <c r="D2213" t="s">
        <v>78</v>
      </c>
      <c r="E2213" t="s">
        <v>3637</v>
      </c>
      <c r="F2213" t="s">
        <v>3622</v>
      </c>
      <c r="G2213" s="1">
        <v>2091106.5</v>
      </c>
    </row>
    <row r="2214" spans="1:7">
      <c r="A2214" t="s">
        <v>2309</v>
      </c>
      <c r="B2214" s="6">
        <v>45771</v>
      </c>
      <c r="C2214" s="6" t="str">
        <f>TEXT(Table3[[#This Row],[transaction_date]], "yyyy-mm")</f>
        <v>2025-04</v>
      </c>
      <c r="D2214" t="s">
        <v>93</v>
      </c>
      <c r="E2214" t="s">
        <v>3637</v>
      </c>
      <c r="F2214" t="s">
        <v>3614</v>
      </c>
      <c r="G2214" s="1">
        <v>10528005.42</v>
      </c>
    </row>
    <row r="2215" spans="1:7">
      <c r="A2215" t="s">
        <v>2310</v>
      </c>
      <c r="B2215" s="6">
        <v>45837</v>
      </c>
      <c r="C2215" s="6" t="str">
        <f>TEXT(Table3[[#This Row],[transaction_date]], "yyyy-mm")</f>
        <v>2025-06</v>
      </c>
      <c r="D2215" t="s">
        <v>75</v>
      </c>
      <c r="E2215" t="s">
        <v>3637</v>
      </c>
      <c r="F2215" t="s">
        <v>3617</v>
      </c>
      <c r="G2215" s="1">
        <v>4344320.42</v>
      </c>
    </row>
    <row r="2216" spans="1:7">
      <c r="A2216" t="s">
        <v>2311</v>
      </c>
      <c r="B2216" s="6">
        <v>45995</v>
      </c>
      <c r="C2216" s="6" t="str">
        <f>TEXT(Table3[[#This Row],[transaction_date]], "yyyy-mm")</f>
        <v>2025-12</v>
      </c>
      <c r="D2216" t="s">
        <v>93</v>
      </c>
      <c r="E2216" t="s">
        <v>3636</v>
      </c>
      <c r="F2216" t="s">
        <v>3611</v>
      </c>
      <c r="G2216" s="1">
        <v>4513010.21</v>
      </c>
    </row>
    <row r="2217" spans="1:7">
      <c r="A2217" t="s">
        <v>2312</v>
      </c>
      <c r="B2217" s="6">
        <v>45876</v>
      </c>
      <c r="C2217" s="6" t="str">
        <f>TEXT(Table3[[#This Row],[transaction_date]], "yyyy-mm")</f>
        <v>2025-08</v>
      </c>
      <c r="D2217" t="s">
        <v>76</v>
      </c>
      <c r="E2217" t="s">
        <v>3637</v>
      </c>
      <c r="F2217" t="s">
        <v>3618</v>
      </c>
      <c r="G2217" s="1">
        <v>7819469.3200000003</v>
      </c>
    </row>
    <row r="2218" spans="1:7">
      <c r="A2218" t="s">
        <v>2313</v>
      </c>
      <c r="B2218" s="6">
        <v>45699</v>
      </c>
      <c r="C2218" s="6" t="str">
        <f>TEXT(Table3[[#This Row],[transaction_date]], "yyyy-mm")</f>
        <v>2025-02</v>
      </c>
      <c r="D2218" t="s">
        <v>77</v>
      </c>
      <c r="E2218" t="s">
        <v>3637</v>
      </c>
      <c r="F2218" t="s">
        <v>3622</v>
      </c>
      <c r="G2218" s="1">
        <v>3207818.86</v>
      </c>
    </row>
    <row r="2219" spans="1:7">
      <c r="A2219" t="s">
        <v>2314</v>
      </c>
      <c r="B2219" s="6">
        <v>45953</v>
      </c>
      <c r="C2219" s="6" t="str">
        <f>TEXT(Table3[[#This Row],[transaction_date]], "yyyy-mm")</f>
        <v>2025-10</v>
      </c>
      <c r="D2219" t="s">
        <v>80</v>
      </c>
      <c r="E2219" t="s">
        <v>3637</v>
      </c>
      <c r="F2219" t="s">
        <v>3615</v>
      </c>
      <c r="G2219" s="1">
        <v>335551.76</v>
      </c>
    </row>
    <row r="2220" spans="1:7">
      <c r="A2220" t="s">
        <v>2315</v>
      </c>
      <c r="B2220" s="6">
        <v>45972</v>
      </c>
      <c r="C2220" s="6" t="str">
        <f>TEXT(Table3[[#This Row],[transaction_date]], "yyyy-mm")</f>
        <v>2025-11</v>
      </c>
      <c r="D2220" t="s">
        <v>82</v>
      </c>
      <c r="E2220" t="s">
        <v>3637</v>
      </c>
      <c r="F2220" t="s">
        <v>3616</v>
      </c>
      <c r="G2220" s="1">
        <v>22515928.600000001</v>
      </c>
    </row>
    <row r="2221" spans="1:7">
      <c r="A2221" t="s">
        <v>2316</v>
      </c>
      <c r="B2221" s="6">
        <v>45736</v>
      </c>
      <c r="C2221" s="6" t="str">
        <f>TEXT(Table3[[#This Row],[transaction_date]], "yyyy-mm")</f>
        <v>2025-03</v>
      </c>
      <c r="D2221" t="s">
        <v>93</v>
      </c>
      <c r="E2221" t="s">
        <v>3636</v>
      </c>
      <c r="F2221" t="s">
        <v>3604</v>
      </c>
      <c r="G2221" s="1">
        <v>3954956.43</v>
      </c>
    </row>
    <row r="2222" spans="1:7">
      <c r="A2222" t="s">
        <v>2317</v>
      </c>
      <c r="B2222" s="6">
        <v>45971</v>
      </c>
      <c r="C2222" s="6" t="str">
        <f>TEXT(Table3[[#This Row],[transaction_date]], "yyyy-mm")</f>
        <v>2025-11</v>
      </c>
      <c r="D2222" t="s">
        <v>82</v>
      </c>
      <c r="E2222" t="s">
        <v>3636</v>
      </c>
      <c r="F2222" t="s">
        <v>3607</v>
      </c>
      <c r="G2222" s="1">
        <v>23059281.82</v>
      </c>
    </row>
    <row r="2223" spans="1:7">
      <c r="A2223" t="s">
        <v>2318</v>
      </c>
      <c r="B2223" s="6">
        <v>45771</v>
      </c>
      <c r="C2223" s="6" t="str">
        <f>TEXT(Table3[[#This Row],[transaction_date]], "yyyy-mm")</f>
        <v>2025-04</v>
      </c>
      <c r="D2223" t="s">
        <v>84</v>
      </c>
      <c r="E2223" t="s">
        <v>3637</v>
      </c>
      <c r="F2223" t="s">
        <v>3614</v>
      </c>
      <c r="G2223" s="1">
        <v>2953545.9</v>
      </c>
    </row>
    <row r="2224" spans="1:7">
      <c r="A2224" t="s">
        <v>2319</v>
      </c>
      <c r="B2224" s="6">
        <v>45892</v>
      </c>
      <c r="C2224" s="6" t="str">
        <f>TEXT(Table3[[#This Row],[transaction_date]], "yyyy-mm")</f>
        <v>2025-08</v>
      </c>
      <c r="D2224" t="s">
        <v>89</v>
      </c>
      <c r="E2224" t="s">
        <v>3636</v>
      </c>
      <c r="F2224" t="s">
        <v>3612</v>
      </c>
      <c r="G2224" s="1">
        <v>215651.04</v>
      </c>
    </row>
    <row r="2225" spans="1:7">
      <c r="A2225" t="s">
        <v>2320</v>
      </c>
      <c r="B2225" s="6">
        <v>45807</v>
      </c>
      <c r="C2225" s="6" t="str">
        <f>TEXT(Table3[[#This Row],[transaction_date]], "yyyy-mm")</f>
        <v>2025-05</v>
      </c>
      <c r="D2225" t="s">
        <v>77</v>
      </c>
      <c r="E2225" t="s">
        <v>3637</v>
      </c>
      <c r="F2225" t="s">
        <v>3619</v>
      </c>
      <c r="G2225" s="1">
        <v>12267111.49</v>
      </c>
    </row>
    <row r="2226" spans="1:7">
      <c r="A2226" t="s">
        <v>2321</v>
      </c>
      <c r="B2226" s="6">
        <v>45844</v>
      </c>
      <c r="C2226" s="6" t="str">
        <f>TEXT(Table3[[#This Row],[transaction_date]], "yyyy-mm")</f>
        <v>2025-07</v>
      </c>
      <c r="D2226" t="s">
        <v>3597</v>
      </c>
      <c r="E2226" t="s">
        <v>3637</v>
      </c>
      <c r="F2226" t="s">
        <v>3618</v>
      </c>
      <c r="G2226" s="1">
        <v>13769732.52</v>
      </c>
    </row>
    <row r="2227" spans="1:7">
      <c r="A2227" t="s">
        <v>2322</v>
      </c>
      <c r="B2227" s="6">
        <v>45815</v>
      </c>
      <c r="C2227" s="6" t="str">
        <f>TEXT(Table3[[#This Row],[transaction_date]], "yyyy-mm")</f>
        <v>2025-06</v>
      </c>
      <c r="D2227" t="s">
        <v>89</v>
      </c>
      <c r="E2227" t="s">
        <v>3636</v>
      </c>
      <c r="F2227" t="s">
        <v>3609</v>
      </c>
      <c r="G2227" s="1">
        <v>211179.86</v>
      </c>
    </row>
    <row r="2228" spans="1:7">
      <c r="A2228" t="s">
        <v>2323</v>
      </c>
      <c r="B2228" s="6">
        <v>45891</v>
      </c>
      <c r="C2228" s="6" t="str">
        <f>TEXT(Table3[[#This Row],[transaction_date]], "yyyy-mm")</f>
        <v>2025-08</v>
      </c>
      <c r="D2228" t="s">
        <v>77</v>
      </c>
      <c r="E2228" t="s">
        <v>3636</v>
      </c>
      <c r="F2228" t="s">
        <v>3608</v>
      </c>
      <c r="G2228" s="1">
        <v>19766571.25</v>
      </c>
    </row>
    <row r="2229" spans="1:7">
      <c r="A2229" t="s">
        <v>2324</v>
      </c>
      <c r="B2229" s="6">
        <v>45968</v>
      </c>
      <c r="C2229" s="6" t="str">
        <f>TEXT(Table3[[#This Row],[transaction_date]], "yyyy-mm")</f>
        <v>2025-11</v>
      </c>
      <c r="D2229" t="s">
        <v>84</v>
      </c>
      <c r="E2229" t="s">
        <v>3637</v>
      </c>
      <c r="F2229" t="s">
        <v>3614</v>
      </c>
      <c r="G2229" s="1">
        <v>10024622.199999999</v>
      </c>
    </row>
    <row r="2230" spans="1:7">
      <c r="A2230" t="s">
        <v>2325</v>
      </c>
      <c r="B2230" s="6">
        <v>45728</v>
      </c>
      <c r="C2230" s="6" t="str">
        <f>TEXT(Table3[[#This Row],[transaction_date]], "yyyy-mm")</f>
        <v>2025-03</v>
      </c>
      <c r="D2230" t="s">
        <v>79</v>
      </c>
      <c r="E2230" t="s">
        <v>3637</v>
      </c>
      <c r="F2230" t="s">
        <v>3619</v>
      </c>
      <c r="G2230" s="1">
        <v>1691793.23</v>
      </c>
    </row>
    <row r="2231" spans="1:7">
      <c r="A2231" t="s">
        <v>2326</v>
      </c>
      <c r="B2231" s="6">
        <v>45864</v>
      </c>
      <c r="C2231" s="6" t="str">
        <f>TEXT(Table3[[#This Row],[transaction_date]], "yyyy-mm")</f>
        <v>2025-07</v>
      </c>
      <c r="D2231" t="s">
        <v>89</v>
      </c>
      <c r="E2231" t="s">
        <v>3637</v>
      </c>
      <c r="F2231" t="s">
        <v>3620</v>
      </c>
      <c r="G2231" s="1">
        <v>5517.07</v>
      </c>
    </row>
    <row r="2232" spans="1:7">
      <c r="A2232" t="s">
        <v>2327</v>
      </c>
      <c r="B2232" s="6">
        <v>46011</v>
      </c>
      <c r="C2232" s="6" t="str">
        <f>TEXT(Table3[[#This Row],[transaction_date]], "yyyy-mm")</f>
        <v>2025-12</v>
      </c>
      <c r="D2232" t="s">
        <v>89</v>
      </c>
      <c r="E2232" t="s">
        <v>3637</v>
      </c>
      <c r="F2232" t="s">
        <v>3623</v>
      </c>
      <c r="G2232" s="1">
        <v>369438.6</v>
      </c>
    </row>
    <row r="2233" spans="1:7">
      <c r="A2233" t="s">
        <v>2328</v>
      </c>
      <c r="B2233" s="6">
        <v>45757</v>
      </c>
      <c r="C2233" s="6" t="str">
        <f>TEXT(Table3[[#This Row],[transaction_date]], "yyyy-mm")</f>
        <v>2025-04</v>
      </c>
      <c r="D2233" t="s">
        <v>95</v>
      </c>
      <c r="E2233" t="s">
        <v>3636</v>
      </c>
      <c r="F2233" t="s">
        <v>3610</v>
      </c>
      <c r="G2233" s="1">
        <v>643237.4</v>
      </c>
    </row>
    <row r="2234" spans="1:7">
      <c r="A2234" t="s">
        <v>2329</v>
      </c>
      <c r="B2234" s="6">
        <v>45666</v>
      </c>
      <c r="C2234" s="6" t="str">
        <f>TEXT(Table3[[#This Row],[transaction_date]], "yyyy-mm")</f>
        <v>2025-01</v>
      </c>
      <c r="D2234" t="s">
        <v>76</v>
      </c>
      <c r="E2234" t="s">
        <v>3636</v>
      </c>
      <c r="F2234" t="s">
        <v>3605</v>
      </c>
      <c r="G2234" s="1">
        <v>9430437.7100000009</v>
      </c>
    </row>
    <row r="2235" spans="1:7">
      <c r="A2235" t="s">
        <v>2330</v>
      </c>
      <c r="B2235" s="6">
        <v>45698</v>
      </c>
      <c r="C2235" s="6" t="str">
        <f>TEXT(Table3[[#This Row],[transaction_date]], "yyyy-mm")</f>
        <v>2025-02</v>
      </c>
      <c r="D2235" t="s">
        <v>73</v>
      </c>
      <c r="E2235" t="s">
        <v>3637</v>
      </c>
      <c r="F2235" t="s">
        <v>3623</v>
      </c>
      <c r="G2235" s="1">
        <v>5948394.2999999998</v>
      </c>
    </row>
    <row r="2236" spans="1:7">
      <c r="A2236" t="s">
        <v>2331</v>
      </c>
      <c r="B2236" s="6">
        <v>45943</v>
      </c>
      <c r="C2236" s="6" t="str">
        <f>TEXT(Table3[[#This Row],[transaction_date]], "yyyy-mm")</f>
        <v>2025-10</v>
      </c>
      <c r="D2236" t="s">
        <v>76</v>
      </c>
      <c r="E2236" t="s">
        <v>3637</v>
      </c>
      <c r="F2236" t="s">
        <v>3617</v>
      </c>
      <c r="G2236" s="1">
        <v>2913978.53</v>
      </c>
    </row>
    <row r="2237" spans="1:7">
      <c r="A2237" t="s">
        <v>2332</v>
      </c>
      <c r="B2237" s="6">
        <v>45999</v>
      </c>
      <c r="C2237" s="6" t="str">
        <f>TEXT(Table3[[#This Row],[transaction_date]], "yyyy-mm")</f>
        <v>2025-12</v>
      </c>
      <c r="D2237" t="s">
        <v>93</v>
      </c>
      <c r="E2237" t="s">
        <v>3637</v>
      </c>
      <c r="F2237" t="s">
        <v>3621</v>
      </c>
      <c r="G2237" s="1">
        <v>6926126.6399999997</v>
      </c>
    </row>
    <row r="2238" spans="1:7">
      <c r="A2238" t="s">
        <v>2333</v>
      </c>
      <c r="B2238" s="6">
        <v>45883</v>
      </c>
      <c r="C2238" s="6" t="str">
        <f>TEXT(Table3[[#This Row],[transaction_date]], "yyyy-mm")</f>
        <v>2025-08</v>
      </c>
      <c r="D2238" t="s">
        <v>84</v>
      </c>
      <c r="E2238" t="s">
        <v>3637</v>
      </c>
      <c r="F2238" t="s">
        <v>3619</v>
      </c>
      <c r="G2238" s="1">
        <v>11132324.939999999</v>
      </c>
    </row>
    <row r="2239" spans="1:7">
      <c r="A2239" t="s">
        <v>2334</v>
      </c>
      <c r="B2239" s="6">
        <v>45782</v>
      </c>
      <c r="C2239" s="6" t="str">
        <f>TEXT(Table3[[#This Row],[transaction_date]], "yyyy-mm")</f>
        <v>2025-05</v>
      </c>
      <c r="D2239" t="s">
        <v>76</v>
      </c>
      <c r="E2239" t="s">
        <v>3637</v>
      </c>
      <c r="F2239" t="s">
        <v>3620</v>
      </c>
      <c r="G2239" s="1">
        <v>5756007.6500000004</v>
      </c>
    </row>
    <row r="2240" spans="1:7">
      <c r="A2240" t="s">
        <v>2335</v>
      </c>
      <c r="B2240" s="6">
        <v>45689</v>
      </c>
      <c r="C2240" s="6" t="str">
        <f>TEXT(Table3[[#This Row],[transaction_date]], "yyyy-mm")</f>
        <v>2025-02</v>
      </c>
      <c r="D2240" t="s">
        <v>76</v>
      </c>
      <c r="E2240" t="s">
        <v>3636</v>
      </c>
      <c r="F2240" t="s">
        <v>3609</v>
      </c>
      <c r="G2240" s="1">
        <v>21896500.449999999</v>
      </c>
    </row>
    <row r="2241" spans="1:7">
      <c r="A2241" t="s">
        <v>2336</v>
      </c>
      <c r="B2241" s="6">
        <v>45896</v>
      </c>
      <c r="C2241" s="6" t="str">
        <f>TEXT(Table3[[#This Row],[transaction_date]], "yyyy-mm")</f>
        <v>2025-08</v>
      </c>
      <c r="D2241" t="s">
        <v>93</v>
      </c>
      <c r="E2241" t="s">
        <v>3636</v>
      </c>
      <c r="F2241" t="s">
        <v>3611</v>
      </c>
      <c r="G2241" s="1">
        <v>8222129.6399999997</v>
      </c>
    </row>
    <row r="2242" spans="1:7">
      <c r="A2242" t="s">
        <v>2337</v>
      </c>
      <c r="B2242" s="6">
        <v>45816</v>
      </c>
      <c r="C2242" s="6" t="str">
        <f>TEXT(Table3[[#This Row],[transaction_date]], "yyyy-mm")</f>
        <v>2025-06</v>
      </c>
      <c r="D2242" t="s">
        <v>75</v>
      </c>
      <c r="E2242" t="s">
        <v>3637</v>
      </c>
      <c r="F2242" t="s">
        <v>3617</v>
      </c>
      <c r="G2242" s="1">
        <v>11673575.65</v>
      </c>
    </row>
    <row r="2243" spans="1:7">
      <c r="A2243" t="s">
        <v>2338</v>
      </c>
      <c r="B2243" s="6">
        <v>45944</v>
      </c>
      <c r="C2243" s="6" t="str">
        <f>TEXT(Table3[[#This Row],[transaction_date]], "yyyy-mm")</f>
        <v>2025-10</v>
      </c>
      <c r="D2243" t="s">
        <v>80</v>
      </c>
      <c r="E2243" t="s">
        <v>3636</v>
      </c>
      <c r="F2243" t="s">
        <v>3605</v>
      </c>
      <c r="G2243" s="1">
        <v>2004545.49</v>
      </c>
    </row>
    <row r="2244" spans="1:7">
      <c r="A2244" t="s">
        <v>2339</v>
      </c>
      <c r="B2244" s="6">
        <v>45991</v>
      </c>
      <c r="C2244" s="6" t="str">
        <f>TEXT(Table3[[#This Row],[transaction_date]], "yyyy-mm")</f>
        <v>2025-11</v>
      </c>
      <c r="D2244" t="s">
        <v>80</v>
      </c>
      <c r="E2244" t="s">
        <v>3636</v>
      </c>
      <c r="F2244" t="s">
        <v>3607</v>
      </c>
      <c r="G2244" s="1">
        <v>351242.84</v>
      </c>
    </row>
    <row r="2245" spans="1:7">
      <c r="A2245" t="s">
        <v>2340</v>
      </c>
      <c r="B2245" s="6">
        <v>46016</v>
      </c>
      <c r="C2245" s="6" t="str">
        <f>TEXT(Table3[[#This Row],[transaction_date]], "yyyy-mm")</f>
        <v>2025-12</v>
      </c>
      <c r="D2245" t="s">
        <v>95</v>
      </c>
      <c r="E2245" t="s">
        <v>3637</v>
      </c>
      <c r="F2245" t="s">
        <v>3623</v>
      </c>
      <c r="G2245" s="1">
        <v>3504984.08</v>
      </c>
    </row>
    <row r="2246" spans="1:7">
      <c r="A2246" t="s">
        <v>2341</v>
      </c>
      <c r="B2246" s="6">
        <v>45829</v>
      </c>
      <c r="C2246" s="6" t="str">
        <f>TEXT(Table3[[#This Row],[transaction_date]], "yyyy-mm")</f>
        <v>2025-06</v>
      </c>
      <c r="D2246" t="s">
        <v>3597</v>
      </c>
      <c r="E2246" t="s">
        <v>3636</v>
      </c>
      <c r="F2246" t="s">
        <v>3604</v>
      </c>
      <c r="G2246" s="1">
        <v>990502.09</v>
      </c>
    </row>
    <row r="2247" spans="1:7">
      <c r="A2247" t="s">
        <v>2342</v>
      </c>
      <c r="B2247" s="6">
        <v>45882</v>
      </c>
      <c r="C2247" s="6" t="str">
        <f>TEXT(Table3[[#This Row],[transaction_date]], "yyyy-mm")</f>
        <v>2025-08</v>
      </c>
      <c r="D2247" t="s">
        <v>90</v>
      </c>
      <c r="E2247" t="s">
        <v>3636</v>
      </c>
      <c r="F2247" t="s">
        <v>3607</v>
      </c>
      <c r="G2247" s="1">
        <v>1562100.54</v>
      </c>
    </row>
    <row r="2248" spans="1:7">
      <c r="A2248" t="s">
        <v>2343</v>
      </c>
      <c r="B2248" s="6">
        <v>45679</v>
      </c>
      <c r="C2248" s="6" t="str">
        <f>TEXT(Table3[[#This Row],[transaction_date]], "yyyy-mm")</f>
        <v>2025-01</v>
      </c>
      <c r="D2248" t="s">
        <v>89</v>
      </c>
      <c r="E2248" t="s">
        <v>3637</v>
      </c>
      <c r="F2248" t="s">
        <v>3623</v>
      </c>
      <c r="G2248" s="1">
        <v>802144.11</v>
      </c>
    </row>
    <row r="2249" spans="1:7">
      <c r="A2249" t="s">
        <v>2344</v>
      </c>
      <c r="B2249" s="6">
        <v>45897</v>
      </c>
      <c r="C2249" s="6" t="str">
        <f>TEXT(Table3[[#This Row],[transaction_date]], "yyyy-mm")</f>
        <v>2025-08</v>
      </c>
      <c r="D2249" t="s">
        <v>77</v>
      </c>
      <c r="E2249" t="s">
        <v>3637</v>
      </c>
      <c r="F2249" t="s">
        <v>3617</v>
      </c>
      <c r="G2249" s="1">
        <v>1668796</v>
      </c>
    </row>
    <row r="2250" spans="1:7">
      <c r="A2250" t="s">
        <v>2345</v>
      </c>
      <c r="B2250" s="6">
        <v>46005</v>
      </c>
      <c r="C2250" s="6" t="str">
        <f>TEXT(Table3[[#This Row],[transaction_date]], "yyyy-mm")</f>
        <v>2025-12</v>
      </c>
      <c r="D2250" t="s">
        <v>89</v>
      </c>
      <c r="E2250" t="s">
        <v>3636</v>
      </c>
      <c r="F2250" t="s">
        <v>3609</v>
      </c>
      <c r="G2250" s="1">
        <v>818102.04</v>
      </c>
    </row>
    <row r="2251" spans="1:7">
      <c r="A2251" t="s">
        <v>2346</v>
      </c>
      <c r="B2251" s="6">
        <v>45951</v>
      </c>
      <c r="C2251" s="6" t="str">
        <f>TEXT(Table3[[#This Row],[transaction_date]], "yyyy-mm")</f>
        <v>2025-10</v>
      </c>
      <c r="D2251" t="s">
        <v>93</v>
      </c>
      <c r="E2251" t="s">
        <v>3636</v>
      </c>
      <c r="F2251" t="s">
        <v>3604</v>
      </c>
      <c r="G2251" s="1">
        <v>1923495</v>
      </c>
    </row>
    <row r="2252" spans="1:7">
      <c r="A2252" t="s">
        <v>2347</v>
      </c>
      <c r="B2252" s="6">
        <v>45809</v>
      </c>
      <c r="C2252" s="6" t="str">
        <f>TEXT(Table3[[#This Row],[transaction_date]], "yyyy-mm")</f>
        <v>2025-06</v>
      </c>
      <c r="D2252" t="s">
        <v>85</v>
      </c>
      <c r="E2252" t="s">
        <v>3636</v>
      </c>
      <c r="F2252" t="s">
        <v>3611</v>
      </c>
      <c r="G2252" s="1">
        <v>112907.35</v>
      </c>
    </row>
    <row r="2253" spans="1:7">
      <c r="A2253" t="s">
        <v>2348</v>
      </c>
      <c r="B2253" s="6">
        <v>45755</v>
      </c>
      <c r="C2253" s="6" t="str">
        <f>TEXT(Table3[[#This Row],[transaction_date]], "yyyy-mm")</f>
        <v>2025-04</v>
      </c>
      <c r="D2253" t="s">
        <v>85</v>
      </c>
      <c r="E2253" t="s">
        <v>3636</v>
      </c>
      <c r="F2253" t="s">
        <v>3604</v>
      </c>
      <c r="G2253" s="1">
        <v>1717060.86</v>
      </c>
    </row>
    <row r="2254" spans="1:7">
      <c r="A2254" t="s">
        <v>2349</v>
      </c>
      <c r="B2254" s="6">
        <v>45907</v>
      </c>
      <c r="C2254" s="6" t="str">
        <f>TEXT(Table3[[#This Row],[transaction_date]], "yyyy-mm")</f>
        <v>2025-09</v>
      </c>
      <c r="D2254" t="s">
        <v>73</v>
      </c>
      <c r="E2254" t="s">
        <v>3636</v>
      </c>
      <c r="F2254" t="s">
        <v>3611</v>
      </c>
      <c r="G2254" s="1">
        <v>6781569.1699999999</v>
      </c>
    </row>
    <row r="2255" spans="1:7">
      <c r="A2255" t="s">
        <v>2350</v>
      </c>
      <c r="B2255" s="6">
        <v>45996</v>
      </c>
      <c r="C2255" s="6" t="str">
        <f>TEXT(Table3[[#This Row],[transaction_date]], "yyyy-mm")</f>
        <v>2025-12</v>
      </c>
      <c r="D2255" t="s">
        <v>73</v>
      </c>
      <c r="E2255" t="s">
        <v>3636</v>
      </c>
      <c r="F2255" t="s">
        <v>3613</v>
      </c>
      <c r="G2255" s="1">
        <v>2471732.67</v>
      </c>
    </row>
    <row r="2256" spans="1:7">
      <c r="A2256" t="s">
        <v>2351</v>
      </c>
      <c r="B2256" s="6">
        <v>45930</v>
      </c>
      <c r="C2256" s="6" t="str">
        <f>TEXT(Table3[[#This Row],[transaction_date]], "yyyy-mm")</f>
        <v>2025-09</v>
      </c>
      <c r="D2256" t="s">
        <v>79</v>
      </c>
      <c r="E2256" t="s">
        <v>3636</v>
      </c>
      <c r="F2256" t="s">
        <v>3607</v>
      </c>
      <c r="G2256" s="1">
        <v>1243927.0900000001</v>
      </c>
    </row>
    <row r="2257" spans="1:7">
      <c r="A2257" t="s">
        <v>2352</v>
      </c>
      <c r="B2257" s="6">
        <v>45993</v>
      </c>
      <c r="C2257" s="6" t="str">
        <f>TEXT(Table3[[#This Row],[transaction_date]], "yyyy-mm")</f>
        <v>2025-12</v>
      </c>
      <c r="D2257" t="s">
        <v>73</v>
      </c>
      <c r="E2257" t="s">
        <v>3636</v>
      </c>
      <c r="F2257" t="s">
        <v>3611</v>
      </c>
      <c r="G2257" s="1">
        <v>82129.440000000002</v>
      </c>
    </row>
    <row r="2258" spans="1:7">
      <c r="A2258" t="s">
        <v>2353</v>
      </c>
      <c r="B2258" s="6">
        <v>45889</v>
      </c>
      <c r="C2258" s="6" t="str">
        <f>TEXT(Table3[[#This Row],[transaction_date]], "yyyy-mm")</f>
        <v>2025-08</v>
      </c>
      <c r="D2258" t="s">
        <v>80</v>
      </c>
      <c r="E2258" t="s">
        <v>3636</v>
      </c>
      <c r="F2258" t="s">
        <v>3607</v>
      </c>
      <c r="G2258" s="1">
        <v>2451558.09</v>
      </c>
    </row>
    <row r="2259" spans="1:7">
      <c r="A2259" t="s">
        <v>2354</v>
      </c>
      <c r="B2259" s="6">
        <v>45716</v>
      </c>
      <c r="C2259" s="6" t="str">
        <f>TEXT(Table3[[#This Row],[transaction_date]], "yyyy-mm")</f>
        <v>2025-02</v>
      </c>
      <c r="D2259" t="s">
        <v>85</v>
      </c>
      <c r="E2259" t="s">
        <v>3637</v>
      </c>
      <c r="F2259" t="s">
        <v>3623</v>
      </c>
      <c r="G2259" s="1">
        <v>779898.86</v>
      </c>
    </row>
    <row r="2260" spans="1:7">
      <c r="A2260" t="s">
        <v>2355</v>
      </c>
      <c r="B2260" s="6">
        <v>45872</v>
      </c>
      <c r="C2260" s="6" t="str">
        <f>TEXT(Table3[[#This Row],[transaction_date]], "yyyy-mm")</f>
        <v>2025-08</v>
      </c>
      <c r="D2260" t="s">
        <v>84</v>
      </c>
      <c r="E2260" t="s">
        <v>3636</v>
      </c>
      <c r="F2260" t="s">
        <v>3610</v>
      </c>
      <c r="G2260" s="1">
        <v>11016440.74</v>
      </c>
    </row>
    <row r="2261" spans="1:7">
      <c r="A2261" t="s">
        <v>2356</v>
      </c>
      <c r="B2261" s="6">
        <v>45824</v>
      </c>
      <c r="C2261" s="6" t="str">
        <f>TEXT(Table3[[#This Row],[transaction_date]], "yyyy-mm")</f>
        <v>2025-06</v>
      </c>
      <c r="D2261" t="s">
        <v>77</v>
      </c>
      <c r="E2261" t="s">
        <v>3636</v>
      </c>
      <c r="F2261" t="s">
        <v>3609</v>
      </c>
      <c r="G2261" s="1">
        <v>28214.74</v>
      </c>
    </row>
    <row r="2262" spans="1:7">
      <c r="A2262" t="s">
        <v>2357</v>
      </c>
      <c r="B2262" s="6">
        <v>45793</v>
      </c>
      <c r="C2262" s="6" t="str">
        <f>TEXT(Table3[[#This Row],[transaction_date]], "yyyy-mm")</f>
        <v>2025-05</v>
      </c>
      <c r="D2262" t="s">
        <v>84</v>
      </c>
      <c r="E2262" t="s">
        <v>3636</v>
      </c>
      <c r="F2262" t="s">
        <v>3610</v>
      </c>
      <c r="G2262" s="1">
        <v>19989510.449999999</v>
      </c>
    </row>
    <row r="2263" spans="1:7">
      <c r="A2263" t="s">
        <v>2358</v>
      </c>
      <c r="B2263" s="6">
        <v>45966</v>
      </c>
      <c r="C2263" s="6" t="str">
        <f>TEXT(Table3[[#This Row],[transaction_date]], "yyyy-mm")</f>
        <v>2025-11</v>
      </c>
      <c r="D2263" t="s">
        <v>80</v>
      </c>
      <c r="E2263" t="s">
        <v>3637</v>
      </c>
      <c r="F2263" t="s">
        <v>3620</v>
      </c>
      <c r="G2263" s="1">
        <v>3476209.27</v>
      </c>
    </row>
    <row r="2264" spans="1:7">
      <c r="A2264" t="s">
        <v>2359</v>
      </c>
      <c r="B2264" s="6">
        <v>45809</v>
      </c>
      <c r="C2264" s="6" t="str">
        <f>TEXT(Table3[[#This Row],[transaction_date]], "yyyy-mm")</f>
        <v>2025-06</v>
      </c>
      <c r="D2264" t="s">
        <v>73</v>
      </c>
      <c r="E2264" t="s">
        <v>3637</v>
      </c>
      <c r="F2264" t="s">
        <v>3623</v>
      </c>
      <c r="G2264" s="1">
        <v>77811.929999999993</v>
      </c>
    </row>
    <row r="2265" spans="1:7">
      <c r="A2265" t="s">
        <v>2360</v>
      </c>
      <c r="B2265" s="6">
        <v>45814</v>
      </c>
      <c r="C2265" s="6" t="str">
        <f>TEXT(Table3[[#This Row],[transaction_date]], "yyyy-mm")</f>
        <v>2025-06</v>
      </c>
      <c r="D2265" t="s">
        <v>75</v>
      </c>
      <c r="E2265" t="s">
        <v>3637</v>
      </c>
      <c r="F2265" t="s">
        <v>3617</v>
      </c>
      <c r="G2265" s="1">
        <v>11203589.109999999</v>
      </c>
    </row>
    <row r="2266" spans="1:7">
      <c r="A2266" t="s">
        <v>2361</v>
      </c>
      <c r="B2266" s="6">
        <v>45759</v>
      </c>
      <c r="C2266" s="6" t="str">
        <f>TEXT(Table3[[#This Row],[transaction_date]], "yyyy-mm")</f>
        <v>2025-04</v>
      </c>
      <c r="D2266" t="s">
        <v>77</v>
      </c>
      <c r="E2266" t="s">
        <v>3637</v>
      </c>
      <c r="F2266" t="s">
        <v>3617</v>
      </c>
      <c r="G2266" s="1">
        <v>7415197.0700000003</v>
      </c>
    </row>
    <row r="2267" spans="1:7">
      <c r="A2267" t="s">
        <v>2362</v>
      </c>
      <c r="B2267" s="6">
        <v>45801</v>
      </c>
      <c r="C2267" s="6" t="str">
        <f>TEXT(Table3[[#This Row],[transaction_date]], "yyyy-mm")</f>
        <v>2025-05</v>
      </c>
      <c r="D2267" t="s">
        <v>90</v>
      </c>
      <c r="E2267" t="s">
        <v>3637</v>
      </c>
      <c r="F2267" t="s">
        <v>3619</v>
      </c>
      <c r="G2267" s="1">
        <v>4427606.43</v>
      </c>
    </row>
    <row r="2268" spans="1:7">
      <c r="A2268" t="s">
        <v>2363</v>
      </c>
      <c r="B2268" s="6">
        <v>45894</v>
      </c>
      <c r="C2268" s="6" t="str">
        <f>TEXT(Table3[[#This Row],[transaction_date]], "yyyy-mm")</f>
        <v>2025-08</v>
      </c>
      <c r="D2268" t="s">
        <v>3597</v>
      </c>
      <c r="E2268" t="s">
        <v>3637</v>
      </c>
      <c r="F2268" t="s">
        <v>3618</v>
      </c>
      <c r="G2268" s="1">
        <v>13549654.699999999</v>
      </c>
    </row>
    <row r="2269" spans="1:7">
      <c r="A2269" t="s">
        <v>2364</v>
      </c>
      <c r="B2269" s="6">
        <v>45925</v>
      </c>
      <c r="C2269" s="6" t="str">
        <f>TEXT(Table3[[#This Row],[transaction_date]], "yyyy-mm")</f>
        <v>2025-09</v>
      </c>
      <c r="D2269" t="s">
        <v>85</v>
      </c>
      <c r="E2269" t="s">
        <v>3637</v>
      </c>
      <c r="F2269" t="s">
        <v>3614</v>
      </c>
      <c r="G2269" s="1">
        <v>1971545.55</v>
      </c>
    </row>
    <row r="2270" spans="1:7">
      <c r="A2270" t="s">
        <v>2365</v>
      </c>
      <c r="B2270" s="6">
        <v>45693</v>
      </c>
      <c r="C2270" s="6" t="str">
        <f>TEXT(Table3[[#This Row],[transaction_date]], "yyyy-mm")</f>
        <v>2025-02</v>
      </c>
      <c r="D2270" t="s">
        <v>80</v>
      </c>
      <c r="E2270" t="s">
        <v>3636</v>
      </c>
      <c r="F2270" t="s">
        <v>3607</v>
      </c>
      <c r="G2270" s="1">
        <v>179726.02</v>
      </c>
    </row>
    <row r="2271" spans="1:7">
      <c r="A2271" t="s">
        <v>2366</v>
      </c>
      <c r="B2271" s="6">
        <v>45976</v>
      </c>
      <c r="C2271" s="6" t="str">
        <f>TEXT(Table3[[#This Row],[transaction_date]], "yyyy-mm")</f>
        <v>2025-11</v>
      </c>
      <c r="D2271" t="s">
        <v>82</v>
      </c>
      <c r="E2271" t="s">
        <v>3637</v>
      </c>
      <c r="F2271" t="s">
        <v>3620</v>
      </c>
      <c r="G2271" s="1">
        <v>5919602.7699999996</v>
      </c>
    </row>
    <row r="2272" spans="1:7">
      <c r="A2272" t="s">
        <v>2367</v>
      </c>
      <c r="B2272" s="6">
        <v>45889</v>
      </c>
      <c r="C2272" s="6" t="str">
        <f>TEXT(Table3[[#This Row],[transaction_date]], "yyyy-mm")</f>
        <v>2025-08</v>
      </c>
      <c r="D2272" t="s">
        <v>93</v>
      </c>
      <c r="E2272" t="s">
        <v>3636</v>
      </c>
      <c r="F2272" t="s">
        <v>3607</v>
      </c>
      <c r="G2272" s="1">
        <v>11972994.33</v>
      </c>
    </row>
    <row r="2273" spans="1:7">
      <c r="A2273" t="s">
        <v>2368</v>
      </c>
      <c r="B2273" s="6">
        <v>45831</v>
      </c>
      <c r="C2273" s="6" t="str">
        <f>TEXT(Table3[[#This Row],[transaction_date]], "yyyy-mm")</f>
        <v>2025-06</v>
      </c>
      <c r="D2273" t="s">
        <v>93</v>
      </c>
      <c r="E2273" t="s">
        <v>3636</v>
      </c>
      <c r="F2273" t="s">
        <v>3604</v>
      </c>
      <c r="G2273" s="1">
        <v>1011776.07</v>
      </c>
    </row>
    <row r="2274" spans="1:7">
      <c r="A2274" t="s">
        <v>2369</v>
      </c>
      <c r="B2274" s="6">
        <v>45950</v>
      </c>
      <c r="C2274" s="6" t="str">
        <f>TEXT(Table3[[#This Row],[transaction_date]], "yyyy-mm")</f>
        <v>2025-10</v>
      </c>
      <c r="D2274" t="s">
        <v>82</v>
      </c>
      <c r="E2274" t="s">
        <v>3637</v>
      </c>
      <c r="F2274" t="s">
        <v>3623</v>
      </c>
      <c r="G2274" s="1">
        <v>9371064.3800000008</v>
      </c>
    </row>
    <row r="2275" spans="1:7">
      <c r="A2275" t="s">
        <v>2370</v>
      </c>
      <c r="B2275" s="6">
        <v>45927</v>
      </c>
      <c r="C2275" s="6" t="str">
        <f>TEXT(Table3[[#This Row],[transaction_date]], "yyyy-mm")</f>
        <v>2025-09</v>
      </c>
      <c r="D2275" t="s">
        <v>84</v>
      </c>
      <c r="E2275" t="s">
        <v>3636</v>
      </c>
      <c r="F2275" t="s">
        <v>3608</v>
      </c>
      <c r="G2275" s="1">
        <v>13693220.01</v>
      </c>
    </row>
    <row r="2276" spans="1:7">
      <c r="A2276" t="s">
        <v>2371</v>
      </c>
      <c r="B2276" s="6">
        <v>45948</v>
      </c>
      <c r="C2276" s="6" t="str">
        <f>TEXT(Table3[[#This Row],[transaction_date]], "yyyy-mm")</f>
        <v>2025-10</v>
      </c>
      <c r="D2276" t="s">
        <v>93</v>
      </c>
      <c r="E2276" t="s">
        <v>3637</v>
      </c>
      <c r="F2276" t="s">
        <v>3614</v>
      </c>
      <c r="G2276" s="1">
        <v>1205023.6599999999</v>
      </c>
    </row>
    <row r="2277" spans="1:7">
      <c r="A2277" t="s">
        <v>2372</v>
      </c>
      <c r="B2277" s="6">
        <v>45834</v>
      </c>
      <c r="C2277" s="6" t="str">
        <f>TEXT(Table3[[#This Row],[transaction_date]], "yyyy-mm")</f>
        <v>2025-06</v>
      </c>
      <c r="D2277" t="s">
        <v>73</v>
      </c>
      <c r="E2277" t="s">
        <v>3637</v>
      </c>
      <c r="F2277" t="s">
        <v>3622</v>
      </c>
      <c r="G2277" s="1">
        <v>257478.37</v>
      </c>
    </row>
    <row r="2278" spans="1:7">
      <c r="A2278" t="s">
        <v>2373</v>
      </c>
      <c r="B2278" s="6">
        <v>45967</v>
      </c>
      <c r="C2278" s="6" t="str">
        <f>TEXT(Table3[[#This Row],[transaction_date]], "yyyy-mm")</f>
        <v>2025-11</v>
      </c>
      <c r="D2278" t="s">
        <v>78</v>
      </c>
      <c r="E2278" t="s">
        <v>3637</v>
      </c>
      <c r="F2278" t="s">
        <v>3622</v>
      </c>
      <c r="G2278" s="1">
        <v>1806119.03</v>
      </c>
    </row>
    <row r="2279" spans="1:7">
      <c r="A2279" t="s">
        <v>2374</v>
      </c>
      <c r="B2279" s="6">
        <v>45721</v>
      </c>
      <c r="C2279" s="6" t="str">
        <f>TEXT(Table3[[#This Row],[transaction_date]], "yyyy-mm")</f>
        <v>2025-03</v>
      </c>
      <c r="D2279" t="s">
        <v>78</v>
      </c>
      <c r="E2279" t="s">
        <v>3637</v>
      </c>
      <c r="F2279" t="s">
        <v>3620</v>
      </c>
      <c r="G2279" s="1">
        <v>467201.93</v>
      </c>
    </row>
    <row r="2280" spans="1:7">
      <c r="A2280" t="s">
        <v>2375</v>
      </c>
      <c r="B2280" s="6">
        <v>45876</v>
      </c>
      <c r="C2280" s="6" t="str">
        <f>TEXT(Table3[[#This Row],[transaction_date]], "yyyy-mm")</f>
        <v>2025-08</v>
      </c>
      <c r="D2280" t="s">
        <v>73</v>
      </c>
      <c r="E2280" t="s">
        <v>3637</v>
      </c>
      <c r="F2280" t="s">
        <v>3614</v>
      </c>
      <c r="G2280" s="1">
        <v>7629296.6600000001</v>
      </c>
    </row>
    <row r="2281" spans="1:7">
      <c r="A2281" t="s">
        <v>2376</v>
      </c>
      <c r="B2281" s="6">
        <v>46021</v>
      </c>
      <c r="C2281" s="6" t="str">
        <f>TEXT(Table3[[#This Row],[transaction_date]], "yyyy-mm")</f>
        <v>2025-12</v>
      </c>
      <c r="D2281" t="s">
        <v>84</v>
      </c>
      <c r="E2281" t="s">
        <v>3637</v>
      </c>
      <c r="F2281" t="s">
        <v>3614</v>
      </c>
      <c r="G2281" s="1">
        <v>18818691.260000002</v>
      </c>
    </row>
    <row r="2282" spans="1:7">
      <c r="A2282" t="s">
        <v>2377</v>
      </c>
      <c r="B2282" s="6">
        <v>45961</v>
      </c>
      <c r="C2282" s="6" t="str">
        <f>TEXT(Table3[[#This Row],[transaction_date]], "yyyy-mm")</f>
        <v>2025-10</v>
      </c>
      <c r="D2282" t="s">
        <v>85</v>
      </c>
      <c r="E2282" t="s">
        <v>3637</v>
      </c>
      <c r="F2282" t="s">
        <v>3619</v>
      </c>
      <c r="G2282" s="1">
        <v>1636486.75</v>
      </c>
    </row>
    <row r="2283" spans="1:7">
      <c r="A2283" t="s">
        <v>2378</v>
      </c>
      <c r="B2283" s="6">
        <v>45985</v>
      </c>
      <c r="C2283" s="6" t="str">
        <f>TEXT(Table3[[#This Row],[transaction_date]], "yyyy-mm")</f>
        <v>2025-11</v>
      </c>
      <c r="D2283" t="s">
        <v>89</v>
      </c>
      <c r="E2283" t="s">
        <v>3636</v>
      </c>
      <c r="F2283" t="s">
        <v>3610</v>
      </c>
      <c r="G2283" s="1">
        <v>2290676.56</v>
      </c>
    </row>
    <row r="2284" spans="1:7">
      <c r="A2284" t="s">
        <v>2379</v>
      </c>
      <c r="B2284" s="6">
        <v>45710</v>
      </c>
      <c r="C2284" s="6" t="str">
        <f>TEXT(Table3[[#This Row],[transaction_date]], "yyyy-mm")</f>
        <v>2025-02</v>
      </c>
      <c r="D2284" t="s">
        <v>75</v>
      </c>
      <c r="E2284" t="s">
        <v>3637</v>
      </c>
      <c r="F2284" t="s">
        <v>3614</v>
      </c>
      <c r="G2284" s="1">
        <v>14690899.890000001</v>
      </c>
    </row>
    <row r="2285" spans="1:7">
      <c r="A2285" t="s">
        <v>2380</v>
      </c>
      <c r="B2285" s="6">
        <v>45770</v>
      </c>
      <c r="C2285" s="6" t="str">
        <f>TEXT(Table3[[#This Row],[transaction_date]], "yyyy-mm")</f>
        <v>2025-04</v>
      </c>
      <c r="D2285" t="s">
        <v>85</v>
      </c>
      <c r="E2285" t="s">
        <v>3636</v>
      </c>
      <c r="F2285" t="s">
        <v>3606</v>
      </c>
      <c r="G2285" s="1">
        <v>1210346.3999999999</v>
      </c>
    </row>
    <row r="2286" spans="1:7">
      <c r="A2286" t="s">
        <v>2381</v>
      </c>
      <c r="B2286" s="6">
        <v>45871</v>
      </c>
      <c r="C2286" s="6" t="str">
        <f>TEXT(Table3[[#This Row],[transaction_date]], "yyyy-mm")</f>
        <v>2025-08</v>
      </c>
      <c r="D2286" t="s">
        <v>80</v>
      </c>
      <c r="E2286" t="s">
        <v>3636</v>
      </c>
      <c r="F2286" t="s">
        <v>3605</v>
      </c>
      <c r="G2286" s="1">
        <v>2079944.83</v>
      </c>
    </row>
    <row r="2287" spans="1:7">
      <c r="A2287" t="s">
        <v>2382</v>
      </c>
      <c r="B2287" s="6">
        <v>45885</v>
      </c>
      <c r="C2287" s="6" t="str">
        <f>TEXT(Table3[[#This Row],[transaction_date]], "yyyy-mm")</f>
        <v>2025-08</v>
      </c>
      <c r="D2287" t="s">
        <v>3597</v>
      </c>
      <c r="E2287" t="s">
        <v>3636</v>
      </c>
      <c r="F2287" t="s">
        <v>3613</v>
      </c>
      <c r="G2287" s="1">
        <v>15025113.67</v>
      </c>
    </row>
    <row r="2288" spans="1:7">
      <c r="A2288" t="s">
        <v>2383</v>
      </c>
      <c r="B2288" s="6">
        <v>45803</v>
      </c>
      <c r="C2288" s="6" t="str">
        <f>TEXT(Table3[[#This Row],[transaction_date]], "yyyy-mm")</f>
        <v>2025-05</v>
      </c>
      <c r="D2288" t="s">
        <v>90</v>
      </c>
      <c r="E2288" t="s">
        <v>3636</v>
      </c>
      <c r="F2288" t="s">
        <v>3604</v>
      </c>
      <c r="G2288" s="1">
        <v>3523910.63</v>
      </c>
    </row>
    <row r="2289" spans="1:7">
      <c r="A2289" t="s">
        <v>2384</v>
      </c>
      <c r="B2289" s="6">
        <v>45816</v>
      </c>
      <c r="C2289" s="6" t="str">
        <f>TEXT(Table3[[#This Row],[transaction_date]], "yyyy-mm")</f>
        <v>2025-06</v>
      </c>
      <c r="D2289" t="s">
        <v>73</v>
      </c>
      <c r="E2289" t="s">
        <v>3636</v>
      </c>
      <c r="F2289" t="s">
        <v>3605</v>
      </c>
      <c r="G2289" s="1">
        <v>882417.17</v>
      </c>
    </row>
    <row r="2290" spans="1:7">
      <c r="A2290" t="s">
        <v>2385</v>
      </c>
      <c r="B2290" s="6">
        <v>45869</v>
      </c>
      <c r="C2290" s="6" t="str">
        <f>TEXT(Table3[[#This Row],[transaction_date]], "yyyy-mm")</f>
        <v>2025-07</v>
      </c>
      <c r="D2290" t="s">
        <v>77</v>
      </c>
      <c r="E2290" t="s">
        <v>3636</v>
      </c>
      <c r="F2290" t="s">
        <v>3613</v>
      </c>
      <c r="G2290" s="1">
        <v>16034924.43</v>
      </c>
    </row>
    <row r="2291" spans="1:7">
      <c r="A2291" t="s">
        <v>2386</v>
      </c>
      <c r="B2291" s="6">
        <v>45739</v>
      </c>
      <c r="C2291" s="6" t="str">
        <f>TEXT(Table3[[#This Row],[transaction_date]], "yyyy-mm")</f>
        <v>2025-03</v>
      </c>
      <c r="D2291" t="s">
        <v>80</v>
      </c>
      <c r="E2291" t="s">
        <v>3636</v>
      </c>
      <c r="F2291" t="s">
        <v>3605</v>
      </c>
      <c r="G2291" s="1">
        <v>745711.73</v>
      </c>
    </row>
    <row r="2292" spans="1:7">
      <c r="A2292" t="s">
        <v>2387</v>
      </c>
      <c r="B2292" s="6">
        <v>46021</v>
      </c>
      <c r="C2292" s="6" t="str">
        <f>TEXT(Table3[[#This Row],[transaction_date]], "yyyy-mm")</f>
        <v>2025-12</v>
      </c>
      <c r="D2292" t="s">
        <v>82</v>
      </c>
      <c r="E2292" t="s">
        <v>3636</v>
      </c>
      <c r="F2292" t="s">
        <v>3605</v>
      </c>
      <c r="G2292" s="1">
        <v>472262.64</v>
      </c>
    </row>
    <row r="2293" spans="1:7">
      <c r="A2293" t="s">
        <v>2388</v>
      </c>
      <c r="B2293" s="6">
        <v>45965</v>
      </c>
      <c r="C2293" s="6" t="str">
        <f>TEXT(Table3[[#This Row],[transaction_date]], "yyyy-mm")</f>
        <v>2025-11</v>
      </c>
      <c r="D2293" t="s">
        <v>74</v>
      </c>
      <c r="E2293" t="s">
        <v>3636</v>
      </c>
      <c r="F2293" t="s">
        <v>3613</v>
      </c>
      <c r="G2293" s="1">
        <v>270437.36</v>
      </c>
    </row>
    <row r="2294" spans="1:7">
      <c r="A2294" t="s">
        <v>2389</v>
      </c>
      <c r="B2294" s="6">
        <v>45728</v>
      </c>
      <c r="C2294" s="6" t="str">
        <f>TEXT(Table3[[#This Row],[transaction_date]], "yyyy-mm")</f>
        <v>2025-03</v>
      </c>
      <c r="D2294" t="s">
        <v>80</v>
      </c>
      <c r="E2294" t="s">
        <v>3637</v>
      </c>
      <c r="F2294" t="s">
        <v>3620</v>
      </c>
      <c r="G2294" s="1">
        <v>3121211.66</v>
      </c>
    </row>
    <row r="2295" spans="1:7">
      <c r="A2295" t="s">
        <v>2390</v>
      </c>
      <c r="B2295" s="6">
        <v>45873</v>
      </c>
      <c r="C2295" s="6" t="str">
        <f>TEXT(Table3[[#This Row],[transaction_date]], "yyyy-mm")</f>
        <v>2025-08</v>
      </c>
      <c r="D2295" t="s">
        <v>73</v>
      </c>
      <c r="E2295" t="s">
        <v>3636</v>
      </c>
      <c r="F2295" t="s">
        <v>3605</v>
      </c>
      <c r="G2295" s="1">
        <v>1348381.05</v>
      </c>
    </row>
    <row r="2296" spans="1:7">
      <c r="A2296" t="s">
        <v>2391</v>
      </c>
      <c r="B2296" s="6">
        <v>45900</v>
      </c>
      <c r="C2296" s="6" t="str">
        <f>TEXT(Table3[[#This Row],[transaction_date]], "yyyy-mm")</f>
        <v>2025-08</v>
      </c>
      <c r="D2296" t="s">
        <v>90</v>
      </c>
      <c r="E2296" t="s">
        <v>3637</v>
      </c>
      <c r="F2296" t="s">
        <v>3623</v>
      </c>
      <c r="G2296" s="1">
        <v>22301715.59</v>
      </c>
    </row>
    <row r="2297" spans="1:7">
      <c r="A2297" t="s">
        <v>2392</v>
      </c>
      <c r="B2297" s="6">
        <v>45773</v>
      </c>
      <c r="C2297" s="6" t="str">
        <f>TEXT(Table3[[#This Row],[transaction_date]], "yyyy-mm")</f>
        <v>2025-04</v>
      </c>
      <c r="D2297" t="s">
        <v>82</v>
      </c>
      <c r="E2297" t="s">
        <v>3636</v>
      </c>
      <c r="F2297" t="s">
        <v>3605</v>
      </c>
      <c r="G2297" s="1">
        <v>2416592.98</v>
      </c>
    </row>
    <row r="2298" spans="1:7">
      <c r="A2298" t="s">
        <v>2393</v>
      </c>
      <c r="B2298" s="6">
        <v>45803</v>
      </c>
      <c r="C2298" s="6" t="str">
        <f>TEXT(Table3[[#This Row],[transaction_date]], "yyyy-mm")</f>
        <v>2025-05</v>
      </c>
      <c r="D2298" t="s">
        <v>95</v>
      </c>
      <c r="E2298" t="s">
        <v>3636</v>
      </c>
      <c r="F2298" t="s">
        <v>3608</v>
      </c>
      <c r="G2298" s="1">
        <v>15186614.57</v>
      </c>
    </row>
    <row r="2299" spans="1:7">
      <c r="A2299" t="s">
        <v>2394</v>
      </c>
      <c r="B2299" s="6">
        <v>46010</v>
      </c>
      <c r="C2299" s="6" t="str">
        <f>TEXT(Table3[[#This Row],[transaction_date]], "yyyy-mm")</f>
        <v>2025-12</v>
      </c>
      <c r="D2299" t="s">
        <v>78</v>
      </c>
      <c r="E2299" t="s">
        <v>3637</v>
      </c>
      <c r="F2299" t="s">
        <v>3621</v>
      </c>
      <c r="G2299" s="1">
        <v>5267709.09</v>
      </c>
    </row>
    <row r="2300" spans="1:7">
      <c r="A2300" t="s">
        <v>2395</v>
      </c>
      <c r="B2300" s="6">
        <v>45685</v>
      </c>
      <c r="C2300" s="6" t="str">
        <f>TEXT(Table3[[#This Row],[transaction_date]], "yyyy-mm")</f>
        <v>2025-01</v>
      </c>
      <c r="D2300" t="s">
        <v>76</v>
      </c>
      <c r="E2300" t="s">
        <v>3637</v>
      </c>
      <c r="F2300" t="s">
        <v>3621</v>
      </c>
      <c r="G2300" s="1">
        <v>2568811.2599999998</v>
      </c>
    </row>
    <row r="2301" spans="1:7">
      <c r="A2301" t="s">
        <v>2396</v>
      </c>
      <c r="B2301" s="6">
        <v>45755</v>
      </c>
      <c r="C2301" s="6" t="str">
        <f>TEXT(Table3[[#This Row],[transaction_date]], "yyyy-mm")</f>
        <v>2025-04</v>
      </c>
      <c r="D2301" t="s">
        <v>75</v>
      </c>
      <c r="E2301" t="s">
        <v>3636</v>
      </c>
      <c r="F2301" t="s">
        <v>3604</v>
      </c>
      <c r="G2301" s="1">
        <v>20671922.82</v>
      </c>
    </row>
    <row r="2302" spans="1:7">
      <c r="A2302" t="s">
        <v>2397</v>
      </c>
      <c r="B2302" s="6">
        <v>45807</v>
      </c>
      <c r="C2302" s="6" t="str">
        <f>TEXT(Table3[[#This Row],[transaction_date]], "yyyy-mm")</f>
        <v>2025-05</v>
      </c>
      <c r="D2302" t="s">
        <v>79</v>
      </c>
      <c r="E2302" t="s">
        <v>3637</v>
      </c>
      <c r="F2302" t="s">
        <v>3622</v>
      </c>
      <c r="G2302" s="1">
        <v>4440325.32</v>
      </c>
    </row>
    <row r="2303" spans="1:7">
      <c r="A2303" t="s">
        <v>2398</v>
      </c>
      <c r="B2303" s="6">
        <v>45963</v>
      </c>
      <c r="C2303" s="6" t="str">
        <f>TEXT(Table3[[#This Row],[transaction_date]], "yyyy-mm")</f>
        <v>2025-11</v>
      </c>
      <c r="D2303" t="s">
        <v>74</v>
      </c>
      <c r="E2303" t="s">
        <v>3636</v>
      </c>
      <c r="F2303" t="s">
        <v>3606</v>
      </c>
      <c r="G2303" s="1">
        <v>193901.06</v>
      </c>
    </row>
    <row r="2304" spans="1:7">
      <c r="A2304" t="s">
        <v>2399</v>
      </c>
      <c r="B2304" s="6">
        <v>45886</v>
      </c>
      <c r="C2304" s="6" t="str">
        <f>TEXT(Table3[[#This Row],[transaction_date]], "yyyy-mm")</f>
        <v>2025-08</v>
      </c>
      <c r="D2304" t="s">
        <v>76</v>
      </c>
      <c r="E2304" t="s">
        <v>3636</v>
      </c>
      <c r="F2304" t="s">
        <v>3612</v>
      </c>
      <c r="G2304" s="1">
        <v>7989858.9500000002</v>
      </c>
    </row>
    <row r="2305" spans="1:7">
      <c r="A2305" t="s">
        <v>2400</v>
      </c>
      <c r="B2305" s="6">
        <v>45936</v>
      </c>
      <c r="C2305" s="6" t="str">
        <f>TEXT(Table3[[#This Row],[transaction_date]], "yyyy-mm")</f>
        <v>2025-10</v>
      </c>
      <c r="D2305" t="s">
        <v>95</v>
      </c>
      <c r="E2305" t="s">
        <v>3636</v>
      </c>
      <c r="F2305" t="s">
        <v>3606</v>
      </c>
      <c r="G2305" s="1">
        <v>7347373.6500000004</v>
      </c>
    </row>
    <row r="2306" spans="1:7">
      <c r="A2306" t="s">
        <v>2401</v>
      </c>
      <c r="B2306" s="6">
        <v>45722</v>
      </c>
      <c r="C2306" s="6" t="str">
        <f>TEXT(Table3[[#This Row],[transaction_date]], "yyyy-mm")</f>
        <v>2025-03</v>
      </c>
      <c r="D2306" t="s">
        <v>76</v>
      </c>
      <c r="E2306" t="s">
        <v>3637</v>
      </c>
      <c r="F2306" t="s">
        <v>3622</v>
      </c>
      <c r="G2306" s="1">
        <v>2976190.64</v>
      </c>
    </row>
    <row r="2307" spans="1:7">
      <c r="A2307" t="s">
        <v>2402</v>
      </c>
      <c r="B2307" s="6">
        <v>45939</v>
      </c>
      <c r="C2307" s="6" t="str">
        <f>TEXT(Table3[[#This Row],[transaction_date]], "yyyy-mm")</f>
        <v>2025-10</v>
      </c>
      <c r="D2307" t="s">
        <v>3597</v>
      </c>
      <c r="E2307" t="s">
        <v>3636</v>
      </c>
      <c r="F2307" t="s">
        <v>3612</v>
      </c>
      <c r="G2307" s="1">
        <v>1610818.2</v>
      </c>
    </row>
    <row r="2308" spans="1:7">
      <c r="A2308" t="s">
        <v>2403</v>
      </c>
      <c r="B2308" s="6">
        <v>45993</v>
      </c>
      <c r="C2308" s="6" t="str">
        <f>TEXT(Table3[[#This Row],[transaction_date]], "yyyy-mm")</f>
        <v>2025-12</v>
      </c>
      <c r="D2308" t="s">
        <v>95</v>
      </c>
      <c r="E2308" t="s">
        <v>3636</v>
      </c>
      <c r="F2308" t="s">
        <v>3613</v>
      </c>
      <c r="G2308" s="1">
        <v>4682708.1900000004</v>
      </c>
    </row>
    <row r="2309" spans="1:7">
      <c r="A2309" t="s">
        <v>2404</v>
      </c>
      <c r="B2309" s="6">
        <v>45795</v>
      </c>
      <c r="C2309" s="6" t="str">
        <f>TEXT(Table3[[#This Row],[transaction_date]], "yyyy-mm")</f>
        <v>2025-05</v>
      </c>
      <c r="D2309" t="s">
        <v>80</v>
      </c>
      <c r="E2309" t="s">
        <v>3636</v>
      </c>
      <c r="F2309" t="s">
        <v>3605</v>
      </c>
      <c r="G2309" s="1">
        <v>1438929.9</v>
      </c>
    </row>
    <row r="2310" spans="1:7">
      <c r="A2310" t="s">
        <v>2405</v>
      </c>
      <c r="B2310" s="6">
        <v>45715</v>
      </c>
      <c r="C2310" s="6" t="str">
        <f>TEXT(Table3[[#This Row],[transaction_date]], "yyyy-mm")</f>
        <v>2025-02</v>
      </c>
      <c r="D2310" t="s">
        <v>73</v>
      </c>
      <c r="E2310" t="s">
        <v>3637</v>
      </c>
      <c r="F2310" t="s">
        <v>3619</v>
      </c>
      <c r="G2310" s="1">
        <v>181365.99</v>
      </c>
    </row>
    <row r="2311" spans="1:7">
      <c r="A2311" t="s">
        <v>2406</v>
      </c>
      <c r="B2311" s="6">
        <v>45713</v>
      </c>
      <c r="C2311" s="6" t="str">
        <f>TEXT(Table3[[#This Row],[transaction_date]], "yyyy-mm")</f>
        <v>2025-02</v>
      </c>
      <c r="D2311" t="s">
        <v>76</v>
      </c>
      <c r="E2311" t="s">
        <v>3637</v>
      </c>
      <c r="F2311" t="s">
        <v>3615</v>
      </c>
      <c r="G2311" s="1">
        <v>16397578.890000001</v>
      </c>
    </row>
    <row r="2312" spans="1:7">
      <c r="A2312" t="s">
        <v>2407</v>
      </c>
      <c r="B2312" s="6">
        <v>45851</v>
      </c>
      <c r="C2312" s="6" t="str">
        <f>TEXT(Table3[[#This Row],[transaction_date]], "yyyy-mm")</f>
        <v>2025-07</v>
      </c>
      <c r="D2312" t="s">
        <v>75</v>
      </c>
      <c r="E2312" t="s">
        <v>3636</v>
      </c>
      <c r="F2312" t="s">
        <v>3612</v>
      </c>
      <c r="G2312" s="1">
        <v>3669376.24</v>
      </c>
    </row>
    <row r="2313" spans="1:7">
      <c r="A2313" t="s">
        <v>2408</v>
      </c>
      <c r="B2313" s="6">
        <v>45725</v>
      </c>
      <c r="C2313" s="6" t="str">
        <f>TEXT(Table3[[#This Row],[transaction_date]], "yyyy-mm")</f>
        <v>2025-03</v>
      </c>
      <c r="D2313" t="s">
        <v>73</v>
      </c>
      <c r="E2313" t="s">
        <v>3636</v>
      </c>
      <c r="F2313" t="s">
        <v>3604</v>
      </c>
      <c r="G2313" s="1">
        <v>12555018.449999999</v>
      </c>
    </row>
    <row r="2314" spans="1:7">
      <c r="A2314" t="s">
        <v>2409</v>
      </c>
      <c r="B2314" s="6">
        <v>45676</v>
      </c>
      <c r="C2314" s="6" t="str">
        <f>TEXT(Table3[[#This Row],[transaction_date]], "yyyy-mm")</f>
        <v>2025-01</v>
      </c>
      <c r="D2314" t="s">
        <v>75</v>
      </c>
      <c r="E2314" t="s">
        <v>3637</v>
      </c>
      <c r="F2314" t="s">
        <v>3620</v>
      </c>
      <c r="G2314" s="1">
        <v>1614890.32</v>
      </c>
    </row>
    <row r="2315" spans="1:7">
      <c r="A2315" t="s">
        <v>2410</v>
      </c>
      <c r="B2315" s="6">
        <v>45886</v>
      </c>
      <c r="C2315" s="6" t="str">
        <f>TEXT(Table3[[#This Row],[transaction_date]], "yyyy-mm")</f>
        <v>2025-08</v>
      </c>
      <c r="D2315" t="s">
        <v>78</v>
      </c>
      <c r="E2315" t="s">
        <v>3636</v>
      </c>
      <c r="F2315" t="s">
        <v>3613</v>
      </c>
      <c r="G2315" s="1">
        <v>476731.24</v>
      </c>
    </row>
    <row r="2316" spans="1:7">
      <c r="A2316" t="s">
        <v>2411</v>
      </c>
      <c r="B2316" s="6">
        <v>46004</v>
      </c>
      <c r="C2316" s="6" t="str">
        <f>TEXT(Table3[[#This Row],[transaction_date]], "yyyy-mm")</f>
        <v>2025-12</v>
      </c>
      <c r="D2316" t="s">
        <v>79</v>
      </c>
      <c r="E2316" t="s">
        <v>3636</v>
      </c>
      <c r="F2316" t="s">
        <v>3606</v>
      </c>
      <c r="G2316" s="1">
        <v>7299196.0599999996</v>
      </c>
    </row>
    <row r="2317" spans="1:7">
      <c r="A2317" t="s">
        <v>2412</v>
      </c>
      <c r="B2317" s="6">
        <v>45839</v>
      </c>
      <c r="C2317" s="6" t="str">
        <f>TEXT(Table3[[#This Row],[transaction_date]], "yyyy-mm")</f>
        <v>2025-07</v>
      </c>
      <c r="D2317" t="s">
        <v>93</v>
      </c>
      <c r="E2317" t="s">
        <v>3636</v>
      </c>
      <c r="F2317" t="s">
        <v>3604</v>
      </c>
      <c r="G2317" s="1">
        <v>1002178.88</v>
      </c>
    </row>
    <row r="2318" spans="1:7">
      <c r="A2318" t="s">
        <v>2413</v>
      </c>
      <c r="B2318" s="6">
        <v>45701</v>
      </c>
      <c r="C2318" s="6" t="str">
        <f>TEXT(Table3[[#This Row],[transaction_date]], "yyyy-mm")</f>
        <v>2025-02</v>
      </c>
      <c r="D2318" t="s">
        <v>85</v>
      </c>
      <c r="E2318" t="s">
        <v>3637</v>
      </c>
      <c r="F2318" t="s">
        <v>3618</v>
      </c>
      <c r="G2318" s="1">
        <v>815702.92</v>
      </c>
    </row>
    <row r="2319" spans="1:7">
      <c r="A2319" t="s">
        <v>2414</v>
      </c>
      <c r="B2319" s="6">
        <v>46001</v>
      </c>
      <c r="C2319" s="6" t="str">
        <f>TEXT(Table3[[#This Row],[transaction_date]], "yyyy-mm")</f>
        <v>2025-12</v>
      </c>
      <c r="D2319" t="s">
        <v>75</v>
      </c>
      <c r="E2319" t="s">
        <v>3636</v>
      </c>
      <c r="F2319" t="s">
        <v>3604</v>
      </c>
      <c r="G2319" s="1">
        <v>10789964.4</v>
      </c>
    </row>
    <row r="2320" spans="1:7">
      <c r="A2320" t="s">
        <v>2415</v>
      </c>
      <c r="B2320" s="6">
        <v>45735</v>
      </c>
      <c r="C2320" s="6" t="str">
        <f>TEXT(Table3[[#This Row],[transaction_date]], "yyyy-mm")</f>
        <v>2025-03</v>
      </c>
      <c r="D2320" t="s">
        <v>80</v>
      </c>
      <c r="E2320" t="s">
        <v>3637</v>
      </c>
      <c r="F2320" t="s">
        <v>3622</v>
      </c>
      <c r="G2320" s="1">
        <v>602124.87</v>
      </c>
    </row>
    <row r="2321" spans="1:7">
      <c r="A2321" t="s">
        <v>2416</v>
      </c>
      <c r="B2321" s="6">
        <v>45898</v>
      </c>
      <c r="C2321" s="6" t="str">
        <f>TEXT(Table3[[#This Row],[transaction_date]], "yyyy-mm")</f>
        <v>2025-08</v>
      </c>
      <c r="D2321" t="s">
        <v>77</v>
      </c>
      <c r="E2321" t="s">
        <v>3636</v>
      </c>
      <c r="F2321" t="s">
        <v>3606</v>
      </c>
      <c r="G2321" s="1">
        <v>180134.48</v>
      </c>
    </row>
    <row r="2322" spans="1:7">
      <c r="A2322" t="s">
        <v>2417</v>
      </c>
      <c r="B2322" s="6">
        <v>45868</v>
      </c>
      <c r="C2322" s="6" t="str">
        <f>TEXT(Table3[[#This Row],[transaction_date]], "yyyy-mm")</f>
        <v>2025-07</v>
      </c>
      <c r="D2322" t="s">
        <v>73</v>
      </c>
      <c r="E2322" t="s">
        <v>3636</v>
      </c>
      <c r="F2322" t="s">
        <v>3607</v>
      </c>
      <c r="G2322" s="1">
        <v>624802.18999999994</v>
      </c>
    </row>
    <row r="2323" spans="1:7">
      <c r="A2323" t="s">
        <v>2418</v>
      </c>
      <c r="B2323" s="6">
        <v>46006</v>
      </c>
      <c r="C2323" s="6" t="str">
        <f>TEXT(Table3[[#This Row],[transaction_date]], "yyyy-mm")</f>
        <v>2025-12</v>
      </c>
      <c r="D2323" t="s">
        <v>95</v>
      </c>
      <c r="E2323" t="s">
        <v>3636</v>
      </c>
      <c r="F2323" t="s">
        <v>3609</v>
      </c>
      <c r="G2323" s="1">
        <v>4759025.0599999996</v>
      </c>
    </row>
    <row r="2324" spans="1:7">
      <c r="A2324" t="s">
        <v>2419</v>
      </c>
      <c r="B2324" s="6">
        <v>45813</v>
      </c>
      <c r="C2324" s="6" t="str">
        <f>TEXT(Table3[[#This Row],[transaction_date]], "yyyy-mm")</f>
        <v>2025-06</v>
      </c>
      <c r="D2324" t="s">
        <v>80</v>
      </c>
      <c r="E2324" t="s">
        <v>3636</v>
      </c>
      <c r="F2324" t="s">
        <v>3605</v>
      </c>
      <c r="G2324" s="1">
        <v>712266.13</v>
      </c>
    </row>
    <row r="2325" spans="1:7">
      <c r="A2325" t="s">
        <v>2420</v>
      </c>
      <c r="B2325" s="6">
        <v>46015</v>
      </c>
      <c r="C2325" s="6" t="str">
        <f>TEXT(Table3[[#This Row],[transaction_date]], "yyyy-mm")</f>
        <v>2025-12</v>
      </c>
      <c r="D2325" t="s">
        <v>75</v>
      </c>
      <c r="E2325" t="s">
        <v>3637</v>
      </c>
      <c r="F2325" t="s">
        <v>3622</v>
      </c>
      <c r="G2325" s="1">
        <v>3968025.47</v>
      </c>
    </row>
    <row r="2326" spans="1:7">
      <c r="A2326" t="s">
        <v>2421</v>
      </c>
      <c r="B2326" s="6">
        <v>45783</v>
      </c>
      <c r="C2326" s="6" t="str">
        <f>TEXT(Table3[[#This Row],[transaction_date]], "yyyy-mm")</f>
        <v>2025-05</v>
      </c>
      <c r="D2326" t="s">
        <v>93</v>
      </c>
      <c r="E2326" t="s">
        <v>3636</v>
      </c>
      <c r="F2326" t="s">
        <v>3607</v>
      </c>
      <c r="G2326" s="1">
        <v>1742198.56</v>
      </c>
    </row>
    <row r="2327" spans="1:7">
      <c r="A2327" t="s">
        <v>2422</v>
      </c>
      <c r="B2327" s="6">
        <v>45782</v>
      </c>
      <c r="C2327" s="6" t="str">
        <f>TEXT(Table3[[#This Row],[transaction_date]], "yyyy-mm")</f>
        <v>2025-05</v>
      </c>
      <c r="D2327" t="s">
        <v>95</v>
      </c>
      <c r="E2327" t="s">
        <v>3637</v>
      </c>
      <c r="F2327" t="s">
        <v>3616</v>
      </c>
      <c r="G2327" s="1">
        <v>5604803.7800000003</v>
      </c>
    </row>
    <row r="2328" spans="1:7">
      <c r="A2328" t="s">
        <v>2423</v>
      </c>
      <c r="B2328" s="6">
        <v>45994</v>
      </c>
      <c r="C2328" s="6" t="str">
        <f>TEXT(Table3[[#This Row],[transaction_date]], "yyyy-mm")</f>
        <v>2025-12</v>
      </c>
      <c r="D2328" t="s">
        <v>3597</v>
      </c>
      <c r="E2328" t="s">
        <v>3637</v>
      </c>
      <c r="F2328" t="s">
        <v>3623</v>
      </c>
      <c r="G2328" s="1">
        <v>1056884.71</v>
      </c>
    </row>
    <row r="2329" spans="1:7">
      <c r="A2329" t="s">
        <v>2424</v>
      </c>
      <c r="B2329" s="6">
        <v>45868</v>
      </c>
      <c r="C2329" s="6" t="str">
        <f>TEXT(Table3[[#This Row],[transaction_date]], "yyyy-mm")</f>
        <v>2025-07</v>
      </c>
      <c r="D2329" t="s">
        <v>79</v>
      </c>
      <c r="E2329" t="s">
        <v>3637</v>
      </c>
      <c r="F2329" t="s">
        <v>3620</v>
      </c>
      <c r="G2329" s="1">
        <v>4494874.99</v>
      </c>
    </row>
    <row r="2330" spans="1:7">
      <c r="A2330" t="s">
        <v>2425</v>
      </c>
      <c r="B2330" s="6">
        <v>45661</v>
      </c>
      <c r="C2330" s="6" t="str">
        <f>TEXT(Table3[[#This Row],[transaction_date]], "yyyy-mm")</f>
        <v>2025-01</v>
      </c>
      <c r="D2330" t="s">
        <v>85</v>
      </c>
      <c r="E2330" t="s">
        <v>3637</v>
      </c>
      <c r="F2330" t="s">
        <v>3621</v>
      </c>
      <c r="G2330" s="1">
        <v>868721.31</v>
      </c>
    </row>
    <row r="2331" spans="1:7">
      <c r="A2331" t="s">
        <v>2426</v>
      </c>
      <c r="B2331" s="6">
        <v>45864</v>
      </c>
      <c r="C2331" s="6" t="str">
        <f>TEXT(Table3[[#This Row],[transaction_date]], "yyyy-mm")</f>
        <v>2025-07</v>
      </c>
      <c r="D2331" t="s">
        <v>82</v>
      </c>
      <c r="E2331" t="s">
        <v>3636</v>
      </c>
      <c r="F2331" t="s">
        <v>3609</v>
      </c>
      <c r="G2331" s="1">
        <v>7355074.1399999997</v>
      </c>
    </row>
    <row r="2332" spans="1:7">
      <c r="A2332" t="s">
        <v>2427</v>
      </c>
      <c r="B2332" s="6">
        <v>45812</v>
      </c>
      <c r="C2332" s="6" t="str">
        <f>TEXT(Table3[[#This Row],[transaction_date]], "yyyy-mm")</f>
        <v>2025-06</v>
      </c>
      <c r="D2332" t="s">
        <v>78</v>
      </c>
      <c r="E2332" t="s">
        <v>3636</v>
      </c>
      <c r="F2332" t="s">
        <v>3609</v>
      </c>
      <c r="G2332" s="1">
        <v>243260.54</v>
      </c>
    </row>
    <row r="2333" spans="1:7">
      <c r="A2333" t="s">
        <v>2428</v>
      </c>
      <c r="B2333" s="6">
        <v>45663</v>
      </c>
      <c r="C2333" s="6" t="str">
        <f>TEXT(Table3[[#This Row],[transaction_date]], "yyyy-mm")</f>
        <v>2025-01</v>
      </c>
      <c r="D2333" t="s">
        <v>76</v>
      </c>
      <c r="E2333" t="s">
        <v>3636</v>
      </c>
      <c r="F2333" t="s">
        <v>3612</v>
      </c>
      <c r="G2333" s="1">
        <v>14556812.24</v>
      </c>
    </row>
    <row r="2334" spans="1:7">
      <c r="A2334" t="s">
        <v>2429</v>
      </c>
      <c r="B2334" s="6">
        <v>45997</v>
      </c>
      <c r="C2334" s="6" t="str">
        <f>TEXT(Table3[[#This Row],[transaction_date]], "yyyy-mm")</f>
        <v>2025-12</v>
      </c>
      <c r="D2334" t="s">
        <v>73</v>
      </c>
      <c r="E2334" t="s">
        <v>3636</v>
      </c>
      <c r="F2334" t="s">
        <v>3609</v>
      </c>
      <c r="G2334" s="1">
        <v>227559.24</v>
      </c>
    </row>
    <row r="2335" spans="1:7">
      <c r="A2335" t="s">
        <v>2430</v>
      </c>
      <c r="B2335" s="6">
        <v>46012</v>
      </c>
      <c r="C2335" s="6" t="str">
        <f>TEXT(Table3[[#This Row],[transaction_date]], "yyyy-mm")</f>
        <v>2025-12</v>
      </c>
      <c r="D2335" t="s">
        <v>74</v>
      </c>
      <c r="E2335" t="s">
        <v>3637</v>
      </c>
      <c r="F2335" t="s">
        <v>3616</v>
      </c>
      <c r="G2335" s="1">
        <v>3967.81</v>
      </c>
    </row>
    <row r="2336" spans="1:7">
      <c r="A2336" t="s">
        <v>2431</v>
      </c>
      <c r="B2336" s="6">
        <v>45858</v>
      </c>
      <c r="C2336" s="6" t="str">
        <f>TEXT(Table3[[#This Row],[transaction_date]], "yyyy-mm")</f>
        <v>2025-07</v>
      </c>
      <c r="D2336" t="s">
        <v>73</v>
      </c>
      <c r="E2336" t="s">
        <v>3637</v>
      </c>
      <c r="F2336" t="s">
        <v>3621</v>
      </c>
      <c r="G2336" s="1">
        <v>377373.06</v>
      </c>
    </row>
    <row r="2337" spans="1:7">
      <c r="A2337" t="s">
        <v>2432</v>
      </c>
      <c r="B2337" s="6">
        <v>46006</v>
      </c>
      <c r="C2337" s="6" t="str">
        <f>TEXT(Table3[[#This Row],[transaction_date]], "yyyy-mm")</f>
        <v>2025-12</v>
      </c>
      <c r="D2337" t="s">
        <v>77</v>
      </c>
      <c r="E2337" t="s">
        <v>3637</v>
      </c>
      <c r="F2337" t="s">
        <v>3622</v>
      </c>
      <c r="G2337" s="1">
        <v>2701474.95</v>
      </c>
    </row>
    <row r="2338" spans="1:7">
      <c r="A2338" t="s">
        <v>2433</v>
      </c>
      <c r="B2338" s="6">
        <v>46005</v>
      </c>
      <c r="C2338" s="6" t="str">
        <f>TEXT(Table3[[#This Row],[transaction_date]], "yyyy-mm")</f>
        <v>2025-12</v>
      </c>
      <c r="D2338" t="s">
        <v>73</v>
      </c>
      <c r="E2338" t="s">
        <v>3636</v>
      </c>
      <c r="F2338" t="s">
        <v>3612</v>
      </c>
      <c r="G2338" s="1">
        <v>3506404.91</v>
      </c>
    </row>
    <row r="2339" spans="1:7">
      <c r="A2339" t="s">
        <v>2434</v>
      </c>
      <c r="B2339" s="6">
        <v>45738</v>
      </c>
      <c r="C2339" s="6" t="str">
        <f>TEXT(Table3[[#This Row],[transaction_date]], "yyyy-mm")</f>
        <v>2025-03</v>
      </c>
      <c r="D2339" t="s">
        <v>3597</v>
      </c>
      <c r="E2339" t="s">
        <v>3637</v>
      </c>
      <c r="F2339" t="s">
        <v>3618</v>
      </c>
      <c r="G2339" s="1">
        <v>1596257.93</v>
      </c>
    </row>
    <row r="2340" spans="1:7">
      <c r="A2340" t="s">
        <v>2435</v>
      </c>
      <c r="B2340" s="6">
        <v>45960</v>
      </c>
      <c r="C2340" s="6" t="str">
        <f>TEXT(Table3[[#This Row],[transaction_date]], "yyyy-mm")</f>
        <v>2025-10</v>
      </c>
      <c r="D2340" t="s">
        <v>80</v>
      </c>
      <c r="E2340" t="s">
        <v>3637</v>
      </c>
      <c r="F2340" t="s">
        <v>3615</v>
      </c>
      <c r="G2340" s="1">
        <v>109134.8</v>
      </c>
    </row>
    <row r="2341" spans="1:7">
      <c r="A2341" t="s">
        <v>2436</v>
      </c>
      <c r="B2341" s="6">
        <v>45720</v>
      </c>
      <c r="C2341" s="6" t="str">
        <f>TEXT(Table3[[#This Row],[transaction_date]], "yyyy-mm")</f>
        <v>2025-03</v>
      </c>
      <c r="D2341" t="s">
        <v>74</v>
      </c>
      <c r="E2341" t="s">
        <v>3637</v>
      </c>
      <c r="F2341" t="s">
        <v>3619</v>
      </c>
      <c r="G2341" s="1">
        <v>191501.57</v>
      </c>
    </row>
    <row r="2342" spans="1:7">
      <c r="A2342" t="s">
        <v>2437</v>
      </c>
      <c r="B2342" s="6">
        <v>45717</v>
      </c>
      <c r="C2342" s="6" t="str">
        <f>TEXT(Table3[[#This Row],[transaction_date]], "yyyy-mm")</f>
        <v>2025-03</v>
      </c>
      <c r="D2342" t="s">
        <v>73</v>
      </c>
      <c r="E2342" t="s">
        <v>3637</v>
      </c>
      <c r="F2342" t="s">
        <v>3622</v>
      </c>
      <c r="G2342" s="1">
        <v>2958128.57</v>
      </c>
    </row>
    <row r="2343" spans="1:7">
      <c r="A2343" t="s">
        <v>2438</v>
      </c>
      <c r="B2343" s="6">
        <v>45815</v>
      </c>
      <c r="C2343" s="6" t="str">
        <f>TEXT(Table3[[#This Row],[transaction_date]], "yyyy-mm")</f>
        <v>2025-06</v>
      </c>
      <c r="D2343" t="s">
        <v>82</v>
      </c>
      <c r="E2343" t="s">
        <v>3636</v>
      </c>
      <c r="F2343" t="s">
        <v>3606</v>
      </c>
      <c r="G2343" s="1">
        <v>5109086.63</v>
      </c>
    </row>
    <row r="2344" spans="1:7">
      <c r="A2344" t="s">
        <v>2439</v>
      </c>
      <c r="B2344" s="6">
        <v>46016</v>
      </c>
      <c r="C2344" s="6" t="str">
        <f>TEXT(Table3[[#This Row],[transaction_date]], "yyyy-mm")</f>
        <v>2025-12</v>
      </c>
      <c r="D2344" t="s">
        <v>84</v>
      </c>
      <c r="E2344" t="s">
        <v>3636</v>
      </c>
      <c r="F2344" t="s">
        <v>3610</v>
      </c>
      <c r="G2344" s="1">
        <v>18831486.530000001</v>
      </c>
    </row>
    <row r="2345" spans="1:7">
      <c r="A2345" t="s">
        <v>2440</v>
      </c>
      <c r="B2345" s="6">
        <v>45879</v>
      </c>
      <c r="C2345" s="6" t="str">
        <f>TEXT(Table3[[#This Row],[transaction_date]], "yyyy-mm")</f>
        <v>2025-08</v>
      </c>
      <c r="D2345" t="s">
        <v>79</v>
      </c>
      <c r="E2345" t="s">
        <v>3636</v>
      </c>
      <c r="F2345" t="s">
        <v>3611</v>
      </c>
      <c r="G2345" s="1">
        <v>3744884.61</v>
      </c>
    </row>
    <row r="2346" spans="1:7">
      <c r="A2346" t="s">
        <v>2441</v>
      </c>
      <c r="B2346" s="6">
        <v>45671</v>
      </c>
      <c r="C2346" s="6" t="str">
        <f>TEXT(Table3[[#This Row],[transaction_date]], "yyyy-mm")</f>
        <v>2025-01</v>
      </c>
      <c r="D2346" t="s">
        <v>85</v>
      </c>
      <c r="E2346" t="s">
        <v>3636</v>
      </c>
      <c r="F2346" t="s">
        <v>3604</v>
      </c>
      <c r="G2346" s="1">
        <v>2218191.2400000002</v>
      </c>
    </row>
    <row r="2347" spans="1:7">
      <c r="A2347" t="s">
        <v>2442</v>
      </c>
      <c r="B2347" s="6">
        <v>45914</v>
      </c>
      <c r="C2347" s="6" t="str">
        <f>TEXT(Table3[[#This Row],[transaction_date]], "yyyy-mm")</f>
        <v>2025-09</v>
      </c>
      <c r="D2347" t="s">
        <v>75</v>
      </c>
      <c r="E2347" t="s">
        <v>3637</v>
      </c>
      <c r="F2347" t="s">
        <v>3621</v>
      </c>
      <c r="G2347" s="1">
        <v>3770478.95</v>
      </c>
    </row>
    <row r="2348" spans="1:7">
      <c r="A2348" t="s">
        <v>2443</v>
      </c>
      <c r="B2348" s="6">
        <v>45959</v>
      </c>
      <c r="C2348" s="6" t="str">
        <f>TEXT(Table3[[#This Row],[transaction_date]], "yyyy-mm")</f>
        <v>2025-10</v>
      </c>
      <c r="D2348" t="s">
        <v>75</v>
      </c>
      <c r="E2348" t="s">
        <v>3636</v>
      </c>
      <c r="F2348" t="s">
        <v>3606</v>
      </c>
      <c r="G2348" s="1">
        <v>2491022.54</v>
      </c>
    </row>
    <row r="2349" spans="1:7">
      <c r="A2349" t="s">
        <v>2444</v>
      </c>
      <c r="B2349" s="6">
        <v>45676</v>
      </c>
      <c r="C2349" s="6" t="str">
        <f>TEXT(Table3[[#This Row],[transaction_date]], "yyyy-mm")</f>
        <v>2025-01</v>
      </c>
      <c r="D2349" t="s">
        <v>75</v>
      </c>
      <c r="E2349" t="s">
        <v>3636</v>
      </c>
      <c r="F2349" t="s">
        <v>3612</v>
      </c>
      <c r="G2349" s="1">
        <v>2840763.73</v>
      </c>
    </row>
    <row r="2350" spans="1:7">
      <c r="A2350" t="s">
        <v>2445</v>
      </c>
      <c r="B2350" s="6">
        <v>45831</v>
      </c>
      <c r="C2350" s="6" t="str">
        <f>TEXT(Table3[[#This Row],[transaction_date]], "yyyy-mm")</f>
        <v>2025-06</v>
      </c>
      <c r="D2350" t="s">
        <v>78</v>
      </c>
      <c r="E2350" t="s">
        <v>3636</v>
      </c>
      <c r="F2350" t="s">
        <v>3612</v>
      </c>
      <c r="G2350" s="1">
        <v>9232984.4299999997</v>
      </c>
    </row>
    <row r="2351" spans="1:7">
      <c r="A2351" t="s">
        <v>2446</v>
      </c>
      <c r="B2351" s="6">
        <v>45959</v>
      </c>
      <c r="C2351" s="6" t="str">
        <f>TEXT(Table3[[#This Row],[transaction_date]], "yyyy-mm")</f>
        <v>2025-10</v>
      </c>
      <c r="D2351" t="s">
        <v>95</v>
      </c>
      <c r="E2351" t="s">
        <v>3637</v>
      </c>
      <c r="F2351" t="s">
        <v>3621</v>
      </c>
      <c r="G2351" s="1">
        <v>12082797.880000001</v>
      </c>
    </row>
    <row r="2352" spans="1:7">
      <c r="A2352" t="s">
        <v>2447</v>
      </c>
      <c r="B2352" s="6">
        <v>45973</v>
      </c>
      <c r="C2352" s="6" t="str">
        <f>TEXT(Table3[[#This Row],[transaction_date]], "yyyy-mm")</f>
        <v>2025-11</v>
      </c>
      <c r="D2352" t="s">
        <v>85</v>
      </c>
      <c r="E2352" t="s">
        <v>3636</v>
      </c>
      <c r="F2352" t="s">
        <v>3613</v>
      </c>
      <c r="G2352" s="1">
        <v>4101470.35</v>
      </c>
    </row>
    <row r="2353" spans="1:7">
      <c r="A2353" t="s">
        <v>2448</v>
      </c>
      <c r="B2353" s="6">
        <v>45952</v>
      </c>
      <c r="C2353" s="6" t="str">
        <f>TEXT(Table3[[#This Row],[transaction_date]], "yyyy-mm")</f>
        <v>2025-10</v>
      </c>
      <c r="D2353" t="s">
        <v>89</v>
      </c>
      <c r="E2353" t="s">
        <v>3636</v>
      </c>
      <c r="F2353" t="s">
        <v>3612</v>
      </c>
      <c r="G2353" s="1">
        <v>2244774.5499999998</v>
      </c>
    </row>
    <row r="2354" spans="1:7">
      <c r="A2354" t="s">
        <v>2449</v>
      </c>
      <c r="B2354" s="6">
        <v>45710</v>
      </c>
      <c r="C2354" s="6" t="str">
        <f>TEXT(Table3[[#This Row],[transaction_date]], "yyyy-mm")</f>
        <v>2025-02</v>
      </c>
      <c r="D2354" t="s">
        <v>89</v>
      </c>
      <c r="E2354" t="s">
        <v>3636</v>
      </c>
      <c r="F2354" t="s">
        <v>3610</v>
      </c>
      <c r="G2354" s="1">
        <v>705705.5</v>
      </c>
    </row>
    <row r="2355" spans="1:7">
      <c r="A2355" t="s">
        <v>2450</v>
      </c>
      <c r="B2355" s="6">
        <v>45864</v>
      </c>
      <c r="C2355" s="6" t="str">
        <f>TEXT(Table3[[#This Row],[transaction_date]], "yyyy-mm")</f>
        <v>2025-07</v>
      </c>
      <c r="D2355" t="s">
        <v>82</v>
      </c>
      <c r="E2355" t="s">
        <v>3636</v>
      </c>
      <c r="F2355" t="s">
        <v>3609</v>
      </c>
      <c r="G2355" s="1">
        <v>12907785.51</v>
      </c>
    </row>
    <row r="2356" spans="1:7">
      <c r="A2356" t="s">
        <v>2451</v>
      </c>
      <c r="B2356" s="6">
        <v>46002</v>
      </c>
      <c r="C2356" s="6" t="str">
        <f>TEXT(Table3[[#This Row],[transaction_date]], "yyyy-mm")</f>
        <v>2025-12</v>
      </c>
      <c r="D2356" t="s">
        <v>90</v>
      </c>
      <c r="E2356" t="s">
        <v>3636</v>
      </c>
      <c r="F2356" t="s">
        <v>3612</v>
      </c>
      <c r="G2356" s="1">
        <v>1785399.1</v>
      </c>
    </row>
    <row r="2357" spans="1:7">
      <c r="A2357" t="s">
        <v>2452</v>
      </c>
      <c r="B2357" s="6">
        <v>45677</v>
      </c>
      <c r="C2357" s="6" t="str">
        <f>TEXT(Table3[[#This Row],[transaction_date]], "yyyy-mm")</f>
        <v>2025-01</v>
      </c>
      <c r="D2357" t="s">
        <v>3597</v>
      </c>
      <c r="E2357" t="s">
        <v>3637</v>
      </c>
      <c r="F2357" t="s">
        <v>3618</v>
      </c>
      <c r="G2357" s="1">
        <v>10030784.4</v>
      </c>
    </row>
    <row r="2358" spans="1:7">
      <c r="A2358" t="s">
        <v>2453</v>
      </c>
      <c r="B2358" s="6">
        <v>45661</v>
      </c>
      <c r="C2358" s="6" t="str">
        <f>TEXT(Table3[[#This Row],[transaction_date]], "yyyy-mm")</f>
        <v>2025-01</v>
      </c>
      <c r="D2358" t="s">
        <v>3597</v>
      </c>
      <c r="E2358" t="s">
        <v>3636</v>
      </c>
      <c r="F2358" t="s">
        <v>3605</v>
      </c>
      <c r="G2358" s="1">
        <v>9234130.3000000007</v>
      </c>
    </row>
    <row r="2359" spans="1:7">
      <c r="A2359" t="s">
        <v>2454</v>
      </c>
      <c r="B2359" s="6">
        <v>46012</v>
      </c>
      <c r="C2359" s="6" t="str">
        <f>TEXT(Table3[[#This Row],[transaction_date]], "yyyy-mm")</f>
        <v>2025-12</v>
      </c>
      <c r="D2359" t="s">
        <v>78</v>
      </c>
      <c r="E2359" t="s">
        <v>3636</v>
      </c>
      <c r="F2359" t="s">
        <v>3613</v>
      </c>
      <c r="G2359" s="1">
        <v>7087355.1299999999</v>
      </c>
    </row>
    <row r="2360" spans="1:7">
      <c r="A2360" t="s">
        <v>2455</v>
      </c>
      <c r="B2360" s="6">
        <v>46010</v>
      </c>
      <c r="C2360" s="6" t="str">
        <f>TEXT(Table3[[#This Row],[transaction_date]], "yyyy-mm")</f>
        <v>2025-12</v>
      </c>
      <c r="D2360" t="s">
        <v>78</v>
      </c>
      <c r="E2360" t="s">
        <v>3637</v>
      </c>
      <c r="F2360" t="s">
        <v>3621</v>
      </c>
      <c r="G2360" s="1">
        <v>4286574.8600000003</v>
      </c>
    </row>
    <row r="2361" spans="1:7">
      <c r="A2361" t="s">
        <v>2456</v>
      </c>
      <c r="B2361" s="6">
        <v>45917</v>
      </c>
      <c r="C2361" s="6" t="str">
        <f>TEXT(Table3[[#This Row],[transaction_date]], "yyyy-mm")</f>
        <v>2025-09</v>
      </c>
      <c r="D2361" t="s">
        <v>85</v>
      </c>
      <c r="E2361" t="s">
        <v>3637</v>
      </c>
      <c r="F2361" t="s">
        <v>3621</v>
      </c>
      <c r="G2361" s="1">
        <v>98367.360000000001</v>
      </c>
    </row>
    <row r="2362" spans="1:7">
      <c r="A2362" t="s">
        <v>2457</v>
      </c>
      <c r="B2362" s="6">
        <v>45967</v>
      </c>
      <c r="C2362" s="6" t="str">
        <f>TEXT(Table3[[#This Row],[transaction_date]], "yyyy-mm")</f>
        <v>2025-11</v>
      </c>
      <c r="D2362" t="s">
        <v>93</v>
      </c>
      <c r="E2362" t="s">
        <v>3636</v>
      </c>
      <c r="F2362" t="s">
        <v>3608</v>
      </c>
      <c r="G2362" s="1">
        <v>1226553.6399999999</v>
      </c>
    </row>
    <row r="2363" spans="1:7">
      <c r="A2363" t="s">
        <v>2458</v>
      </c>
      <c r="B2363" s="6">
        <v>45796</v>
      </c>
      <c r="C2363" s="6" t="str">
        <f>TEXT(Table3[[#This Row],[transaction_date]], "yyyy-mm")</f>
        <v>2025-05</v>
      </c>
      <c r="D2363" t="s">
        <v>3597</v>
      </c>
      <c r="E2363" t="s">
        <v>3636</v>
      </c>
      <c r="F2363" t="s">
        <v>3605</v>
      </c>
      <c r="G2363" s="1">
        <v>1626651.75</v>
      </c>
    </row>
    <row r="2364" spans="1:7">
      <c r="A2364" t="s">
        <v>2459</v>
      </c>
      <c r="B2364" s="6">
        <v>45810</v>
      </c>
      <c r="C2364" s="6" t="str">
        <f>TEXT(Table3[[#This Row],[transaction_date]], "yyyy-mm")</f>
        <v>2025-06</v>
      </c>
      <c r="D2364" t="s">
        <v>75</v>
      </c>
      <c r="E2364" t="s">
        <v>3636</v>
      </c>
      <c r="F2364" t="s">
        <v>3606</v>
      </c>
      <c r="G2364" s="1">
        <v>1820627.53</v>
      </c>
    </row>
    <row r="2365" spans="1:7">
      <c r="A2365" t="s">
        <v>2460</v>
      </c>
      <c r="B2365" s="6">
        <v>45952</v>
      </c>
      <c r="C2365" s="6" t="str">
        <f>TEXT(Table3[[#This Row],[transaction_date]], "yyyy-mm")</f>
        <v>2025-10</v>
      </c>
      <c r="D2365" t="s">
        <v>73</v>
      </c>
      <c r="E2365" t="s">
        <v>3636</v>
      </c>
      <c r="F2365" t="s">
        <v>3609</v>
      </c>
      <c r="G2365" s="1">
        <v>587914.36</v>
      </c>
    </row>
    <row r="2366" spans="1:7">
      <c r="A2366" t="s">
        <v>2461</v>
      </c>
      <c r="B2366" s="6">
        <v>45937</v>
      </c>
      <c r="C2366" s="6" t="str">
        <f>TEXT(Table3[[#This Row],[transaction_date]], "yyyy-mm")</f>
        <v>2025-10</v>
      </c>
      <c r="D2366" t="s">
        <v>93</v>
      </c>
      <c r="E2366" t="s">
        <v>3637</v>
      </c>
      <c r="F2366" t="s">
        <v>3615</v>
      </c>
      <c r="G2366" s="1">
        <v>2902566.55</v>
      </c>
    </row>
    <row r="2367" spans="1:7">
      <c r="A2367" t="s">
        <v>2462</v>
      </c>
      <c r="B2367" s="6">
        <v>45944</v>
      </c>
      <c r="C2367" s="6" t="str">
        <f>TEXT(Table3[[#This Row],[transaction_date]], "yyyy-mm")</f>
        <v>2025-10</v>
      </c>
      <c r="D2367" t="s">
        <v>80</v>
      </c>
      <c r="E2367" t="s">
        <v>3636</v>
      </c>
      <c r="F2367" t="s">
        <v>3607</v>
      </c>
      <c r="G2367" s="1">
        <v>3480261.85</v>
      </c>
    </row>
    <row r="2368" spans="1:7">
      <c r="A2368" t="s">
        <v>2463</v>
      </c>
      <c r="B2368" s="6">
        <v>45750</v>
      </c>
      <c r="C2368" s="6" t="str">
        <f>TEXT(Table3[[#This Row],[transaction_date]], "yyyy-mm")</f>
        <v>2025-04</v>
      </c>
      <c r="D2368" t="s">
        <v>84</v>
      </c>
      <c r="E2368" t="s">
        <v>3637</v>
      </c>
      <c r="F2368" t="s">
        <v>3621</v>
      </c>
      <c r="G2368" s="1">
        <v>16135863.800000001</v>
      </c>
    </row>
    <row r="2369" spans="1:7">
      <c r="A2369" t="s">
        <v>2464</v>
      </c>
      <c r="B2369" s="6">
        <v>45877</v>
      </c>
      <c r="C2369" s="6" t="str">
        <f>TEXT(Table3[[#This Row],[transaction_date]], "yyyy-mm")</f>
        <v>2025-08</v>
      </c>
      <c r="D2369" t="s">
        <v>74</v>
      </c>
      <c r="E2369" t="s">
        <v>3637</v>
      </c>
      <c r="F2369" t="s">
        <v>3619</v>
      </c>
      <c r="G2369" s="1">
        <v>1061941.8500000001</v>
      </c>
    </row>
    <row r="2370" spans="1:7">
      <c r="A2370" t="s">
        <v>2465</v>
      </c>
      <c r="B2370" s="6">
        <v>45992</v>
      </c>
      <c r="C2370" s="6" t="str">
        <f>TEXT(Table3[[#This Row],[transaction_date]], "yyyy-mm")</f>
        <v>2025-12</v>
      </c>
      <c r="D2370" t="s">
        <v>79</v>
      </c>
      <c r="E2370" t="s">
        <v>3636</v>
      </c>
      <c r="F2370" t="s">
        <v>3606</v>
      </c>
      <c r="G2370" s="1">
        <v>5255603.05</v>
      </c>
    </row>
    <row r="2371" spans="1:7">
      <c r="A2371" t="s">
        <v>2466</v>
      </c>
      <c r="B2371" s="6">
        <v>45979</v>
      </c>
      <c r="C2371" s="6" t="str">
        <f>TEXT(Table3[[#This Row],[transaction_date]], "yyyy-mm")</f>
        <v>2025-11</v>
      </c>
      <c r="D2371" t="s">
        <v>77</v>
      </c>
      <c r="E2371" t="s">
        <v>3636</v>
      </c>
      <c r="F2371" t="s">
        <v>3613</v>
      </c>
      <c r="G2371" s="1">
        <v>17168827.609999999</v>
      </c>
    </row>
    <row r="2372" spans="1:7">
      <c r="A2372" t="s">
        <v>2467</v>
      </c>
      <c r="B2372" s="6">
        <v>45976</v>
      </c>
      <c r="C2372" s="6" t="str">
        <f>TEXT(Table3[[#This Row],[transaction_date]], "yyyy-mm")</f>
        <v>2025-11</v>
      </c>
      <c r="D2372" t="s">
        <v>79</v>
      </c>
      <c r="E2372" t="s">
        <v>3637</v>
      </c>
      <c r="F2372" t="s">
        <v>3623</v>
      </c>
      <c r="G2372" s="1">
        <v>1536997.37</v>
      </c>
    </row>
    <row r="2373" spans="1:7">
      <c r="A2373" t="s">
        <v>2468</v>
      </c>
      <c r="B2373" s="6">
        <v>46008</v>
      </c>
      <c r="C2373" s="6" t="str">
        <f>TEXT(Table3[[#This Row],[transaction_date]], "yyyy-mm")</f>
        <v>2025-12</v>
      </c>
      <c r="D2373" t="s">
        <v>73</v>
      </c>
      <c r="E2373" t="s">
        <v>3637</v>
      </c>
      <c r="F2373" t="s">
        <v>3619</v>
      </c>
      <c r="G2373" s="1">
        <v>753405.76</v>
      </c>
    </row>
    <row r="2374" spans="1:7">
      <c r="A2374" t="s">
        <v>2469</v>
      </c>
      <c r="B2374" s="6">
        <v>45994</v>
      </c>
      <c r="C2374" s="6" t="str">
        <f>TEXT(Table3[[#This Row],[transaction_date]], "yyyy-mm")</f>
        <v>2025-12</v>
      </c>
      <c r="D2374" t="s">
        <v>76</v>
      </c>
      <c r="E2374" t="s">
        <v>3637</v>
      </c>
      <c r="F2374" t="s">
        <v>3618</v>
      </c>
      <c r="G2374" s="1">
        <v>11453138.93</v>
      </c>
    </row>
    <row r="2375" spans="1:7">
      <c r="A2375" t="s">
        <v>2470</v>
      </c>
      <c r="B2375" s="6">
        <v>46010</v>
      </c>
      <c r="C2375" s="6" t="str">
        <f>TEXT(Table3[[#This Row],[transaction_date]], "yyyy-mm")</f>
        <v>2025-12</v>
      </c>
      <c r="D2375" t="s">
        <v>73</v>
      </c>
      <c r="E2375" t="s">
        <v>3636</v>
      </c>
      <c r="F2375" t="s">
        <v>3605</v>
      </c>
      <c r="G2375" s="1">
        <v>159488.42000000001</v>
      </c>
    </row>
    <row r="2376" spans="1:7">
      <c r="A2376" t="s">
        <v>2471</v>
      </c>
      <c r="B2376" s="6">
        <v>45840</v>
      </c>
      <c r="C2376" s="6" t="str">
        <f>TEXT(Table3[[#This Row],[transaction_date]], "yyyy-mm")</f>
        <v>2025-07</v>
      </c>
      <c r="D2376" t="s">
        <v>73</v>
      </c>
      <c r="E2376" t="s">
        <v>3636</v>
      </c>
      <c r="F2376" t="s">
        <v>3607</v>
      </c>
      <c r="G2376" s="1">
        <v>1208172.18</v>
      </c>
    </row>
    <row r="2377" spans="1:7">
      <c r="A2377" t="s">
        <v>2472</v>
      </c>
      <c r="B2377" s="6">
        <v>45690</v>
      </c>
      <c r="C2377" s="6" t="str">
        <f>TEXT(Table3[[#This Row],[transaction_date]], "yyyy-mm")</f>
        <v>2025-02</v>
      </c>
      <c r="D2377" t="s">
        <v>79</v>
      </c>
      <c r="E2377" t="s">
        <v>3636</v>
      </c>
      <c r="F2377" t="s">
        <v>3612</v>
      </c>
      <c r="G2377" s="1">
        <v>6483627.0300000003</v>
      </c>
    </row>
    <row r="2378" spans="1:7">
      <c r="A2378" t="s">
        <v>2473</v>
      </c>
      <c r="B2378" s="6">
        <v>45888</v>
      </c>
      <c r="C2378" s="6" t="str">
        <f>TEXT(Table3[[#This Row],[transaction_date]], "yyyy-mm")</f>
        <v>2025-08</v>
      </c>
      <c r="D2378" t="s">
        <v>73</v>
      </c>
      <c r="E2378" t="s">
        <v>3637</v>
      </c>
      <c r="F2378" t="s">
        <v>3618</v>
      </c>
      <c r="G2378" s="1">
        <v>6488891.0499999998</v>
      </c>
    </row>
    <row r="2379" spans="1:7">
      <c r="A2379" t="s">
        <v>2474</v>
      </c>
      <c r="B2379" s="6">
        <v>46022</v>
      </c>
      <c r="C2379" s="6" t="str">
        <f>TEXT(Table3[[#This Row],[transaction_date]], "yyyy-mm")</f>
        <v>2025-12</v>
      </c>
      <c r="D2379" t="s">
        <v>77</v>
      </c>
      <c r="E2379" t="s">
        <v>3636</v>
      </c>
      <c r="F2379" t="s">
        <v>3608</v>
      </c>
      <c r="G2379" s="1">
        <v>792668.44</v>
      </c>
    </row>
    <row r="2380" spans="1:7">
      <c r="A2380" t="s">
        <v>2475</v>
      </c>
      <c r="B2380" s="6">
        <v>45980</v>
      </c>
      <c r="C2380" s="6" t="str">
        <f>TEXT(Table3[[#This Row],[transaction_date]], "yyyy-mm")</f>
        <v>2025-11</v>
      </c>
      <c r="D2380" t="s">
        <v>84</v>
      </c>
      <c r="E2380" t="s">
        <v>3636</v>
      </c>
      <c r="F2380" t="s">
        <v>3608</v>
      </c>
      <c r="G2380" s="1">
        <v>19045057.100000001</v>
      </c>
    </row>
    <row r="2381" spans="1:7">
      <c r="A2381" t="s">
        <v>2476</v>
      </c>
      <c r="B2381" s="6">
        <v>45658</v>
      </c>
      <c r="C2381" s="6" t="str">
        <f>TEXT(Table3[[#This Row],[transaction_date]], "yyyy-mm")</f>
        <v>2025-01</v>
      </c>
      <c r="D2381" t="s">
        <v>95</v>
      </c>
      <c r="E2381" t="s">
        <v>3637</v>
      </c>
      <c r="F2381" t="s">
        <v>3614</v>
      </c>
      <c r="G2381" s="1">
        <v>2384209.0699999998</v>
      </c>
    </row>
    <row r="2382" spans="1:7">
      <c r="A2382" t="s">
        <v>2477</v>
      </c>
      <c r="B2382" s="6">
        <v>45774</v>
      </c>
      <c r="C2382" s="6" t="str">
        <f>TEXT(Table3[[#This Row],[transaction_date]], "yyyy-mm")</f>
        <v>2025-04</v>
      </c>
      <c r="D2382" t="s">
        <v>79</v>
      </c>
      <c r="E2382" t="s">
        <v>3637</v>
      </c>
      <c r="F2382" t="s">
        <v>3620</v>
      </c>
      <c r="G2382" s="1">
        <v>3749848.97</v>
      </c>
    </row>
    <row r="2383" spans="1:7">
      <c r="A2383" t="s">
        <v>2478</v>
      </c>
      <c r="B2383" s="6">
        <v>45897</v>
      </c>
      <c r="C2383" s="6" t="str">
        <f>TEXT(Table3[[#This Row],[transaction_date]], "yyyy-mm")</f>
        <v>2025-08</v>
      </c>
      <c r="D2383" t="s">
        <v>79</v>
      </c>
      <c r="E2383" t="s">
        <v>3636</v>
      </c>
      <c r="F2383" t="s">
        <v>3604</v>
      </c>
      <c r="G2383" s="1">
        <v>4008723.61</v>
      </c>
    </row>
    <row r="2384" spans="1:7">
      <c r="A2384" t="s">
        <v>2479</v>
      </c>
      <c r="B2384" s="6">
        <v>45661</v>
      </c>
      <c r="C2384" s="6" t="str">
        <f>TEXT(Table3[[#This Row],[transaction_date]], "yyyy-mm")</f>
        <v>2025-01</v>
      </c>
      <c r="D2384" t="s">
        <v>85</v>
      </c>
      <c r="E2384" t="s">
        <v>3636</v>
      </c>
      <c r="F2384" t="s">
        <v>3607</v>
      </c>
      <c r="G2384" s="1">
        <v>1456236.86</v>
      </c>
    </row>
    <row r="2385" spans="1:7">
      <c r="A2385" t="s">
        <v>2480</v>
      </c>
      <c r="B2385" s="6">
        <v>45884</v>
      </c>
      <c r="C2385" s="6" t="str">
        <f>TEXT(Table3[[#This Row],[transaction_date]], "yyyy-mm")</f>
        <v>2025-08</v>
      </c>
      <c r="D2385" t="s">
        <v>77</v>
      </c>
      <c r="E2385" t="s">
        <v>3636</v>
      </c>
      <c r="F2385" t="s">
        <v>3609</v>
      </c>
      <c r="G2385" s="1">
        <v>196097.67</v>
      </c>
    </row>
    <row r="2386" spans="1:7">
      <c r="A2386" t="s">
        <v>2481</v>
      </c>
      <c r="B2386" s="6">
        <v>45897</v>
      </c>
      <c r="C2386" s="6" t="str">
        <f>TEXT(Table3[[#This Row],[transaction_date]], "yyyy-mm")</f>
        <v>2025-08</v>
      </c>
      <c r="D2386" t="s">
        <v>77</v>
      </c>
      <c r="E2386" t="s">
        <v>3636</v>
      </c>
      <c r="F2386" t="s">
        <v>3613</v>
      </c>
      <c r="G2386" s="1">
        <v>2711190.4</v>
      </c>
    </row>
    <row r="2387" spans="1:7">
      <c r="A2387" t="s">
        <v>2482</v>
      </c>
      <c r="B2387" s="6">
        <v>45741</v>
      </c>
      <c r="C2387" s="6" t="str">
        <f>TEXT(Table3[[#This Row],[transaction_date]], "yyyy-mm")</f>
        <v>2025-03</v>
      </c>
      <c r="D2387" t="s">
        <v>78</v>
      </c>
      <c r="E2387" t="s">
        <v>3637</v>
      </c>
      <c r="F2387" t="s">
        <v>3621</v>
      </c>
      <c r="G2387" s="1">
        <v>931936.18</v>
      </c>
    </row>
    <row r="2388" spans="1:7">
      <c r="A2388" t="s">
        <v>2483</v>
      </c>
      <c r="B2388" s="6">
        <v>45661</v>
      </c>
      <c r="C2388" s="6" t="str">
        <f>TEXT(Table3[[#This Row],[transaction_date]], "yyyy-mm")</f>
        <v>2025-01</v>
      </c>
      <c r="D2388" t="s">
        <v>93</v>
      </c>
      <c r="E2388" t="s">
        <v>3636</v>
      </c>
      <c r="F2388" t="s">
        <v>3612</v>
      </c>
      <c r="G2388" s="1">
        <v>7513450.0899999999</v>
      </c>
    </row>
    <row r="2389" spans="1:7">
      <c r="A2389" t="s">
        <v>2484</v>
      </c>
      <c r="B2389" s="6">
        <v>45986</v>
      </c>
      <c r="C2389" s="6" t="str">
        <f>TEXT(Table3[[#This Row],[transaction_date]], "yyyy-mm")</f>
        <v>2025-11</v>
      </c>
      <c r="D2389" t="s">
        <v>79</v>
      </c>
      <c r="E2389" t="s">
        <v>3636</v>
      </c>
      <c r="F2389" t="s">
        <v>3604</v>
      </c>
      <c r="G2389" s="1">
        <v>1211880.93</v>
      </c>
    </row>
    <row r="2390" spans="1:7">
      <c r="A2390" t="s">
        <v>2485</v>
      </c>
      <c r="B2390" s="6">
        <v>45879</v>
      </c>
      <c r="C2390" s="6" t="str">
        <f>TEXT(Table3[[#This Row],[transaction_date]], "yyyy-mm")</f>
        <v>2025-08</v>
      </c>
      <c r="D2390" t="s">
        <v>82</v>
      </c>
      <c r="E2390" t="s">
        <v>3637</v>
      </c>
      <c r="F2390" t="s">
        <v>3616</v>
      </c>
      <c r="G2390" s="1">
        <v>18880117.34</v>
      </c>
    </row>
    <row r="2391" spans="1:7">
      <c r="A2391" t="s">
        <v>2486</v>
      </c>
      <c r="B2391" s="6">
        <v>45782</v>
      </c>
      <c r="C2391" s="6" t="str">
        <f>TEXT(Table3[[#This Row],[transaction_date]], "yyyy-mm")</f>
        <v>2025-05</v>
      </c>
      <c r="D2391" t="s">
        <v>76</v>
      </c>
      <c r="E2391" t="s">
        <v>3637</v>
      </c>
      <c r="F2391" t="s">
        <v>3619</v>
      </c>
      <c r="G2391" s="1">
        <v>9671437.9900000002</v>
      </c>
    </row>
    <row r="2392" spans="1:7">
      <c r="A2392" t="s">
        <v>2487</v>
      </c>
      <c r="B2392" s="6">
        <v>45745</v>
      </c>
      <c r="C2392" s="6" t="str">
        <f>TEXT(Table3[[#This Row],[transaction_date]], "yyyy-mm")</f>
        <v>2025-03</v>
      </c>
      <c r="D2392" t="s">
        <v>89</v>
      </c>
      <c r="E2392" t="s">
        <v>3636</v>
      </c>
      <c r="F2392" t="s">
        <v>3612</v>
      </c>
      <c r="G2392" s="1">
        <v>898568.21</v>
      </c>
    </row>
    <row r="2393" spans="1:7">
      <c r="A2393" t="s">
        <v>2488</v>
      </c>
      <c r="B2393" s="6">
        <v>45729</v>
      </c>
      <c r="C2393" s="6" t="str">
        <f>TEXT(Table3[[#This Row],[transaction_date]], "yyyy-mm")</f>
        <v>2025-03</v>
      </c>
      <c r="D2393" t="s">
        <v>77</v>
      </c>
      <c r="E2393" t="s">
        <v>3637</v>
      </c>
      <c r="F2393" t="s">
        <v>3622</v>
      </c>
      <c r="G2393" s="1">
        <v>6487920.4699999997</v>
      </c>
    </row>
    <row r="2394" spans="1:7">
      <c r="A2394" t="s">
        <v>2489</v>
      </c>
      <c r="B2394" s="6">
        <v>45949</v>
      </c>
      <c r="C2394" s="6" t="str">
        <f>TEXT(Table3[[#This Row],[transaction_date]], "yyyy-mm")</f>
        <v>2025-10</v>
      </c>
      <c r="D2394" t="s">
        <v>80</v>
      </c>
      <c r="E2394" t="s">
        <v>3636</v>
      </c>
      <c r="F2394" t="s">
        <v>3605</v>
      </c>
      <c r="G2394" s="1">
        <v>1487270.18</v>
      </c>
    </row>
    <row r="2395" spans="1:7">
      <c r="A2395" t="s">
        <v>2490</v>
      </c>
      <c r="B2395" s="6">
        <v>45842</v>
      </c>
      <c r="C2395" s="6" t="str">
        <f>TEXT(Table3[[#This Row],[transaction_date]], "yyyy-mm")</f>
        <v>2025-07</v>
      </c>
      <c r="D2395" t="s">
        <v>77</v>
      </c>
      <c r="E2395" t="s">
        <v>3636</v>
      </c>
      <c r="F2395" t="s">
        <v>3605</v>
      </c>
      <c r="G2395" s="1">
        <v>12841652.029999999</v>
      </c>
    </row>
    <row r="2396" spans="1:7">
      <c r="A2396" t="s">
        <v>2491</v>
      </c>
      <c r="B2396" s="6">
        <v>45763</v>
      </c>
      <c r="C2396" s="6" t="str">
        <f>TEXT(Table3[[#This Row],[transaction_date]], "yyyy-mm")</f>
        <v>2025-04</v>
      </c>
      <c r="D2396" t="s">
        <v>3597</v>
      </c>
      <c r="E2396" t="s">
        <v>3636</v>
      </c>
      <c r="F2396" t="s">
        <v>3604</v>
      </c>
      <c r="G2396" s="1">
        <v>11248517.76</v>
      </c>
    </row>
    <row r="2397" spans="1:7">
      <c r="A2397" t="s">
        <v>2492</v>
      </c>
      <c r="B2397" s="6">
        <v>45992</v>
      </c>
      <c r="C2397" s="6" t="str">
        <f>TEXT(Table3[[#This Row],[transaction_date]], "yyyy-mm")</f>
        <v>2025-12</v>
      </c>
      <c r="D2397" t="s">
        <v>76</v>
      </c>
      <c r="E2397" t="s">
        <v>3637</v>
      </c>
      <c r="F2397" t="s">
        <v>3620</v>
      </c>
      <c r="G2397" s="1">
        <v>1123036.1299999999</v>
      </c>
    </row>
    <row r="2398" spans="1:7">
      <c r="A2398" t="s">
        <v>2493</v>
      </c>
      <c r="B2398" s="6">
        <v>45876</v>
      </c>
      <c r="C2398" s="6" t="str">
        <f>TEXT(Table3[[#This Row],[transaction_date]], "yyyy-mm")</f>
        <v>2025-08</v>
      </c>
      <c r="D2398" t="s">
        <v>78</v>
      </c>
      <c r="E2398" t="s">
        <v>3637</v>
      </c>
      <c r="F2398" t="s">
        <v>3614</v>
      </c>
      <c r="G2398" s="1">
        <v>9929739.8200000003</v>
      </c>
    </row>
    <row r="2399" spans="1:7">
      <c r="A2399" t="s">
        <v>2494</v>
      </c>
      <c r="B2399" s="6">
        <v>45985</v>
      </c>
      <c r="C2399" s="6" t="str">
        <f>TEXT(Table3[[#This Row],[transaction_date]], "yyyy-mm")</f>
        <v>2025-11</v>
      </c>
      <c r="D2399" t="s">
        <v>90</v>
      </c>
      <c r="E2399" t="s">
        <v>3636</v>
      </c>
      <c r="F2399" t="s">
        <v>3610</v>
      </c>
      <c r="G2399" s="1">
        <v>4600654.6500000004</v>
      </c>
    </row>
    <row r="2400" spans="1:7">
      <c r="A2400" t="s">
        <v>2495</v>
      </c>
      <c r="B2400" s="6">
        <v>45943</v>
      </c>
      <c r="C2400" s="6" t="str">
        <f>TEXT(Table3[[#This Row],[transaction_date]], "yyyy-mm")</f>
        <v>2025-10</v>
      </c>
      <c r="D2400" t="s">
        <v>74</v>
      </c>
      <c r="E2400" t="s">
        <v>3637</v>
      </c>
      <c r="F2400" t="s">
        <v>3616</v>
      </c>
      <c r="G2400" s="1">
        <v>38294.339999999997</v>
      </c>
    </row>
    <row r="2401" spans="1:7">
      <c r="A2401" t="s">
        <v>2496</v>
      </c>
      <c r="B2401" s="6">
        <v>45831</v>
      </c>
      <c r="C2401" s="6" t="str">
        <f>TEXT(Table3[[#This Row],[transaction_date]], "yyyy-mm")</f>
        <v>2025-06</v>
      </c>
      <c r="D2401" t="s">
        <v>95</v>
      </c>
      <c r="E2401" t="s">
        <v>3636</v>
      </c>
      <c r="F2401" t="s">
        <v>3613</v>
      </c>
      <c r="G2401" s="1">
        <v>9260378.0500000007</v>
      </c>
    </row>
    <row r="2402" spans="1:7">
      <c r="A2402" t="s">
        <v>2497</v>
      </c>
      <c r="B2402" s="6">
        <v>45662</v>
      </c>
      <c r="C2402" s="6" t="str">
        <f>TEXT(Table3[[#This Row],[transaction_date]], "yyyy-mm")</f>
        <v>2025-01</v>
      </c>
      <c r="D2402" t="s">
        <v>85</v>
      </c>
      <c r="E2402" t="s">
        <v>3636</v>
      </c>
      <c r="F2402" t="s">
        <v>3604</v>
      </c>
      <c r="G2402" s="1">
        <v>1743480.4</v>
      </c>
    </row>
    <row r="2403" spans="1:7">
      <c r="A2403" t="s">
        <v>2498</v>
      </c>
      <c r="B2403" s="6">
        <v>45956</v>
      </c>
      <c r="C2403" s="6" t="str">
        <f>TEXT(Table3[[#This Row],[transaction_date]], "yyyy-mm")</f>
        <v>2025-10</v>
      </c>
      <c r="D2403" t="s">
        <v>73</v>
      </c>
      <c r="E2403" t="s">
        <v>3636</v>
      </c>
      <c r="F2403" t="s">
        <v>3604</v>
      </c>
      <c r="G2403" s="1">
        <v>12105436.74</v>
      </c>
    </row>
    <row r="2404" spans="1:7">
      <c r="A2404" t="s">
        <v>2499</v>
      </c>
      <c r="B2404" s="6">
        <v>45727</v>
      </c>
      <c r="C2404" s="6" t="str">
        <f>TEXT(Table3[[#This Row],[transaction_date]], "yyyy-mm")</f>
        <v>2025-03</v>
      </c>
      <c r="D2404" t="s">
        <v>82</v>
      </c>
      <c r="E2404" t="s">
        <v>3637</v>
      </c>
      <c r="F2404" t="s">
        <v>3616</v>
      </c>
      <c r="G2404" s="1">
        <v>23219071.57</v>
      </c>
    </row>
    <row r="2405" spans="1:7">
      <c r="A2405" t="s">
        <v>2500</v>
      </c>
      <c r="B2405" s="6">
        <v>45753</v>
      </c>
      <c r="C2405" s="6" t="str">
        <f>TEXT(Table3[[#This Row],[transaction_date]], "yyyy-mm")</f>
        <v>2025-04</v>
      </c>
      <c r="D2405" t="s">
        <v>95</v>
      </c>
      <c r="E2405" t="s">
        <v>3636</v>
      </c>
      <c r="F2405" t="s">
        <v>3604</v>
      </c>
      <c r="G2405" s="1">
        <v>95962.04</v>
      </c>
    </row>
    <row r="2406" spans="1:7">
      <c r="A2406" t="s">
        <v>2501</v>
      </c>
      <c r="B2406" s="6">
        <v>45942</v>
      </c>
      <c r="C2406" s="6" t="str">
        <f>TEXT(Table3[[#This Row],[transaction_date]], "yyyy-mm")</f>
        <v>2025-10</v>
      </c>
      <c r="D2406" t="s">
        <v>73</v>
      </c>
      <c r="E2406" t="s">
        <v>3637</v>
      </c>
      <c r="F2406" t="s">
        <v>3619</v>
      </c>
      <c r="G2406" s="1">
        <v>73415.12</v>
      </c>
    </row>
    <row r="2407" spans="1:7">
      <c r="A2407" t="s">
        <v>2502</v>
      </c>
      <c r="B2407" s="6">
        <v>46003</v>
      </c>
      <c r="C2407" s="6" t="str">
        <f>TEXT(Table3[[#This Row],[transaction_date]], "yyyy-mm")</f>
        <v>2025-12</v>
      </c>
      <c r="D2407" t="s">
        <v>80</v>
      </c>
      <c r="E2407" t="s">
        <v>3636</v>
      </c>
      <c r="F2407" t="s">
        <v>3605</v>
      </c>
      <c r="G2407" s="1">
        <v>1525802.67</v>
      </c>
    </row>
    <row r="2408" spans="1:7">
      <c r="A2408" t="s">
        <v>2503</v>
      </c>
      <c r="B2408" s="6">
        <v>45868</v>
      </c>
      <c r="C2408" s="6" t="str">
        <f>TEXT(Table3[[#This Row],[transaction_date]], "yyyy-mm")</f>
        <v>2025-07</v>
      </c>
      <c r="D2408" t="s">
        <v>75</v>
      </c>
      <c r="E2408" t="s">
        <v>3636</v>
      </c>
      <c r="F2408" t="s">
        <v>3613</v>
      </c>
      <c r="G2408" s="1">
        <v>5242437.91</v>
      </c>
    </row>
    <row r="2409" spans="1:7">
      <c r="A2409" t="s">
        <v>2504</v>
      </c>
      <c r="B2409" s="6">
        <v>45888</v>
      </c>
      <c r="C2409" s="6" t="str">
        <f>TEXT(Table3[[#This Row],[transaction_date]], "yyyy-mm")</f>
        <v>2025-08</v>
      </c>
      <c r="D2409" t="s">
        <v>89</v>
      </c>
      <c r="E2409" t="s">
        <v>3636</v>
      </c>
      <c r="F2409" t="s">
        <v>3613</v>
      </c>
      <c r="G2409" s="1">
        <v>35194.04</v>
      </c>
    </row>
    <row r="2410" spans="1:7">
      <c r="A2410" t="s">
        <v>2505</v>
      </c>
      <c r="B2410" s="6">
        <v>45919</v>
      </c>
      <c r="C2410" s="6" t="str">
        <f>TEXT(Table3[[#This Row],[transaction_date]], "yyyy-mm")</f>
        <v>2025-09</v>
      </c>
      <c r="D2410" t="s">
        <v>90</v>
      </c>
      <c r="E2410" t="s">
        <v>3637</v>
      </c>
      <c r="F2410" t="s">
        <v>3619</v>
      </c>
      <c r="G2410" s="1">
        <v>3813147.35</v>
      </c>
    </row>
    <row r="2411" spans="1:7">
      <c r="A2411" t="s">
        <v>2506</v>
      </c>
      <c r="B2411" s="6">
        <v>45662</v>
      </c>
      <c r="C2411" s="6" t="str">
        <f>TEXT(Table3[[#This Row],[transaction_date]], "yyyy-mm")</f>
        <v>2025-01</v>
      </c>
      <c r="D2411" t="s">
        <v>85</v>
      </c>
      <c r="E2411" t="s">
        <v>3637</v>
      </c>
      <c r="F2411" t="s">
        <v>3616</v>
      </c>
      <c r="G2411" s="1">
        <v>1425508.42</v>
      </c>
    </row>
    <row r="2412" spans="1:7">
      <c r="A2412" t="s">
        <v>2507</v>
      </c>
      <c r="B2412" s="6">
        <v>46017</v>
      </c>
      <c r="C2412" s="6" t="str">
        <f>TEXT(Table3[[#This Row],[transaction_date]], "yyyy-mm")</f>
        <v>2025-12</v>
      </c>
      <c r="D2412" t="s">
        <v>90</v>
      </c>
      <c r="E2412" t="s">
        <v>3636</v>
      </c>
      <c r="F2412" t="s">
        <v>3609</v>
      </c>
      <c r="G2412" s="1">
        <v>24227432.41</v>
      </c>
    </row>
    <row r="2413" spans="1:7">
      <c r="A2413" t="s">
        <v>2508</v>
      </c>
      <c r="B2413" s="6">
        <v>45880</v>
      </c>
      <c r="C2413" s="6" t="str">
        <f>TEXT(Table3[[#This Row],[transaction_date]], "yyyy-mm")</f>
        <v>2025-08</v>
      </c>
      <c r="D2413" t="s">
        <v>3597</v>
      </c>
      <c r="E2413" t="s">
        <v>3637</v>
      </c>
      <c r="F2413" t="s">
        <v>3614</v>
      </c>
      <c r="G2413" s="1">
        <v>4733484.2699999996</v>
      </c>
    </row>
    <row r="2414" spans="1:7">
      <c r="A2414" t="s">
        <v>2509</v>
      </c>
      <c r="B2414" s="6">
        <v>45761</v>
      </c>
      <c r="C2414" s="6" t="str">
        <f>TEXT(Table3[[#This Row],[transaction_date]], "yyyy-mm")</f>
        <v>2025-04</v>
      </c>
      <c r="D2414" t="s">
        <v>80</v>
      </c>
      <c r="E2414" t="s">
        <v>3637</v>
      </c>
      <c r="F2414" t="s">
        <v>3615</v>
      </c>
      <c r="G2414" s="1">
        <v>192124.18</v>
      </c>
    </row>
    <row r="2415" spans="1:7">
      <c r="A2415" t="s">
        <v>2510</v>
      </c>
      <c r="B2415" s="6">
        <v>45887</v>
      </c>
      <c r="C2415" s="6" t="str">
        <f>TEXT(Table3[[#This Row],[transaction_date]], "yyyy-mm")</f>
        <v>2025-08</v>
      </c>
      <c r="D2415" t="s">
        <v>82</v>
      </c>
      <c r="E2415" t="s">
        <v>3637</v>
      </c>
      <c r="F2415" t="s">
        <v>3622</v>
      </c>
      <c r="G2415" s="1">
        <v>8655722.8699999992</v>
      </c>
    </row>
    <row r="2416" spans="1:7">
      <c r="A2416" t="s">
        <v>2511</v>
      </c>
      <c r="B2416" s="6">
        <v>45819</v>
      </c>
      <c r="C2416" s="6" t="str">
        <f>TEXT(Table3[[#This Row],[transaction_date]], "yyyy-mm")</f>
        <v>2025-06</v>
      </c>
      <c r="D2416" t="s">
        <v>77</v>
      </c>
      <c r="E2416" t="s">
        <v>3637</v>
      </c>
      <c r="F2416" t="s">
        <v>3622</v>
      </c>
      <c r="G2416" s="1">
        <v>6852514.0199999996</v>
      </c>
    </row>
    <row r="2417" spans="1:7">
      <c r="A2417" t="s">
        <v>2512</v>
      </c>
      <c r="B2417" s="6">
        <v>45990</v>
      </c>
      <c r="C2417" s="6" t="str">
        <f>TEXT(Table3[[#This Row],[transaction_date]], "yyyy-mm")</f>
        <v>2025-11</v>
      </c>
      <c r="D2417" t="s">
        <v>85</v>
      </c>
      <c r="E2417" t="s">
        <v>3637</v>
      </c>
      <c r="F2417" t="s">
        <v>3623</v>
      </c>
      <c r="G2417" s="1">
        <v>70354.73</v>
      </c>
    </row>
    <row r="2418" spans="1:7">
      <c r="A2418" t="s">
        <v>2513</v>
      </c>
      <c r="B2418" s="6">
        <v>45686</v>
      </c>
      <c r="C2418" s="6" t="str">
        <f>TEXT(Table3[[#This Row],[transaction_date]], "yyyy-mm")</f>
        <v>2025-01</v>
      </c>
      <c r="D2418" t="s">
        <v>77</v>
      </c>
      <c r="E2418" t="s">
        <v>3636</v>
      </c>
      <c r="F2418" t="s">
        <v>3613</v>
      </c>
      <c r="G2418" s="1">
        <v>17121470.32</v>
      </c>
    </row>
    <row r="2419" spans="1:7">
      <c r="A2419" t="s">
        <v>2514</v>
      </c>
      <c r="B2419" s="6">
        <v>45798</v>
      </c>
      <c r="C2419" s="6" t="str">
        <f>TEXT(Table3[[#This Row],[transaction_date]], "yyyy-mm")</f>
        <v>2025-05</v>
      </c>
      <c r="D2419" t="s">
        <v>82</v>
      </c>
      <c r="E2419" t="s">
        <v>3637</v>
      </c>
      <c r="F2419" t="s">
        <v>3616</v>
      </c>
      <c r="G2419" s="1">
        <v>22154580.350000001</v>
      </c>
    </row>
    <row r="2420" spans="1:7">
      <c r="A2420" t="s">
        <v>2515</v>
      </c>
      <c r="B2420" s="6">
        <v>46007</v>
      </c>
      <c r="C2420" s="6" t="str">
        <f>TEXT(Table3[[#This Row],[transaction_date]], "yyyy-mm")</f>
        <v>2025-12</v>
      </c>
      <c r="D2420" t="s">
        <v>77</v>
      </c>
      <c r="E2420" t="s">
        <v>3637</v>
      </c>
      <c r="F2420" t="s">
        <v>3619</v>
      </c>
      <c r="G2420" s="1">
        <v>9623319.4199999999</v>
      </c>
    </row>
    <row r="2421" spans="1:7">
      <c r="A2421" t="s">
        <v>2516</v>
      </c>
      <c r="B2421" s="6">
        <v>45742</v>
      </c>
      <c r="C2421" s="6" t="str">
        <f>TEXT(Table3[[#This Row],[transaction_date]], "yyyy-mm")</f>
        <v>2025-03</v>
      </c>
      <c r="D2421" t="s">
        <v>95</v>
      </c>
      <c r="E2421" t="s">
        <v>3637</v>
      </c>
      <c r="F2421" t="s">
        <v>3620</v>
      </c>
      <c r="G2421" s="1">
        <v>3637648.71</v>
      </c>
    </row>
    <row r="2422" spans="1:7">
      <c r="A2422" t="s">
        <v>2517</v>
      </c>
      <c r="B2422" s="6">
        <v>45663</v>
      </c>
      <c r="C2422" s="6" t="str">
        <f>TEXT(Table3[[#This Row],[transaction_date]], "yyyy-mm")</f>
        <v>2025-01</v>
      </c>
      <c r="D2422" t="s">
        <v>93</v>
      </c>
      <c r="E2422" t="s">
        <v>3636</v>
      </c>
      <c r="F2422" t="s">
        <v>3609</v>
      </c>
      <c r="G2422" s="1">
        <v>3505534.34</v>
      </c>
    </row>
    <row r="2423" spans="1:7">
      <c r="A2423" t="s">
        <v>2518</v>
      </c>
      <c r="B2423" s="6">
        <v>45812</v>
      </c>
      <c r="C2423" s="6" t="str">
        <f>TEXT(Table3[[#This Row],[transaction_date]], "yyyy-mm")</f>
        <v>2025-06</v>
      </c>
      <c r="D2423" t="s">
        <v>75</v>
      </c>
      <c r="E2423" t="s">
        <v>3636</v>
      </c>
      <c r="F2423" t="s">
        <v>3612</v>
      </c>
      <c r="G2423" s="1">
        <v>5934227.5899999999</v>
      </c>
    </row>
    <row r="2424" spans="1:7">
      <c r="A2424" t="s">
        <v>2519</v>
      </c>
      <c r="B2424" s="6">
        <v>45982</v>
      </c>
      <c r="C2424" s="6" t="str">
        <f>TEXT(Table3[[#This Row],[transaction_date]], "yyyy-mm")</f>
        <v>2025-11</v>
      </c>
      <c r="D2424" t="s">
        <v>77</v>
      </c>
      <c r="E2424" t="s">
        <v>3636</v>
      </c>
      <c r="F2424" t="s">
        <v>3610</v>
      </c>
      <c r="G2424" s="1">
        <v>711956.32</v>
      </c>
    </row>
    <row r="2425" spans="1:7">
      <c r="A2425" t="s">
        <v>2520</v>
      </c>
      <c r="B2425" s="6">
        <v>45786</v>
      </c>
      <c r="C2425" s="6" t="str">
        <f>TEXT(Table3[[#This Row],[transaction_date]], "yyyy-mm")</f>
        <v>2025-05</v>
      </c>
      <c r="D2425" t="s">
        <v>3597</v>
      </c>
      <c r="E2425" t="s">
        <v>3636</v>
      </c>
      <c r="F2425" t="s">
        <v>3604</v>
      </c>
      <c r="G2425" s="1">
        <v>10147301.029999999</v>
      </c>
    </row>
    <row r="2426" spans="1:7">
      <c r="A2426" t="s">
        <v>2521</v>
      </c>
      <c r="B2426" s="6">
        <v>45763</v>
      </c>
      <c r="C2426" s="6" t="str">
        <f>TEXT(Table3[[#This Row],[transaction_date]], "yyyy-mm")</f>
        <v>2025-04</v>
      </c>
      <c r="D2426" t="s">
        <v>89</v>
      </c>
      <c r="E2426" t="s">
        <v>3637</v>
      </c>
      <c r="F2426" t="s">
        <v>3617</v>
      </c>
      <c r="G2426" s="1">
        <v>872995.31</v>
      </c>
    </row>
    <row r="2427" spans="1:7">
      <c r="A2427" t="s">
        <v>2522</v>
      </c>
      <c r="B2427" s="6">
        <v>45769</v>
      </c>
      <c r="C2427" s="6" t="str">
        <f>TEXT(Table3[[#This Row],[transaction_date]], "yyyy-mm")</f>
        <v>2025-04</v>
      </c>
      <c r="D2427" t="s">
        <v>76</v>
      </c>
      <c r="E2427" t="s">
        <v>3637</v>
      </c>
      <c r="F2427" t="s">
        <v>3615</v>
      </c>
      <c r="G2427" s="1">
        <v>15196248.560000001</v>
      </c>
    </row>
    <row r="2428" spans="1:7">
      <c r="A2428" t="s">
        <v>2523</v>
      </c>
      <c r="B2428" s="6">
        <v>45833</v>
      </c>
      <c r="C2428" s="6" t="str">
        <f>TEXT(Table3[[#This Row],[transaction_date]], "yyyy-mm")</f>
        <v>2025-06</v>
      </c>
      <c r="D2428" t="s">
        <v>93</v>
      </c>
      <c r="E2428" t="s">
        <v>3637</v>
      </c>
      <c r="F2428" t="s">
        <v>3616</v>
      </c>
      <c r="G2428" s="1">
        <v>9691643.7599999998</v>
      </c>
    </row>
    <row r="2429" spans="1:7">
      <c r="A2429" t="s">
        <v>2524</v>
      </c>
      <c r="B2429" s="6">
        <v>45839</v>
      </c>
      <c r="C2429" s="6" t="str">
        <f>TEXT(Table3[[#This Row],[transaction_date]], "yyyy-mm")</f>
        <v>2025-07</v>
      </c>
      <c r="D2429" t="s">
        <v>3597</v>
      </c>
      <c r="E2429" t="s">
        <v>3636</v>
      </c>
      <c r="F2429" t="s">
        <v>3605</v>
      </c>
      <c r="G2429" s="1">
        <v>8145278.8399999999</v>
      </c>
    </row>
    <row r="2430" spans="1:7">
      <c r="A2430" t="s">
        <v>2525</v>
      </c>
      <c r="B2430" s="6">
        <v>45716</v>
      </c>
      <c r="C2430" s="6" t="str">
        <f>TEXT(Table3[[#This Row],[transaction_date]], "yyyy-mm")</f>
        <v>2025-02</v>
      </c>
      <c r="D2430" t="s">
        <v>3597</v>
      </c>
      <c r="E2430" t="s">
        <v>3637</v>
      </c>
      <c r="F2430" t="s">
        <v>3623</v>
      </c>
      <c r="G2430" s="1">
        <v>810823.39</v>
      </c>
    </row>
    <row r="2431" spans="1:7">
      <c r="A2431" t="s">
        <v>2526</v>
      </c>
      <c r="B2431" s="6">
        <v>45972</v>
      </c>
      <c r="C2431" s="6" t="str">
        <f>TEXT(Table3[[#This Row],[transaction_date]], "yyyy-mm")</f>
        <v>2025-11</v>
      </c>
      <c r="D2431" t="s">
        <v>73</v>
      </c>
      <c r="E2431" t="s">
        <v>3637</v>
      </c>
      <c r="F2431" t="s">
        <v>3621</v>
      </c>
      <c r="G2431" s="1">
        <v>178812.29</v>
      </c>
    </row>
    <row r="2432" spans="1:7">
      <c r="A2432" t="s">
        <v>2527</v>
      </c>
      <c r="B2432" s="6">
        <v>45696</v>
      </c>
      <c r="C2432" s="6" t="str">
        <f>TEXT(Table3[[#This Row],[transaction_date]], "yyyy-mm")</f>
        <v>2025-02</v>
      </c>
      <c r="D2432" t="s">
        <v>74</v>
      </c>
      <c r="E2432" t="s">
        <v>3636</v>
      </c>
      <c r="F2432" t="s">
        <v>3607</v>
      </c>
      <c r="G2432" s="1">
        <v>140030.89000000001</v>
      </c>
    </row>
    <row r="2433" spans="1:7">
      <c r="A2433" t="s">
        <v>2528</v>
      </c>
      <c r="B2433" s="6">
        <v>45842</v>
      </c>
      <c r="C2433" s="6" t="str">
        <f>TEXT(Table3[[#This Row],[transaction_date]], "yyyy-mm")</f>
        <v>2025-07</v>
      </c>
      <c r="D2433" t="s">
        <v>85</v>
      </c>
      <c r="E2433" t="s">
        <v>3637</v>
      </c>
      <c r="F2433" t="s">
        <v>3619</v>
      </c>
      <c r="G2433" s="1">
        <v>1753068.99</v>
      </c>
    </row>
    <row r="2434" spans="1:7">
      <c r="A2434" t="s">
        <v>2529</v>
      </c>
      <c r="B2434" s="6">
        <v>45789</v>
      </c>
      <c r="C2434" s="6" t="str">
        <f>TEXT(Table3[[#This Row],[transaction_date]], "yyyy-mm")</f>
        <v>2025-05</v>
      </c>
      <c r="D2434" t="s">
        <v>77</v>
      </c>
      <c r="E2434" t="s">
        <v>3637</v>
      </c>
      <c r="F2434" t="s">
        <v>3615</v>
      </c>
      <c r="G2434" s="1">
        <v>1058613.26</v>
      </c>
    </row>
    <row r="2435" spans="1:7">
      <c r="A2435" t="s">
        <v>2530</v>
      </c>
      <c r="B2435" s="6">
        <v>45985</v>
      </c>
      <c r="C2435" s="6" t="str">
        <f>TEXT(Table3[[#This Row],[transaction_date]], "yyyy-mm")</f>
        <v>2025-11</v>
      </c>
      <c r="D2435" t="s">
        <v>79</v>
      </c>
      <c r="E2435" t="s">
        <v>3636</v>
      </c>
      <c r="F2435" t="s">
        <v>3606</v>
      </c>
      <c r="G2435" s="1">
        <v>5402880.5499999998</v>
      </c>
    </row>
    <row r="2436" spans="1:7">
      <c r="A2436" t="s">
        <v>2531</v>
      </c>
      <c r="B2436" s="6">
        <v>45833</v>
      </c>
      <c r="C2436" s="6" t="str">
        <f>TEXT(Table3[[#This Row],[transaction_date]], "yyyy-mm")</f>
        <v>2025-06</v>
      </c>
      <c r="D2436" t="s">
        <v>95</v>
      </c>
      <c r="E2436" t="s">
        <v>3636</v>
      </c>
      <c r="F2436" t="s">
        <v>3604</v>
      </c>
      <c r="G2436" s="1">
        <v>301977.75</v>
      </c>
    </row>
    <row r="2437" spans="1:7">
      <c r="A2437" t="s">
        <v>2532</v>
      </c>
      <c r="B2437" s="6">
        <v>45759</v>
      </c>
      <c r="C2437" s="6" t="str">
        <f>TEXT(Table3[[#This Row],[transaction_date]], "yyyy-mm")</f>
        <v>2025-04</v>
      </c>
      <c r="D2437" t="s">
        <v>80</v>
      </c>
      <c r="E2437" t="s">
        <v>3637</v>
      </c>
      <c r="F2437" t="s">
        <v>3615</v>
      </c>
      <c r="G2437" s="1">
        <v>214640.39</v>
      </c>
    </row>
    <row r="2438" spans="1:7">
      <c r="A2438" t="s">
        <v>2533</v>
      </c>
      <c r="B2438" s="6">
        <v>45827</v>
      </c>
      <c r="C2438" s="6" t="str">
        <f>TEXT(Table3[[#This Row],[transaction_date]], "yyyy-mm")</f>
        <v>2025-06</v>
      </c>
      <c r="D2438" t="s">
        <v>89</v>
      </c>
      <c r="E2438" t="s">
        <v>3636</v>
      </c>
      <c r="F2438" t="s">
        <v>3610</v>
      </c>
      <c r="G2438" s="1">
        <v>1338338.97</v>
      </c>
    </row>
    <row r="2439" spans="1:7">
      <c r="A2439" t="s">
        <v>2534</v>
      </c>
      <c r="B2439" s="6">
        <v>45996</v>
      </c>
      <c r="C2439" s="6" t="str">
        <f>TEXT(Table3[[#This Row],[transaction_date]], "yyyy-mm")</f>
        <v>2025-12</v>
      </c>
      <c r="D2439" t="s">
        <v>93</v>
      </c>
      <c r="E2439" t="s">
        <v>3637</v>
      </c>
      <c r="F2439" t="s">
        <v>3621</v>
      </c>
      <c r="G2439" s="1">
        <v>7541524.4000000004</v>
      </c>
    </row>
    <row r="2440" spans="1:7">
      <c r="A2440" t="s">
        <v>2535</v>
      </c>
      <c r="B2440" s="6">
        <v>45996</v>
      </c>
      <c r="C2440" s="6" t="str">
        <f>TEXT(Table3[[#This Row],[transaction_date]], "yyyy-mm")</f>
        <v>2025-12</v>
      </c>
      <c r="D2440" t="s">
        <v>79</v>
      </c>
      <c r="E2440" t="s">
        <v>3637</v>
      </c>
      <c r="F2440" t="s">
        <v>3623</v>
      </c>
      <c r="G2440" s="1">
        <v>6290810.2599999998</v>
      </c>
    </row>
    <row r="2441" spans="1:7">
      <c r="A2441" t="s">
        <v>2536</v>
      </c>
      <c r="B2441" s="6">
        <v>45936</v>
      </c>
      <c r="C2441" s="6" t="str">
        <f>TEXT(Table3[[#This Row],[transaction_date]], "yyyy-mm")</f>
        <v>2025-10</v>
      </c>
      <c r="D2441" t="s">
        <v>73</v>
      </c>
      <c r="E2441" t="s">
        <v>3636</v>
      </c>
      <c r="F2441" t="s">
        <v>3613</v>
      </c>
      <c r="G2441" s="1">
        <v>797319.89</v>
      </c>
    </row>
    <row r="2442" spans="1:7">
      <c r="A2442" t="s">
        <v>2537</v>
      </c>
      <c r="B2442" s="6">
        <v>45917</v>
      </c>
      <c r="C2442" s="6" t="str">
        <f>TEXT(Table3[[#This Row],[transaction_date]], "yyyy-mm")</f>
        <v>2025-09</v>
      </c>
      <c r="D2442" t="s">
        <v>79</v>
      </c>
      <c r="E2442" t="s">
        <v>3637</v>
      </c>
      <c r="F2442" t="s">
        <v>3617</v>
      </c>
      <c r="G2442" s="1">
        <v>2707247.66</v>
      </c>
    </row>
    <row r="2443" spans="1:7">
      <c r="A2443" t="s">
        <v>2538</v>
      </c>
      <c r="B2443" s="6">
        <v>45988</v>
      </c>
      <c r="C2443" s="6" t="str">
        <f>TEXT(Table3[[#This Row],[transaction_date]], "yyyy-mm")</f>
        <v>2025-11</v>
      </c>
      <c r="D2443" t="s">
        <v>85</v>
      </c>
      <c r="E2443" t="s">
        <v>3637</v>
      </c>
      <c r="F2443" t="s">
        <v>3614</v>
      </c>
      <c r="G2443" s="1">
        <v>2410193.5699999998</v>
      </c>
    </row>
    <row r="2444" spans="1:7">
      <c r="A2444" t="s">
        <v>2539</v>
      </c>
      <c r="B2444" s="6">
        <v>45698</v>
      </c>
      <c r="C2444" s="6" t="str">
        <f>TEXT(Table3[[#This Row],[transaction_date]], "yyyy-mm")</f>
        <v>2025-02</v>
      </c>
      <c r="D2444" t="s">
        <v>93</v>
      </c>
      <c r="E2444" t="s">
        <v>3637</v>
      </c>
      <c r="F2444" t="s">
        <v>3616</v>
      </c>
      <c r="G2444" s="1">
        <v>8770126.0500000007</v>
      </c>
    </row>
    <row r="2445" spans="1:7">
      <c r="A2445" t="s">
        <v>2540</v>
      </c>
      <c r="B2445" s="6">
        <v>45905</v>
      </c>
      <c r="C2445" s="6" t="str">
        <f>TEXT(Table3[[#This Row],[transaction_date]], "yyyy-mm")</f>
        <v>2025-09</v>
      </c>
      <c r="D2445" t="s">
        <v>79</v>
      </c>
      <c r="E2445" t="s">
        <v>3636</v>
      </c>
      <c r="F2445" t="s">
        <v>3613</v>
      </c>
      <c r="G2445" s="1">
        <v>699480.24</v>
      </c>
    </row>
    <row r="2446" spans="1:7">
      <c r="A2446" t="s">
        <v>2541</v>
      </c>
      <c r="B2446" s="6">
        <v>45949</v>
      </c>
      <c r="C2446" s="6" t="str">
        <f>TEXT(Table3[[#This Row],[transaction_date]], "yyyy-mm")</f>
        <v>2025-10</v>
      </c>
      <c r="D2446" t="s">
        <v>73</v>
      </c>
      <c r="E2446" t="s">
        <v>3636</v>
      </c>
      <c r="F2446" t="s">
        <v>3613</v>
      </c>
      <c r="G2446" s="1">
        <v>743453.22</v>
      </c>
    </row>
    <row r="2447" spans="1:7">
      <c r="A2447" t="s">
        <v>2542</v>
      </c>
      <c r="B2447" s="6">
        <v>45877</v>
      </c>
      <c r="C2447" s="6" t="str">
        <f>TEXT(Table3[[#This Row],[transaction_date]], "yyyy-mm")</f>
        <v>2025-08</v>
      </c>
      <c r="D2447" t="s">
        <v>79</v>
      </c>
      <c r="E2447" t="s">
        <v>3637</v>
      </c>
      <c r="F2447" t="s">
        <v>3617</v>
      </c>
      <c r="G2447" s="1">
        <v>2645369.61</v>
      </c>
    </row>
    <row r="2448" spans="1:7">
      <c r="A2448" t="s">
        <v>2543</v>
      </c>
      <c r="B2448" s="6">
        <v>45823</v>
      </c>
      <c r="C2448" s="6" t="str">
        <f>TEXT(Table3[[#This Row],[transaction_date]], "yyyy-mm")</f>
        <v>2025-06</v>
      </c>
      <c r="D2448" t="s">
        <v>79</v>
      </c>
      <c r="E2448" t="s">
        <v>3636</v>
      </c>
      <c r="F2448" t="s">
        <v>3612</v>
      </c>
      <c r="G2448" s="1">
        <v>7755282.6200000001</v>
      </c>
    </row>
    <row r="2449" spans="1:7">
      <c r="A2449" t="s">
        <v>2544</v>
      </c>
      <c r="B2449" s="6">
        <v>45920</v>
      </c>
      <c r="C2449" s="6" t="str">
        <f>TEXT(Table3[[#This Row],[transaction_date]], "yyyy-mm")</f>
        <v>2025-09</v>
      </c>
      <c r="D2449" t="s">
        <v>79</v>
      </c>
      <c r="E2449" t="s">
        <v>3637</v>
      </c>
      <c r="F2449" t="s">
        <v>3619</v>
      </c>
      <c r="G2449" s="1">
        <v>1835220.33</v>
      </c>
    </row>
    <row r="2450" spans="1:7">
      <c r="A2450" t="s">
        <v>2545</v>
      </c>
      <c r="B2450" s="6">
        <v>45714</v>
      </c>
      <c r="C2450" s="6" t="str">
        <f>TEXT(Table3[[#This Row],[transaction_date]], "yyyy-mm")</f>
        <v>2025-02</v>
      </c>
      <c r="D2450" t="s">
        <v>95</v>
      </c>
      <c r="E2450" t="s">
        <v>3637</v>
      </c>
      <c r="F2450" t="s">
        <v>3616</v>
      </c>
      <c r="G2450" s="1">
        <v>11915325.58</v>
      </c>
    </row>
    <row r="2451" spans="1:7">
      <c r="A2451" t="s">
        <v>2546</v>
      </c>
      <c r="B2451" s="6">
        <v>45818</v>
      </c>
      <c r="C2451" s="6" t="str">
        <f>TEXT(Table3[[#This Row],[transaction_date]], "yyyy-mm")</f>
        <v>2025-06</v>
      </c>
      <c r="D2451" t="s">
        <v>75</v>
      </c>
      <c r="E2451" t="s">
        <v>3636</v>
      </c>
      <c r="F2451" t="s">
        <v>3612</v>
      </c>
      <c r="G2451" s="1">
        <v>5313683.3499999996</v>
      </c>
    </row>
    <row r="2452" spans="1:7">
      <c r="A2452" t="s">
        <v>2547</v>
      </c>
      <c r="B2452" s="6">
        <v>45778</v>
      </c>
      <c r="C2452" s="6" t="str">
        <f>TEXT(Table3[[#This Row],[transaction_date]], "yyyy-mm")</f>
        <v>2025-05</v>
      </c>
      <c r="D2452" t="s">
        <v>90</v>
      </c>
      <c r="E2452" t="s">
        <v>3636</v>
      </c>
      <c r="F2452" t="s">
        <v>3610</v>
      </c>
      <c r="G2452" s="1">
        <v>3253319.04</v>
      </c>
    </row>
    <row r="2453" spans="1:7">
      <c r="A2453" t="s">
        <v>2548</v>
      </c>
      <c r="B2453" s="6">
        <v>45771</v>
      </c>
      <c r="C2453" s="6" t="str">
        <f>TEXT(Table3[[#This Row],[transaction_date]], "yyyy-mm")</f>
        <v>2025-04</v>
      </c>
      <c r="D2453" t="s">
        <v>82</v>
      </c>
      <c r="E2453" t="s">
        <v>3637</v>
      </c>
      <c r="F2453" t="s">
        <v>3618</v>
      </c>
      <c r="G2453" s="1">
        <v>18553549.059999999</v>
      </c>
    </row>
    <row r="2454" spans="1:7">
      <c r="A2454" t="s">
        <v>2549</v>
      </c>
      <c r="B2454" s="6">
        <v>45756</v>
      </c>
      <c r="C2454" s="6" t="str">
        <f>TEXT(Table3[[#This Row],[transaction_date]], "yyyy-mm")</f>
        <v>2025-04</v>
      </c>
      <c r="D2454" t="s">
        <v>82</v>
      </c>
      <c r="E2454" t="s">
        <v>3637</v>
      </c>
      <c r="F2454" t="s">
        <v>3623</v>
      </c>
      <c r="G2454" s="1">
        <v>14247997.390000001</v>
      </c>
    </row>
    <row r="2455" spans="1:7">
      <c r="A2455" t="s">
        <v>2550</v>
      </c>
      <c r="B2455" s="6">
        <v>46021</v>
      </c>
      <c r="C2455" s="6" t="str">
        <f>TEXT(Table3[[#This Row],[transaction_date]], "yyyy-mm")</f>
        <v>2025-12</v>
      </c>
      <c r="D2455" t="s">
        <v>80</v>
      </c>
      <c r="E2455" t="s">
        <v>3637</v>
      </c>
      <c r="F2455" t="s">
        <v>3615</v>
      </c>
      <c r="G2455" s="1">
        <v>155879.07999999999</v>
      </c>
    </row>
    <row r="2456" spans="1:7">
      <c r="A2456" t="s">
        <v>2551</v>
      </c>
      <c r="B2456" s="6">
        <v>46018</v>
      </c>
      <c r="C2456" s="6" t="str">
        <f>TEXT(Table3[[#This Row],[transaction_date]], "yyyy-mm")</f>
        <v>2025-12</v>
      </c>
      <c r="D2456" t="s">
        <v>73</v>
      </c>
      <c r="E2456" t="s">
        <v>3637</v>
      </c>
      <c r="F2456" t="s">
        <v>3623</v>
      </c>
      <c r="G2456" s="1">
        <v>675933.96</v>
      </c>
    </row>
    <row r="2457" spans="1:7">
      <c r="A2457" t="s">
        <v>2552</v>
      </c>
      <c r="B2457" s="6">
        <v>45662</v>
      </c>
      <c r="C2457" s="6" t="str">
        <f>TEXT(Table3[[#This Row],[transaction_date]], "yyyy-mm")</f>
        <v>2025-01</v>
      </c>
      <c r="D2457" t="s">
        <v>75</v>
      </c>
      <c r="E2457" t="s">
        <v>3636</v>
      </c>
      <c r="F2457" t="s">
        <v>3609</v>
      </c>
      <c r="G2457" s="1">
        <v>6251680.29</v>
      </c>
    </row>
    <row r="2458" spans="1:7">
      <c r="A2458" t="s">
        <v>2553</v>
      </c>
      <c r="B2458" s="6">
        <v>45931</v>
      </c>
      <c r="C2458" s="6" t="str">
        <f>TEXT(Table3[[#This Row],[transaction_date]], "yyyy-mm")</f>
        <v>2025-10</v>
      </c>
      <c r="D2458" t="s">
        <v>90</v>
      </c>
      <c r="E2458" t="s">
        <v>3637</v>
      </c>
      <c r="F2458" t="s">
        <v>3623</v>
      </c>
      <c r="G2458" s="1">
        <v>22487952.780000001</v>
      </c>
    </row>
    <row r="2459" spans="1:7">
      <c r="A2459" t="s">
        <v>2554</v>
      </c>
      <c r="B2459" s="6">
        <v>45682</v>
      </c>
      <c r="C2459" s="6" t="str">
        <f>TEXT(Table3[[#This Row],[transaction_date]], "yyyy-mm")</f>
        <v>2025-01</v>
      </c>
      <c r="D2459" t="s">
        <v>75</v>
      </c>
      <c r="E2459" t="s">
        <v>3636</v>
      </c>
      <c r="F2459" t="s">
        <v>3609</v>
      </c>
      <c r="G2459" s="1">
        <v>4745051.51</v>
      </c>
    </row>
    <row r="2460" spans="1:7">
      <c r="A2460" t="s">
        <v>2555</v>
      </c>
      <c r="B2460" s="6">
        <v>45677</v>
      </c>
      <c r="C2460" s="6" t="str">
        <f>TEXT(Table3[[#This Row],[transaction_date]], "yyyy-mm")</f>
        <v>2025-01</v>
      </c>
      <c r="D2460" t="s">
        <v>73</v>
      </c>
      <c r="E2460" t="s">
        <v>3636</v>
      </c>
      <c r="F2460" t="s">
        <v>3610</v>
      </c>
      <c r="G2460" s="1">
        <v>354901.25</v>
      </c>
    </row>
    <row r="2461" spans="1:7">
      <c r="A2461" t="s">
        <v>2556</v>
      </c>
      <c r="B2461" s="6">
        <v>45832</v>
      </c>
      <c r="C2461" s="6" t="str">
        <f>TEXT(Table3[[#This Row],[transaction_date]], "yyyy-mm")</f>
        <v>2025-06</v>
      </c>
      <c r="D2461" t="s">
        <v>73</v>
      </c>
      <c r="E2461" t="s">
        <v>3636</v>
      </c>
      <c r="F2461" t="s">
        <v>3612</v>
      </c>
      <c r="G2461" s="1">
        <v>3064873.63</v>
      </c>
    </row>
    <row r="2462" spans="1:7">
      <c r="A2462" t="s">
        <v>2557</v>
      </c>
      <c r="B2462" s="6">
        <v>45768</v>
      </c>
      <c r="C2462" s="6" t="str">
        <f>TEXT(Table3[[#This Row],[transaction_date]], "yyyy-mm")</f>
        <v>2025-04</v>
      </c>
      <c r="D2462" t="s">
        <v>74</v>
      </c>
      <c r="E2462" t="s">
        <v>3637</v>
      </c>
      <c r="F2462" t="s">
        <v>3619</v>
      </c>
      <c r="G2462" s="1">
        <v>1968215.5</v>
      </c>
    </row>
    <row r="2463" spans="1:7">
      <c r="A2463" t="s">
        <v>2558</v>
      </c>
      <c r="B2463" s="6">
        <v>45739</v>
      </c>
      <c r="C2463" s="6" t="str">
        <f>TEXT(Table3[[#This Row],[transaction_date]], "yyyy-mm")</f>
        <v>2025-03</v>
      </c>
      <c r="D2463" t="s">
        <v>78</v>
      </c>
      <c r="E2463" t="s">
        <v>3637</v>
      </c>
      <c r="F2463" t="s">
        <v>3620</v>
      </c>
      <c r="G2463" s="1">
        <v>1092122.19</v>
      </c>
    </row>
    <row r="2464" spans="1:7">
      <c r="A2464" t="s">
        <v>2559</v>
      </c>
      <c r="B2464" s="6">
        <v>45824</v>
      </c>
      <c r="C2464" s="6" t="str">
        <f>TEXT(Table3[[#This Row],[transaction_date]], "yyyy-mm")</f>
        <v>2025-06</v>
      </c>
      <c r="D2464" t="s">
        <v>76</v>
      </c>
      <c r="E2464" t="s">
        <v>3636</v>
      </c>
      <c r="F2464" t="s">
        <v>3612</v>
      </c>
      <c r="G2464" s="1">
        <v>5227927.66</v>
      </c>
    </row>
    <row r="2465" spans="1:7">
      <c r="A2465" t="s">
        <v>2560</v>
      </c>
      <c r="B2465" s="6">
        <v>45743</v>
      </c>
      <c r="C2465" s="6" t="str">
        <f>TEXT(Table3[[#This Row],[transaction_date]], "yyyy-mm")</f>
        <v>2025-03</v>
      </c>
      <c r="D2465" t="s">
        <v>73</v>
      </c>
      <c r="E2465" t="s">
        <v>3637</v>
      </c>
      <c r="F2465" t="s">
        <v>3621</v>
      </c>
      <c r="G2465" s="1">
        <v>171717.85</v>
      </c>
    </row>
    <row r="2466" spans="1:7">
      <c r="A2466" t="s">
        <v>2561</v>
      </c>
      <c r="B2466" s="6">
        <v>45763</v>
      </c>
      <c r="C2466" s="6" t="str">
        <f>TEXT(Table3[[#This Row],[transaction_date]], "yyyy-mm")</f>
        <v>2025-04</v>
      </c>
      <c r="D2466" t="s">
        <v>74</v>
      </c>
      <c r="E2466" t="s">
        <v>3636</v>
      </c>
      <c r="F2466" t="s">
        <v>3613</v>
      </c>
      <c r="G2466" s="1">
        <v>847688.49</v>
      </c>
    </row>
    <row r="2467" spans="1:7">
      <c r="A2467" t="s">
        <v>2562</v>
      </c>
      <c r="B2467" s="6">
        <v>45965</v>
      </c>
      <c r="C2467" s="6" t="str">
        <f>TEXT(Table3[[#This Row],[transaction_date]], "yyyy-mm")</f>
        <v>2025-11</v>
      </c>
      <c r="D2467" t="s">
        <v>80</v>
      </c>
      <c r="E2467" t="s">
        <v>3636</v>
      </c>
      <c r="F2467" t="s">
        <v>3607</v>
      </c>
      <c r="G2467" s="1">
        <v>3039440.72</v>
      </c>
    </row>
    <row r="2468" spans="1:7">
      <c r="A2468" t="s">
        <v>2563</v>
      </c>
      <c r="B2468" s="6">
        <v>45768</v>
      </c>
      <c r="C2468" s="6" t="str">
        <f>TEXT(Table3[[#This Row],[transaction_date]], "yyyy-mm")</f>
        <v>2025-04</v>
      </c>
      <c r="D2468" t="s">
        <v>74</v>
      </c>
      <c r="E2468" t="s">
        <v>3637</v>
      </c>
      <c r="F2468" t="s">
        <v>3619</v>
      </c>
      <c r="G2468" s="1">
        <v>679877.34</v>
      </c>
    </row>
    <row r="2469" spans="1:7">
      <c r="A2469" t="s">
        <v>2564</v>
      </c>
      <c r="B2469" s="6">
        <v>45843</v>
      </c>
      <c r="C2469" s="6" t="str">
        <f>TEXT(Table3[[#This Row],[transaction_date]], "yyyy-mm")</f>
        <v>2025-07</v>
      </c>
      <c r="D2469" t="s">
        <v>79</v>
      </c>
      <c r="E2469" t="s">
        <v>3637</v>
      </c>
      <c r="F2469" t="s">
        <v>3622</v>
      </c>
      <c r="G2469" s="1">
        <v>5314529.97</v>
      </c>
    </row>
    <row r="2470" spans="1:7">
      <c r="A2470" t="s">
        <v>2565</v>
      </c>
      <c r="B2470" s="6">
        <v>45976</v>
      </c>
      <c r="C2470" s="6" t="str">
        <f>TEXT(Table3[[#This Row],[transaction_date]], "yyyy-mm")</f>
        <v>2025-11</v>
      </c>
      <c r="D2470" t="s">
        <v>75</v>
      </c>
      <c r="E2470" t="s">
        <v>3636</v>
      </c>
      <c r="F2470" t="s">
        <v>3613</v>
      </c>
      <c r="G2470" s="1">
        <v>7328868.6600000001</v>
      </c>
    </row>
    <row r="2471" spans="1:7">
      <c r="A2471" t="s">
        <v>2566</v>
      </c>
      <c r="B2471" s="6">
        <v>45718</v>
      </c>
      <c r="C2471" s="6" t="str">
        <f>TEXT(Table3[[#This Row],[transaction_date]], "yyyy-mm")</f>
        <v>2025-03</v>
      </c>
      <c r="D2471" t="s">
        <v>89</v>
      </c>
      <c r="E2471" t="s">
        <v>3636</v>
      </c>
      <c r="F2471" t="s">
        <v>3612</v>
      </c>
      <c r="G2471" s="1">
        <v>3162964.05</v>
      </c>
    </row>
    <row r="2472" spans="1:7">
      <c r="A2472" t="s">
        <v>2567</v>
      </c>
      <c r="B2472" s="6">
        <v>45830</v>
      </c>
      <c r="C2472" s="6" t="str">
        <f>TEXT(Table3[[#This Row],[transaction_date]], "yyyy-mm")</f>
        <v>2025-06</v>
      </c>
      <c r="D2472" t="s">
        <v>89</v>
      </c>
      <c r="E2472" t="s">
        <v>3636</v>
      </c>
      <c r="F2472" t="s">
        <v>3612</v>
      </c>
      <c r="G2472" s="1">
        <v>2924890.55</v>
      </c>
    </row>
    <row r="2473" spans="1:7">
      <c r="A2473" t="s">
        <v>2568</v>
      </c>
      <c r="B2473" s="6">
        <v>45748</v>
      </c>
      <c r="C2473" s="6" t="str">
        <f>TEXT(Table3[[#This Row],[transaction_date]], "yyyy-mm")</f>
        <v>2025-04</v>
      </c>
      <c r="D2473" t="s">
        <v>89</v>
      </c>
      <c r="E2473" t="s">
        <v>3636</v>
      </c>
      <c r="F2473" t="s">
        <v>3612</v>
      </c>
      <c r="G2473" s="1">
        <v>1989902.26</v>
      </c>
    </row>
    <row r="2474" spans="1:7">
      <c r="A2474" t="s">
        <v>2569</v>
      </c>
      <c r="B2474" s="6">
        <v>45943</v>
      </c>
      <c r="C2474" s="6" t="str">
        <f>TEXT(Table3[[#This Row],[transaction_date]], "yyyy-mm")</f>
        <v>2025-10</v>
      </c>
      <c r="D2474" t="s">
        <v>80</v>
      </c>
      <c r="E2474" t="s">
        <v>3637</v>
      </c>
      <c r="F2474" t="s">
        <v>3620</v>
      </c>
      <c r="G2474" s="1">
        <v>2268683.92</v>
      </c>
    </row>
    <row r="2475" spans="1:7">
      <c r="A2475" t="s">
        <v>2570</v>
      </c>
      <c r="B2475" s="6">
        <v>45794</v>
      </c>
      <c r="C2475" s="6" t="str">
        <f>TEXT(Table3[[#This Row],[transaction_date]], "yyyy-mm")</f>
        <v>2025-05</v>
      </c>
      <c r="D2475" t="s">
        <v>73</v>
      </c>
      <c r="E2475" t="s">
        <v>3636</v>
      </c>
      <c r="F2475" t="s">
        <v>3605</v>
      </c>
      <c r="G2475" s="1">
        <v>1364023.97</v>
      </c>
    </row>
    <row r="2476" spans="1:7">
      <c r="A2476" t="s">
        <v>2571</v>
      </c>
      <c r="B2476" s="6">
        <v>45846</v>
      </c>
      <c r="C2476" s="6" t="str">
        <f>TEXT(Table3[[#This Row],[transaction_date]], "yyyy-mm")</f>
        <v>2025-07</v>
      </c>
      <c r="D2476" t="s">
        <v>76</v>
      </c>
      <c r="E2476" t="s">
        <v>3637</v>
      </c>
      <c r="F2476" t="s">
        <v>3618</v>
      </c>
      <c r="G2476" s="1">
        <v>13400734.66</v>
      </c>
    </row>
    <row r="2477" spans="1:7">
      <c r="A2477" t="s">
        <v>2572</v>
      </c>
      <c r="B2477" s="6">
        <v>45777</v>
      </c>
      <c r="C2477" s="6" t="str">
        <f>TEXT(Table3[[#This Row],[transaction_date]], "yyyy-mm")</f>
        <v>2025-04</v>
      </c>
      <c r="D2477" t="s">
        <v>76</v>
      </c>
      <c r="E2477" t="s">
        <v>3636</v>
      </c>
      <c r="F2477" t="s">
        <v>3608</v>
      </c>
      <c r="G2477" s="1">
        <v>4227926.59</v>
      </c>
    </row>
    <row r="2478" spans="1:7">
      <c r="A2478" t="s">
        <v>2573</v>
      </c>
      <c r="B2478" s="6">
        <v>45993</v>
      </c>
      <c r="C2478" s="6" t="str">
        <f>TEXT(Table3[[#This Row],[transaction_date]], "yyyy-mm")</f>
        <v>2025-12</v>
      </c>
      <c r="D2478" t="s">
        <v>82</v>
      </c>
      <c r="E2478" t="s">
        <v>3637</v>
      </c>
      <c r="F2478" t="s">
        <v>3620</v>
      </c>
      <c r="G2478" s="1">
        <v>7839745.5199999996</v>
      </c>
    </row>
    <row r="2479" spans="1:7">
      <c r="A2479" t="s">
        <v>2574</v>
      </c>
      <c r="B2479" s="6">
        <v>45922</v>
      </c>
      <c r="C2479" s="6" t="str">
        <f>TEXT(Table3[[#This Row],[transaction_date]], "yyyy-mm")</f>
        <v>2025-09</v>
      </c>
      <c r="D2479" t="s">
        <v>79</v>
      </c>
      <c r="E2479" t="s">
        <v>3636</v>
      </c>
      <c r="F2479" t="s">
        <v>3604</v>
      </c>
      <c r="G2479" s="1">
        <v>1078161.81</v>
      </c>
    </row>
    <row r="2480" spans="1:7">
      <c r="A2480" t="s">
        <v>2575</v>
      </c>
      <c r="B2480" s="6">
        <v>45678</v>
      </c>
      <c r="C2480" s="6" t="str">
        <f>TEXT(Table3[[#This Row],[transaction_date]], "yyyy-mm")</f>
        <v>2025-01</v>
      </c>
      <c r="D2480" t="s">
        <v>3597</v>
      </c>
      <c r="E2480" t="s">
        <v>3637</v>
      </c>
      <c r="F2480" t="s">
        <v>3621</v>
      </c>
      <c r="G2480" s="1">
        <v>4249810.4800000004</v>
      </c>
    </row>
    <row r="2481" spans="1:7">
      <c r="A2481" t="s">
        <v>2576</v>
      </c>
      <c r="B2481" s="6">
        <v>45677</v>
      </c>
      <c r="C2481" s="6" t="str">
        <f>TEXT(Table3[[#This Row],[transaction_date]], "yyyy-mm")</f>
        <v>2025-01</v>
      </c>
      <c r="D2481" t="s">
        <v>73</v>
      </c>
      <c r="E2481" t="s">
        <v>3637</v>
      </c>
      <c r="F2481" t="s">
        <v>3623</v>
      </c>
      <c r="G2481" s="1">
        <v>442952.63</v>
      </c>
    </row>
    <row r="2482" spans="1:7">
      <c r="A2482" t="s">
        <v>2577</v>
      </c>
      <c r="B2482" s="6">
        <v>45904</v>
      </c>
      <c r="C2482" s="6" t="str">
        <f>TEXT(Table3[[#This Row],[transaction_date]], "yyyy-mm")</f>
        <v>2025-09</v>
      </c>
      <c r="D2482" t="s">
        <v>77</v>
      </c>
      <c r="E2482" t="s">
        <v>3636</v>
      </c>
      <c r="F2482" t="s">
        <v>3605</v>
      </c>
      <c r="G2482" s="1">
        <v>13093935.15</v>
      </c>
    </row>
    <row r="2483" spans="1:7">
      <c r="A2483" t="s">
        <v>2578</v>
      </c>
      <c r="B2483" s="6">
        <v>45854</v>
      </c>
      <c r="C2483" s="6" t="str">
        <f>TEXT(Table3[[#This Row],[transaction_date]], "yyyy-mm")</f>
        <v>2025-07</v>
      </c>
      <c r="D2483" t="s">
        <v>73</v>
      </c>
      <c r="E2483" t="s">
        <v>3636</v>
      </c>
      <c r="F2483" t="s">
        <v>3610</v>
      </c>
      <c r="G2483" s="1">
        <v>1217951.26</v>
      </c>
    </row>
    <row r="2484" spans="1:7">
      <c r="A2484" t="s">
        <v>2579</v>
      </c>
      <c r="B2484" s="6">
        <v>45833</v>
      </c>
      <c r="C2484" s="6" t="str">
        <f>TEXT(Table3[[#This Row],[transaction_date]], "yyyy-mm")</f>
        <v>2025-06</v>
      </c>
      <c r="D2484" t="s">
        <v>3597</v>
      </c>
      <c r="E2484" t="s">
        <v>3637</v>
      </c>
      <c r="F2484" t="s">
        <v>3623</v>
      </c>
      <c r="G2484" s="1">
        <v>144441.26999999999</v>
      </c>
    </row>
    <row r="2485" spans="1:7">
      <c r="A2485" t="s">
        <v>2580</v>
      </c>
      <c r="B2485" s="6">
        <v>45826</v>
      </c>
      <c r="C2485" s="6" t="str">
        <f>TEXT(Table3[[#This Row],[transaction_date]], "yyyy-mm")</f>
        <v>2025-06</v>
      </c>
      <c r="D2485" t="s">
        <v>84</v>
      </c>
      <c r="E2485" t="s">
        <v>3636</v>
      </c>
      <c r="F2485" t="s">
        <v>3613</v>
      </c>
      <c r="G2485" s="1">
        <v>17429617.850000001</v>
      </c>
    </row>
    <row r="2486" spans="1:7">
      <c r="A2486" t="s">
        <v>2581</v>
      </c>
      <c r="B2486" s="6">
        <v>45977</v>
      </c>
      <c r="C2486" s="6" t="str">
        <f>TEXT(Table3[[#This Row],[transaction_date]], "yyyy-mm")</f>
        <v>2025-11</v>
      </c>
      <c r="D2486" t="s">
        <v>74</v>
      </c>
      <c r="E2486" t="s">
        <v>3637</v>
      </c>
      <c r="F2486" t="s">
        <v>3615</v>
      </c>
      <c r="G2486" s="1">
        <v>2282062.58</v>
      </c>
    </row>
    <row r="2487" spans="1:7">
      <c r="A2487" t="s">
        <v>2582</v>
      </c>
      <c r="B2487" s="6">
        <v>45932</v>
      </c>
      <c r="C2487" s="6" t="str">
        <f>TEXT(Table3[[#This Row],[transaction_date]], "yyyy-mm")</f>
        <v>2025-10</v>
      </c>
      <c r="D2487" t="s">
        <v>89</v>
      </c>
      <c r="E2487" t="s">
        <v>3636</v>
      </c>
      <c r="F2487" t="s">
        <v>3610</v>
      </c>
      <c r="G2487" s="1">
        <v>179642.69</v>
      </c>
    </row>
    <row r="2488" spans="1:7">
      <c r="A2488" t="s">
        <v>2583</v>
      </c>
      <c r="B2488" s="6">
        <v>45721</v>
      </c>
      <c r="C2488" s="6" t="str">
        <f>TEXT(Table3[[#This Row],[transaction_date]], "yyyy-mm")</f>
        <v>2025-03</v>
      </c>
      <c r="D2488" t="s">
        <v>77</v>
      </c>
      <c r="E2488" t="s">
        <v>3636</v>
      </c>
      <c r="F2488" t="s">
        <v>3611</v>
      </c>
      <c r="G2488" s="1">
        <v>5212442.5999999996</v>
      </c>
    </row>
    <row r="2489" spans="1:7">
      <c r="A2489" t="s">
        <v>2584</v>
      </c>
      <c r="B2489" s="6">
        <v>45820</v>
      </c>
      <c r="C2489" s="6" t="str">
        <f>TEXT(Table3[[#This Row],[transaction_date]], "yyyy-mm")</f>
        <v>2025-06</v>
      </c>
      <c r="D2489" t="s">
        <v>3597</v>
      </c>
      <c r="E2489" t="s">
        <v>3637</v>
      </c>
      <c r="F2489" t="s">
        <v>3614</v>
      </c>
      <c r="G2489" s="1">
        <v>615469.09</v>
      </c>
    </row>
    <row r="2490" spans="1:7">
      <c r="A2490" t="s">
        <v>2585</v>
      </c>
      <c r="B2490" s="6">
        <v>45743</v>
      </c>
      <c r="C2490" s="6" t="str">
        <f>TEXT(Table3[[#This Row],[transaction_date]], "yyyy-mm")</f>
        <v>2025-03</v>
      </c>
      <c r="D2490" t="s">
        <v>93</v>
      </c>
      <c r="E2490" t="s">
        <v>3636</v>
      </c>
      <c r="F2490" t="s">
        <v>3609</v>
      </c>
      <c r="G2490" s="1">
        <v>5932519.4400000004</v>
      </c>
    </row>
    <row r="2491" spans="1:7">
      <c r="A2491" t="s">
        <v>2586</v>
      </c>
      <c r="B2491" s="6">
        <v>45672</v>
      </c>
      <c r="C2491" s="6" t="str">
        <f>TEXT(Table3[[#This Row],[transaction_date]], "yyyy-mm")</f>
        <v>2025-01</v>
      </c>
      <c r="D2491" t="s">
        <v>76</v>
      </c>
      <c r="E2491" t="s">
        <v>3636</v>
      </c>
      <c r="F2491" t="s">
        <v>3611</v>
      </c>
      <c r="G2491" s="1">
        <v>15536519.09</v>
      </c>
    </row>
    <row r="2492" spans="1:7">
      <c r="A2492" t="s">
        <v>2587</v>
      </c>
      <c r="B2492" s="6">
        <v>45967</v>
      </c>
      <c r="C2492" s="6" t="str">
        <f>TEXT(Table3[[#This Row],[transaction_date]], "yyyy-mm")</f>
        <v>2025-11</v>
      </c>
      <c r="D2492" t="s">
        <v>79</v>
      </c>
      <c r="E2492" t="s">
        <v>3636</v>
      </c>
      <c r="F2492" t="s">
        <v>3605</v>
      </c>
      <c r="G2492" s="1">
        <v>2444657.7400000002</v>
      </c>
    </row>
    <row r="2493" spans="1:7">
      <c r="A2493" t="s">
        <v>2588</v>
      </c>
      <c r="B2493" s="6">
        <v>45892</v>
      </c>
      <c r="C2493" s="6" t="str">
        <f>TEXT(Table3[[#This Row],[transaction_date]], "yyyy-mm")</f>
        <v>2025-08</v>
      </c>
      <c r="D2493" t="s">
        <v>95</v>
      </c>
      <c r="E2493" t="s">
        <v>3636</v>
      </c>
      <c r="F2493" t="s">
        <v>3612</v>
      </c>
      <c r="G2493" s="1">
        <v>207441.39</v>
      </c>
    </row>
    <row r="2494" spans="1:7">
      <c r="A2494" t="s">
        <v>2589</v>
      </c>
      <c r="B2494" s="6">
        <v>45923</v>
      </c>
      <c r="C2494" s="6" t="str">
        <f>TEXT(Table3[[#This Row],[transaction_date]], "yyyy-mm")</f>
        <v>2025-09</v>
      </c>
      <c r="D2494" t="s">
        <v>85</v>
      </c>
      <c r="E2494" t="s">
        <v>3636</v>
      </c>
      <c r="F2494" t="s">
        <v>3607</v>
      </c>
      <c r="G2494" s="1">
        <v>650024.92000000004</v>
      </c>
    </row>
    <row r="2495" spans="1:7">
      <c r="A2495" t="s">
        <v>2590</v>
      </c>
      <c r="B2495" s="6">
        <v>45779</v>
      </c>
      <c r="C2495" s="6" t="str">
        <f>TEXT(Table3[[#This Row],[transaction_date]], "yyyy-mm")</f>
        <v>2025-05</v>
      </c>
      <c r="D2495" t="s">
        <v>78</v>
      </c>
      <c r="E2495" t="s">
        <v>3637</v>
      </c>
      <c r="F2495" t="s">
        <v>3614</v>
      </c>
      <c r="G2495" s="1">
        <v>8019082.6500000004</v>
      </c>
    </row>
    <row r="2496" spans="1:7">
      <c r="A2496" t="s">
        <v>2591</v>
      </c>
      <c r="B2496" s="6">
        <v>45940</v>
      </c>
      <c r="C2496" s="6" t="str">
        <f>TEXT(Table3[[#This Row],[transaction_date]], "yyyy-mm")</f>
        <v>2025-10</v>
      </c>
      <c r="D2496" t="s">
        <v>78</v>
      </c>
      <c r="E2496" t="s">
        <v>3636</v>
      </c>
      <c r="F2496" t="s">
        <v>3612</v>
      </c>
      <c r="G2496" s="1">
        <v>7124057.9900000002</v>
      </c>
    </row>
    <row r="2497" spans="1:7">
      <c r="A2497" t="s">
        <v>2592</v>
      </c>
      <c r="B2497" s="6">
        <v>45767</v>
      </c>
      <c r="C2497" s="6" t="str">
        <f>TEXT(Table3[[#This Row],[transaction_date]], "yyyy-mm")</f>
        <v>2025-04</v>
      </c>
      <c r="D2497" t="s">
        <v>73</v>
      </c>
      <c r="E2497" t="s">
        <v>3636</v>
      </c>
      <c r="F2497" t="s">
        <v>3609</v>
      </c>
      <c r="G2497" s="1">
        <v>2538360.25</v>
      </c>
    </row>
    <row r="2498" spans="1:7">
      <c r="A2498" t="s">
        <v>2593</v>
      </c>
      <c r="B2498" s="6">
        <v>45841</v>
      </c>
      <c r="C2498" s="6" t="str">
        <f>TEXT(Table3[[#This Row],[transaction_date]], "yyyy-mm")</f>
        <v>2025-07</v>
      </c>
      <c r="D2498" t="s">
        <v>82</v>
      </c>
      <c r="E2498" t="s">
        <v>3636</v>
      </c>
      <c r="F2498" t="s">
        <v>3605</v>
      </c>
      <c r="G2498" s="1">
        <v>1249244.71</v>
      </c>
    </row>
    <row r="2499" spans="1:7">
      <c r="A2499" t="s">
        <v>2594</v>
      </c>
      <c r="B2499" s="6">
        <v>45770</v>
      </c>
      <c r="C2499" s="6" t="str">
        <f>TEXT(Table3[[#This Row],[transaction_date]], "yyyy-mm")</f>
        <v>2025-04</v>
      </c>
      <c r="D2499" t="s">
        <v>76</v>
      </c>
      <c r="E2499" t="s">
        <v>3637</v>
      </c>
      <c r="F2499" t="s">
        <v>3619</v>
      </c>
      <c r="G2499" s="1">
        <v>7589094.2400000002</v>
      </c>
    </row>
    <row r="2500" spans="1:7">
      <c r="A2500" t="s">
        <v>2595</v>
      </c>
      <c r="B2500" s="6">
        <v>46013</v>
      </c>
      <c r="C2500" s="6" t="str">
        <f>TEXT(Table3[[#This Row],[transaction_date]], "yyyy-mm")</f>
        <v>2025-12</v>
      </c>
      <c r="D2500" t="s">
        <v>89</v>
      </c>
      <c r="E2500" t="s">
        <v>3636</v>
      </c>
      <c r="F2500" t="s">
        <v>3612</v>
      </c>
      <c r="G2500" s="1">
        <v>1811854.18</v>
      </c>
    </row>
    <row r="2501" spans="1:7">
      <c r="A2501" t="s">
        <v>2596</v>
      </c>
      <c r="B2501" s="6">
        <v>45795</v>
      </c>
      <c r="C2501" s="6" t="str">
        <f>TEXT(Table3[[#This Row],[transaction_date]], "yyyy-mm")</f>
        <v>2025-05</v>
      </c>
      <c r="D2501" t="s">
        <v>89</v>
      </c>
      <c r="E2501" t="s">
        <v>3637</v>
      </c>
      <c r="F2501" t="s">
        <v>3623</v>
      </c>
      <c r="G2501" s="1">
        <v>188063.05</v>
      </c>
    </row>
    <row r="2502" spans="1:7">
      <c r="A2502" t="s">
        <v>2597</v>
      </c>
      <c r="B2502" s="6">
        <v>45974</v>
      </c>
      <c r="C2502" s="6" t="str">
        <f>TEXT(Table3[[#This Row],[transaction_date]], "yyyy-mm")</f>
        <v>2025-11</v>
      </c>
      <c r="D2502" t="s">
        <v>74</v>
      </c>
      <c r="E2502" t="s">
        <v>3636</v>
      </c>
      <c r="F2502" t="s">
        <v>3607</v>
      </c>
      <c r="G2502" s="1">
        <v>13722.38</v>
      </c>
    </row>
    <row r="2503" spans="1:7">
      <c r="A2503" t="s">
        <v>2598</v>
      </c>
      <c r="B2503" s="6">
        <v>45974</v>
      </c>
      <c r="C2503" s="6" t="str">
        <f>TEXT(Table3[[#This Row],[transaction_date]], "yyyy-mm")</f>
        <v>2025-11</v>
      </c>
      <c r="D2503" t="s">
        <v>74</v>
      </c>
      <c r="E2503" t="s">
        <v>3636</v>
      </c>
      <c r="F2503" t="s">
        <v>3605</v>
      </c>
      <c r="G2503" s="1">
        <v>300953.81</v>
      </c>
    </row>
    <row r="2504" spans="1:7">
      <c r="A2504" t="s">
        <v>2599</v>
      </c>
      <c r="B2504" s="6">
        <v>45783</v>
      </c>
      <c r="C2504" s="6" t="str">
        <f>TEXT(Table3[[#This Row],[transaction_date]], "yyyy-mm")</f>
        <v>2025-05</v>
      </c>
      <c r="D2504" t="s">
        <v>82</v>
      </c>
      <c r="E2504" t="s">
        <v>3636</v>
      </c>
      <c r="F2504" t="s">
        <v>3609</v>
      </c>
      <c r="G2504" s="1">
        <v>16708044.029999999</v>
      </c>
    </row>
    <row r="2505" spans="1:7">
      <c r="A2505" t="s">
        <v>2600</v>
      </c>
      <c r="B2505" s="6">
        <v>45663</v>
      </c>
      <c r="C2505" s="6" t="str">
        <f>TEXT(Table3[[#This Row],[transaction_date]], "yyyy-mm")</f>
        <v>2025-01</v>
      </c>
      <c r="D2505" t="s">
        <v>77</v>
      </c>
      <c r="E2505" t="s">
        <v>3636</v>
      </c>
      <c r="F2505" t="s">
        <v>3605</v>
      </c>
      <c r="G2505" s="1">
        <v>4128337.52</v>
      </c>
    </row>
    <row r="2506" spans="1:7">
      <c r="A2506" t="s">
        <v>2601</v>
      </c>
      <c r="B2506" s="6">
        <v>45976</v>
      </c>
      <c r="C2506" s="6" t="str">
        <f>TEXT(Table3[[#This Row],[transaction_date]], "yyyy-mm")</f>
        <v>2025-11</v>
      </c>
      <c r="D2506" t="s">
        <v>84</v>
      </c>
      <c r="E2506" t="s">
        <v>3637</v>
      </c>
      <c r="F2506" t="s">
        <v>3619</v>
      </c>
      <c r="G2506" s="1">
        <v>6950809.04</v>
      </c>
    </row>
    <row r="2507" spans="1:7">
      <c r="A2507" t="s">
        <v>2602</v>
      </c>
      <c r="B2507" s="6">
        <v>45727</v>
      </c>
      <c r="C2507" s="6" t="str">
        <f>TEXT(Table3[[#This Row],[transaction_date]], "yyyy-mm")</f>
        <v>2025-03</v>
      </c>
      <c r="D2507" t="s">
        <v>90</v>
      </c>
      <c r="E2507" t="s">
        <v>3636</v>
      </c>
      <c r="F2507" t="s">
        <v>3609</v>
      </c>
      <c r="G2507" s="1">
        <v>4012365.49</v>
      </c>
    </row>
    <row r="2508" spans="1:7">
      <c r="A2508" t="s">
        <v>2603</v>
      </c>
      <c r="B2508" s="6">
        <v>45785</v>
      </c>
      <c r="C2508" s="6" t="str">
        <f>TEXT(Table3[[#This Row],[transaction_date]], "yyyy-mm")</f>
        <v>2025-05</v>
      </c>
      <c r="D2508" t="s">
        <v>74</v>
      </c>
      <c r="E2508" t="s">
        <v>3637</v>
      </c>
      <c r="F2508" t="s">
        <v>3616</v>
      </c>
      <c r="G2508" s="1">
        <v>163736.69</v>
      </c>
    </row>
    <row r="2509" spans="1:7">
      <c r="A2509" t="s">
        <v>2604</v>
      </c>
      <c r="B2509" s="6">
        <v>45926</v>
      </c>
      <c r="C2509" s="6" t="str">
        <f>TEXT(Table3[[#This Row],[transaction_date]], "yyyy-mm")</f>
        <v>2025-09</v>
      </c>
      <c r="D2509" t="s">
        <v>3597</v>
      </c>
      <c r="E2509" t="s">
        <v>3636</v>
      </c>
      <c r="F2509" t="s">
        <v>3605</v>
      </c>
      <c r="G2509" s="1">
        <v>5841144.9299999997</v>
      </c>
    </row>
    <row r="2510" spans="1:7">
      <c r="A2510" t="s">
        <v>2605</v>
      </c>
      <c r="B2510" s="6">
        <v>45742</v>
      </c>
      <c r="C2510" s="6" t="str">
        <f>TEXT(Table3[[#This Row],[transaction_date]], "yyyy-mm")</f>
        <v>2025-03</v>
      </c>
      <c r="D2510" t="s">
        <v>80</v>
      </c>
      <c r="E2510" t="s">
        <v>3636</v>
      </c>
      <c r="F2510" t="s">
        <v>3608</v>
      </c>
      <c r="G2510" s="1">
        <v>476476.22</v>
      </c>
    </row>
    <row r="2511" spans="1:7">
      <c r="A2511" t="s">
        <v>2606</v>
      </c>
      <c r="B2511" s="6">
        <v>45951</v>
      </c>
      <c r="C2511" s="6" t="str">
        <f>TEXT(Table3[[#This Row],[transaction_date]], "yyyy-mm")</f>
        <v>2025-10</v>
      </c>
      <c r="D2511" t="s">
        <v>3597</v>
      </c>
      <c r="E2511" t="s">
        <v>3637</v>
      </c>
      <c r="F2511" t="s">
        <v>3618</v>
      </c>
      <c r="G2511" s="1">
        <v>13582563.039999999</v>
      </c>
    </row>
    <row r="2512" spans="1:7">
      <c r="A2512" t="s">
        <v>2607</v>
      </c>
      <c r="B2512" s="6">
        <v>45854</v>
      </c>
      <c r="C2512" s="6" t="str">
        <f>TEXT(Table3[[#This Row],[transaction_date]], "yyyy-mm")</f>
        <v>2025-07</v>
      </c>
      <c r="D2512" t="s">
        <v>74</v>
      </c>
      <c r="E2512" t="s">
        <v>3636</v>
      </c>
      <c r="F2512" t="s">
        <v>3610</v>
      </c>
      <c r="G2512" s="1">
        <v>171647.59</v>
      </c>
    </row>
    <row r="2513" spans="1:7">
      <c r="A2513" t="s">
        <v>2608</v>
      </c>
      <c r="B2513" s="6">
        <v>45962</v>
      </c>
      <c r="C2513" s="6" t="str">
        <f>TEXT(Table3[[#This Row],[transaction_date]], "yyyy-mm")</f>
        <v>2025-11</v>
      </c>
      <c r="D2513" t="s">
        <v>74</v>
      </c>
      <c r="E2513" t="s">
        <v>3636</v>
      </c>
      <c r="F2513" t="s">
        <v>3611</v>
      </c>
      <c r="G2513" s="1">
        <v>61169.48</v>
      </c>
    </row>
    <row r="2514" spans="1:7">
      <c r="A2514" t="s">
        <v>2609</v>
      </c>
      <c r="B2514" s="6">
        <v>45807</v>
      </c>
      <c r="C2514" s="6" t="str">
        <f>TEXT(Table3[[#This Row],[transaction_date]], "yyyy-mm")</f>
        <v>2025-05</v>
      </c>
      <c r="D2514" t="s">
        <v>89</v>
      </c>
      <c r="E2514" t="s">
        <v>3636</v>
      </c>
      <c r="F2514" t="s">
        <v>3604</v>
      </c>
      <c r="G2514" s="1">
        <v>3238112.15</v>
      </c>
    </row>
    <row r="2515" spans="1:7">
      <c r="A2515" t="s">
        <v>2610</v>
      </c>
      <c r="B2515" s="6">
        <v>45852</v>
      </c>
      <c r="C2515" s="6" t="str">
        <f>TEXT(Table3[[#This Row],[transaction_date]], "yyyy-mm")</f>
        <v>2025-07</v>
      </c>
      <c r="D2515" t="s">
        <v>73</v>
      </c>
      <c r="E2515" t="s">
        <v>3637</v>
      </c>
      <c r="F2515" t="s">
        <v>3617</v>
      </c>
      <c r="G2515" s="1">
        <v>600651.77</v>
      </c>
    </row>
    <row r="2516" spans="1:7">
      <c r="A2516" t="s">
        <v>2611</v>
      </c>
      <c r="B2516" s="6">
        <v>46008</v>
      </c>
      <c r="C2516" s="6" t="str">
        <f>TEXT(Table3[[#This Row],[transaction_date]], "yyyy-mm")</f>
        <v>2025-12</v>
      </c>
      <c r="D2516" t="s">
        <v>77</v>
      </c>
      <c r="E2516" t="s">
        <v>3637</v>
      </c>
      <c r="F2516" t="s">
        <v>3617</v>
      </c>
      <c r="G2516" s="1">
        <v>7083129.6299999999</v>
      </c>
    </row>
    <row r="2517" spans="1:7">
      <c r="A2517" t="s">
        <v>2612</v>
      </c>
      <c r="B2517" s="6">
        <v>46000</v>
      </c>
      <c r="C2517" s="6" t="str">
        <f>TEXT(Table3[[#This Row],[transaction_date]], "yyyy-mm")</f>
        <v>2025-12</v>
      </c>
      <c r="D2517" t="s">
        <v>82</v>
      </c>
      <c r="E2517" t="s">
        <v>3637</v>
      </c>
      <c r="F2517" t="s">
        <v>3615</v>
      </c>
      <c r="G2517" s="1">
        <v>4442101.1399999997</v>
      </c>
    </row>
    <row r="2518" spans="1:7">
      <c r="A2518" t="s">
        <v>2613</v>
      </c>
      <c r="B2518" s="6">
        <v>45874</v>
      </c>
      <c r="C2518" s="6" t="str">
        <f>TEXT(Table3[[#This Row],[transaction_date]], "yyyy-mm")</f>
        <v>2025-08</v>
      </c>
      <c r="D2518" t="s">
        <v>73</v>
      </c>
      <c r="E2518" t="s">
        <v>3636</v>
      </c>
      <c r="F2518" t="s">
        <v>3604</v>
      </c>
      <c r="G2518" s="1">
        <v>471026.25</v>
      </c>
    </row>
    <row r="2519" spans="1:7">
      <c r="A2519" t="s">
        <v>2614</v>
      </c>
      <c r="B2519" s="6">
        <v>45985</v>
      </c>
      <c r="C2519" s="6" t="str">
        <f>TEXT(Table3[[#This Row],[transaction_date]], "yyyy-mm")</f>
        <v>2025-11</v>
      </c>
      <c r="D2519" t="s">
        <v>82</v>
      </c>
      <c r="E2519" t="s">
        <v>3637</v>
      </c>
      <c r="F2519" t="s">
        <v>3615</v>
      </c>
      <c r="G2519" s="1">
        <v>2963934.64</v>
      </c>
    </row>
    <row r="2520" spans="1:7">
      <c r="A2520" t="s">
        <v>2615</v>
      </c>
      <c r="B2520" s="6">
        <v>45877</v>
      </c>
      <c r="C2520" s="6" t="str">
        <f>TEXT(Table3[[#This Row],[transaction_date]], "yyyy-mm")</f>
        <v>2025-08</v>
      </c>
      <c r="D2520" t="s">
        <v>85</v>
      </c>
      <c r="E2520" t="s">
        <v>3636</v>
      </c>
      <c r="F2520" t="s">
        <v>3605</v>
      </c>
      <c r="G2520" s="1">
        <v>155680.81</v>
      </c>
    </row>
    <row r="2521" spans="1:7">
      <c r="A2521" t="s">
        <v>2616</v>
      </c>
      <c r="B2521" s="6">
        <v>45757</v>
      </c>
      <c r="C2521" s="6" t="str">
        <f>TEXT(Table3[[#This Row],[transaction_date]], "yyyy-mm")</f>
        <v>2025-04</v>
      </c>
      <c r="D2521" t="s">
        <v>89</v>
      </c>
      <c r="E2521" t="s">
        <v>3637</v>
      </c>
      <c r="F2521" t="s">
        <v>3617</v>
      </c>
      <c r="G2521" s="1">
        <v>2510472.77</v>
      </c>
    </row>
    <row r="2522" spans="1:7">
      <c r="A2522" t="s">
        <v>2617</v>
      </c>
      <c r="B2522" s="6">
        <v>45688</v>
      </c>
      <c r="C2522" s="6" t="str">
        <f>TEXT(Table3[[#This Row],[transaction_date]], "yyyy-mm")</f>
        <v>2025-01</v>
      </c>
      <c r="D2522" t="s">
        <v>90</v>
      </c>
      <c r="E2522" t="s">
        <v>3636</v>
      </c>
      <c r="F2522" t="s">
        <v>3609</v>
      </c>
      <c r="G2522" s="1">
        <v>13523730.25</v>
      </c>
    </row>
    <row r="2523" spans="1:7">
      <c r="A2523" t="s">
        <v>2618</v>
      </c>
      <c r="B2523" s="6">
        <v>45775</v>
      </c>
      <c r="C2523" s="6" t="str">
        <f>TEXT(Table3[[#This Row],[transaction_date]], "yyyy-mm")</f>
        <v>2025-04</v>
      </c>
      <c r="D2523" t="s">
        <v>95</v>
      </c>
      <c r="E2523" t="s">
        <v>3637</v>
      </c>
      <c r="F2523" t="s">
        <v>3622</v>
      </c>
      <c r="G2523" s="1">
        <v>4954945.68</v>
      </c>
    </row>
    <row r="2524" spans="1:7">
      <c r="A2524" t="s">
        <v>2619</v>
      </c>
      <c r="B2524" s="6">
        <v>45890</v>
      </c>
      <c r="C2524" s="6" t="str">
        <f>TEXT(Table3[[#This Row],[transaction_date]], "yyyy-mm")</f>
        <v>2025-08</v>
      </c>
      <c r="D2524" t="s">
        <v>85</v>
      </c>
      <c r="E2524" t="s">
        <v>3636</v>
      </c>
      <c r="F2524" t="s">
        <v>3611</v>
      </c>
      <c r="G2524" s="1">
        <v>1156209.74</v>
      </c>
    </row>
    <row r="2525" spans="1:7">
      <c r="A2525" t="s">
        <v>2620</v>
      </c>
      <c r="B2525" s="6">
        <v>45697</v>
      </c>
      <c r="C2525" s="6" t="str">
        <f>TEXT(Table3[[#This Row],[transaction_date]], "yyyy-mm")</f>
        <v>2025-02</v>
      </c>
      <c r="D2525" t="s">
        <v>77</v>
      </c>
      <c r="E2525" t="s">
        <v>3637</v>
      </c>
      <c r="F2525" t="s">
        <v>3618</v>
      </c>
      <c r="G2525" s="1">
        <v>11513460.800000001</v>
      </c>
    </row>
    <row r="2526" spans="1:7">
      <c r="A2526" t="s">
        <v>2621</v>
      </c>
      <c r="B2526" s="6">
        <v>45736</v>
      </c>
      <c r="C2526" s="6" t="str">
        <f>TEXT(Table3[[#This Row],[transaction_date]], "yyyy-mm")</f>
        <v>2025-03</v>
      </c>
      <c r="D2526" t="s">
        <v>89</v>
      </c>
      <c r="E2526" t="s">
        <v>3636</v>
      </c>
      <c r="F2526" t="s">
        <v>3609</v>
      </c>
      <c r="G2526" s="1">
        <v>1963357.91</v>
      </c>
    </row>
    <row r="2527" spans="1:7">
      <c r="A2527" t="s">
        <v>2622</v>
      </c>
      <c r="B2527" s="6">
        <v>45902</v>
      </c>
      <c r="C2527" s="6" t="str">
        <f>TEXT(Table3[[#This Row],[transaction_date]], "yyyy-mm")</f>
        <v>2025-09</v>
      </c>
      <c r="D2527" t="s">
        <v>80</v>
      </c>
      <c r="E2527" t="s">
        <v>3637</v>
      </c>
      <c r="F2527" t="s">
        <v>3623</v>
      </c>
      <c r="G2527" s="1">
        <v>2444765.42</v>
      </c>
    </row>
    <row r="2528" spans="1:7">
      <c r="A2528" t="s">
        <v>2623</v>
      </c>
      <c r="B2528" s="6">
        <v>45757</v>
      </c>
      <c r="C2528" s="6" t="str">
        <f>TEXT(Table3[[#This Row],[transaction_date]], "yyyy-mm")</f>
        <v>2025-04</v>
      </c>
      <c r="D2528" t="s">
        <v>73</v>
      </c>
      <c r="E2528" t="s">
        <v>3636</v>
      </c>
      <c r="F2528" t="s">
        <v>3605</v>
      </c>
      <c r="G2528" s="1">
        <v>1664851.16</v>
      </c>
    </row>
    <row r="2529" spans="1:7">
      <c r="A2529" t="s">
        <v>2624</v>
      </c>
      <c r="B2529" s="6">
        <v>45674</v>
      </c>
      <c r="C2529" s="6" t="str">
        <f>TEXT(Table3[[#This Row],[transaction_date]], "yyyy-mm")</f>
        <v>2025-01</v>
      </c>
      <c r="D2529" t="s">
        <v>78</v>
      </c>
      <c r="E2529" t="s">
        <v>3637</v>
      </c>
      <c r="F2529" t="s">
        <v>3621</v>
      </c>
      <c r="G2529" s="1">
        <v>1216873.3600000001</v>
      </c>
    </row>
    <row r="2530" spans="1:7">
      <c r="A2530" t="s">
        <v>2625</v>
      </c>
      <c r="B2530" s="6">
        <v>45957</v>
      </c>
      <c r="C2530" s="6" t="str">
        <f>TEXT(Table3[[#This Row],[transaction_date]], "yyyy-mm")</f>
        <v>2025-10</v>
      </c>
      <c r="D2530" t="s">
        <v>73</v>
      </c>
      <c r="E2530" t="s">
        <v>3636</v>
      </c>
      <c r="F2530" t="s">
        <v>3605</v>
      </c>
      <c r="G2530" s="1">
        <v>965814.81</v>
      </c>
    </row>
    <row r="2531" spans="1:7">
      <c r="A2531" t="s">
        <v>2626</v>
      </c>
      <c r="B2531" s="6">
        <v>45923</v>
      </c>
      <c r="C2531" s="6" t="str">
        <f>TEXT(Table3[[#This Row],[transaction_date]], "yyyy-mm")</f>
        <v>2025-09</v>
      </c>
      <c r="D2531" t="s">
        <v>90</v>
      </c>
      <c r="E2531" t="s">
        <v>3637</v>
      </c>
      <c r="F2531" t="s">
        <v>3623</v>
      </c>
      <c r="G2531" s="1">
        <v>2809814.52</v>
      </c>
    </row>
    <row r="2532" spans="1:7">
      <c r="A2532" t="s">
        <v>2627</v>
      </c>
      <c r="B2532" s="6">
        <v>45938</v>
      </c>
      <c r="C2532" s="6" t="str">
        <f>TEXT(Table3[[#This Row],[transaction_date]], "yyyy-mm")</f>
        <v>2025-10</v>
      </c>
      <c r="D2532" t="s">
        <v>73</v>
      </c>
      <c r="E2532" t="s">
        <v>3636</v>
      </c>
      <c r="F2532" t="s">
        <v>3609</v>
      </c>
      <c r="G2532" s="1">
        <v>9353657.1699999999</v>
      </c>
    </row>
    <row r="2533" spans="1:7">
      <c r="A2533" t="s">
        <v>2628</v>
      </c>
      <c r="B2533" s="6">
        <v>45835</v>
      </c>
      <c r="C2533" s="6" t="str">
        <f>TEXT(Table3[[#This Row],[transaction_date]], "yyyy-mm")</f>
        <v>2025-06</v>
      </c>
      <c r="D2533" t="s">
        <v>3597</v>
      </c>
      <c r="E2533" t="s">
        <v>3637</v>
      </c>
      <c r="F2533" t="s">
        <v>3614</v>
      </c>
      <c r="G2533" s="1">
        <v>521044.41</v>
      </c>
    </row>
    <row r="2534" spans="1:7">
      <c r="A2534" t="s">
        <v>2629</v>
      </c>
      <c r="B2534" s="6">
        <v>45967</v>
      </c>
      <c r="C2534" s="6" t="str">
        <f>TEXT(Table3[[#This Row],[transaction_date]], "yyyy-mm")</f>
        <v>2025-11</v>
      </c>
      <c r="D2534" t="s">
        <v>90</v>
      </c>
      <c r="E2534" t="s">
        <v>3636</v>
      </c>
      <c r="F2534" t="s">
        <v>3609</v>
      </c>
      <c r="G2534" s="1">
        <v>4025784.89</v>
      </c>
    </row>
    <row r="2535" spans="1:7">
      <c r="A2535" t="s">
        <v>2630</v>
      </c>
      <c r="B2535" s="6">
        <v>45811</v>
      </c>
      <c r="C2535" s="6" t="str">
        <f>TEXT(Table3[[#This Row],[transaction_date]], "yyyy-mm")</f>
        <v>2025-06</v>
      </c>
      <c r="D2535" t="s">
        <v>82</v>
      </c>
      <c r="E2535" t="s">
        <v>3637</v>
      </c>
      <c r="F2535" t="s">
        <v>3623</v>
      </c>
      <c r="G2535" s="1">
        <v>14791016.310000001</v>
      </c>
    </row>
    <row r="2536" spans="1:7">
      <c r="A2536" t="s">
        <v>2631</v>
      </c>
      <c r="B2536" s="6">
        <v>45692</v>
      </c>
      <c r="C2536" s="6" t="str">
        <f>TEXT(Table3[[#This Row],[transaction_date]], "yyyy-mm")</f>
        <v>2025-02</v>
      </c>
      <c r="D2536" t="s">
        <v>74</v>
      </c>
      <c r="E2536" t="s">
        <v>3637</v>
      </c>
      <c r="F2536" t="s">
        <v>3620</v>
      </c>
      <c r="G2536" s="1">
        <v>563737.09</v>
      </c>
    </row>
    <row r="2537" spans="1:7">
      <c r="A2537" t="s">
        <v>2632</v>
      </c>
      <c r="B2537" s="6">
        <v>45992</v>
      </c>
      <c r="C2537" s="6" t="str">
        <f>TEXT(Table3[[#This Row],[transaction_date]], "yyyy-mm")</f>
        <v>2025-12</v>
      </c>
      <c r="D2537" t="s">
        <v>78</v>
      </c>
      <c r="E2537" t="s">
        <v>3636</v>
      </c>
      <c r="F2537" t="s">
        <v>3612</v>
      </c>
      <c r="G2537" s="1">
        <v>11383583.369999999</v>
      </c>
    </row>
    <row r="2538" spans="1:7">
      <c r="A2538" t="s">
        <v>2633</v>
      </c>
      <c r="B2538" s="6">
        <v>45815</v>
      </c>
      <c r="C2538" s="6" t="str">
        <f>TEXT(Table3[[#This Row],[transaction_date]], "yyyy-mm")</f>
        <v>2025-06</v>
      </c>
      <c r="D2538" t="s">
        <v>95</v>
      </c>
      <c r="E2538" t="s">
        <v>3636</v>
      </c>
      <c r="F2538" t="s">
        <v>3613</v>
      </c>
      <c r="G2538" s="1">
        <v>2761135.2</v>
      </c>
    </row>
    <row r="2539" spans="1:7">
      <c r="A2539" t="s">
        <v>2634</v>
      </c>
      <c r="B2539" s="6">
        <v>45719</v>
      </c>
      <c r="C2539" s="6" t="str">
        <f>TEXT(Table3[[#This Row],[transaction_date]], "yyyy-mm")</f>
        <v>2025-03</v>
      </c>
      <c r="D2539" t="s">
        <v>3597</v>
      </c>
      <c r="E2539" t="s">
        <v>3637</v>
      </c>
      <c r="F2539" t="s">
        <v>3621</v>
      </c>
      <c r="G2539" s="1">
        <v>4597852.17</v>
      </c>
    </row>
    <row r="2540" spans="1:7">
      <c r="A2540" t="s">
        <v>2635</v>
      </c>
      <c r="B2540" s="6">
        <v>45812</v>
      </c>
      <c r="C2540" s="6" t="str">
        <f>TEXT(Table3[[#This Row],[transaction_date]], "yyyy-mm")</f>
        <v>2025-06</v>
      </c>
      <c r="D2540" t="s">
        <v>77</v>
      </c>
      <c r="E2540" t="s">
        <v>3636</v>
      </c>
      <c r="F2540" t="s">
        <v>3605</v>
      </c>
      <c r="G2540" s="1">
        <v>7984101.8499999996</v>
      </c>
    </row>
    <row r="2541" spans="1:7">
      <c r="A2541" t="s">
        <v>2636</v>
      </c>
      <c r="B2541" s="6">
        <v>45725</v>
      </c>
      <c r="C2541" s="6" t="str">
        <f>TEXT(Table3[[#This Row],[transaction_date]], "yyyy-mm")</f>
        <v>2025-03</v>
      </c>
      <c r="D2541" t="s">
        <v>95</v>
      </c>
      <c r="E2541" t="s">
        <v>3636</v>
      </c>
      <c r="F2541" t="s">
        <v>3612</v>
      </c>
      <c r="G2541" s="1">
        <v>510473.88</v>
      </c>
    </row>
    <row r="2542" spans="1:7">
      <c r="A2542" t="s">
        <v>2637</v>
      </c>
      <c r="B2542" s="6">
        <v>45751</v>
      </c>
      <c r="C2542" s="6" t="str">
        <f>TEXT(Table3[[#This Row],[transaction_date]], "yyyy-mm")</f>
        <v>2025-04</v>
      </c>
      <c r="D2542" t="s">
        <v>85</v>
      </c>
      <c r="E2542" t="s">
        <v>3637</v>
      </c>
      <c r="F2542" t="s">
        <v>3618</v>
      </c>
      <c r="G2542" s="1">
        <v>3353579.28</v>
      </c>
    </row>
    <row r="2543" spans="1:7">
      <c r="A2543" t="s">
        <v>2638</v>
      </c>
      <c r="B2543" s="6">
        <v>45979</v>
      </c>
      <c r="C2543" s="6" t="str">
        <f>TEXT(Table3[[#This Row],[transaction_date]], "yyyy-mm")</f>
        <v>2025-11</v>
      </c>
      <c r="D2543" t="s">
        <v>73</v>
      </c>
      <c r="E2543" t="s">
        <v>3636</v>
      </c>
      <c r="F2543" t="s">
        <v>3609</v>
      </c>
      <c r="G2543" s="1">
        <v>242053.42</v>
      </c>
    </row>
    <row r="2544" spans="1:7">
      <c r="A2544" t="s">
        <v>2639</v>
      </c>
      <c r="B2544" s="6">
        <v>45854</v>
      </c>
      <c r="C2544" s="6" t="str">
        <f>TEXT(Table3[[#This Row],[transaction_date]], "yyyy-mm")</f>
        <v>2025-07</v>
      </c>
      <c r="D2544" t="s">
        <v>76</v>
      </c>
      <c r="E2544" t="s">
        <v>3637</v>
      </c>
      <c r="F2544" t="s">
        <v>3622</v>
      </c>
      <c r="G2544" s="1">
        <v>11702200.9</v>
      </c>
    </row>
    <row r="2545" spans="1:7">
      <c r="A2545" t="s">
        <v>2640</v>
      </c>
      <c r="B2545" s="6">
        <v>45834</v>
      </c>
      <c r="C2545" s="6" t="str">
        <f>TEXT(Table3[[#This Row],[transaction_date]], "yyyy-mm")</f>
        <v>2025-06</v>
      </c>
      <c r="D2545" t="s">
        <v>73</v>
      </c>
      <c r="E2545" t="s">
        <v>3637</v>
      </c>
      <c r="F2545" t="s">
        <v>3621</v>
      </c>
      <c r="G2545" s="1">
        <v>585386.79</v>
      </c>
    </row>
    <row r="2546" spans="1:7">
      <c r="A2546" t="s">
        <v>2641</v>
      </c>
      <c r="B2546" s="6">
        <v>45896</v>
      </c>
      <c r="C2546" s="6" t="str">
        <f>TEXT(Table3[[#This Row],[transaction_date]], "yyyy-mm")</f>
        <v>2025-08</v>
      </c>
      <c r="D2546" t="s">
        <v>95</v>
      </c>
      <c r="E2546" t="s">
        <v>3636</v>
      </c>
      <c r="F2546" t="s">
        <v>3609</v>
      </c>
      <c r="G2546" s="1">
        <v>869485.26</v>
      </c>
    </row>
    <row r="2547" spans="1:7">
      <c r="A2547" t="s">
        <v>2642</v>
      </c>
      <c r="B2547" s="6">
        <v>46008</v>
      </c>
      <c r="C2547" s="6" t="str">
        <f>TEXT(Table3[[#This Row],[transaction_date]], "yyyy-mm")</f>
        <v>2025-12</v>
      </c>
      <c r="D2547" t="s">
        <v>80</v>
      </c>
      <c r="E2547" t="s">
        <v>3637</v>
      </c>
      <c r="F2547" t="s">
        <v>3614</v>
      </c>
      <c r="G2547" s="1">
        <v>3766082.85</v>
      </c>
    </row>
    <row r="2548" spans="1:7">
      <c r="A2548" t="s">
        <v>2643</v>
      </c>
      <c r="B2548" s="6">
        <v>45686</v>
      </c>
      <c r="C2548" s="6" t="str">
        <f>TEXT(Table3[[#This Row],[transaction_date]], "yyyy-mm")</f>
        <v>2025-01</v>
      </c>
      <c r="D2548" t="s">
        <v>89</v>
      </c>
      <c r="E2548" t="s">
        <v>3637</v>
      </c>
      <c r="F2548" t="s">
        <v>3616</v>
      </c>
      <c r="G2548" s="1">
        <v>678334.83</v>
      </c>
    </row>
    <row r="2549" spans="1:7">
      <c r="A2549" t="s">
        <v>2644</v>
      </c>
      <c r="B2549" s="6">
        <v>45984</v>
      </c>
      <c r="C2549" s="6" t="str">
        <f>TEXT(Table3[[#This Row],[transaction_date]], "yyyy-mm")</f>
        <v>2025-11</v>
      </c>
      <c r="D2549" t="s">
        <v>84</v>
      </c>
      <c r="E2549" t="s">
        <v>3637</v>
      </c>
      <c r="F2549" t="s">
        <v>3615</v>
      </c>
      <c r="G2549" s="1">
        <v>15701232.539999999</v>
      </c>
    </row>
    <row r="2550" spans="1:7">
      <c r="A2550" t="s">
        <v>2645</v>
      </c>
      <c r="B2550" s="6">
        <v>45711</v>
      </c>
      <c r="C2550" s="6" t="str">
        <f>TEXT(Table3[[#This Row],[transaction_date]], "yyyy-mm")</f>
        <v>2025-02</v>
      </c>
      <c r="D2550" t="s">
        <v>93</v>
      </c>
      <c r="E2550" t="s">
        <v>3636</v>
      </c>
      <c r="F2550" t="s">
        <v>3609</v>
      </c>
      <c r="G2550" s="1">
        <v>5355338.5199999996</v>
      </c>
    </row>
    <row r="2551" spans="1:7">
      <c r="A2551" t="s">
        <v>2646</v>
      </c>
      <c r="B2551" s="6">
        <v>45827</v>
      </c>
      <c r="C2551" s="6" t="str">
        <f>TEXT(Table3[[#This Row],[transaction_date]], "yyyy-mm")</f>
        <v>2025-06</v>
      </c>
      <c r="D2551" t="s">
        <v>73</v>
      </c>
      <c r="E2551" t="s">
        <v>3637</v>
      </c>
      <c r="F2551" t="s">
        <v>3617</v>
      </c>
      <c r="G2551" s="1">
        <v>998691.15</v>
      </c>
    </row>
    <row r="2552" spans="1:7">
      <c r="A2552" t="s">
        <v>2647</v>
      </c>
      <c r="B2552" s="6">
        <v>45750</v>
      </c>
      <c r="C2552" s="6" t="str">
        <f>TEXT(Table3[[#This Row],[transaction_date]], "yyyy-mm")</f>
        <v>2025-04</v>
      </c>
      <c r="D2552" t="s">
        <v>84</v>
      </c>
      <c r="E2552" t="s">
        <v>3636</v>
      </c>
      <c r="F2552" t="s">
        <v>3604</v>
      </c>
      <c r="G2552" s="1">
        <v>14248530.74</v>
      </c>
    </row>
    <row r="2553" spans="1:7">
      <c r="A2553" t="s">
        <v>2648</v>
      </c>
      <c r="B2553" s="6">
        <v>45674</v>
      </c>
      <c r="C2553" s="6" t="str">
        <f>TEXT(Table3[[#This Row],[transaction_date]], "yyyy-mm")</f>
        <v>2025-01</v>
      </c>
      <c r="D2553" t="s">
        <v>89</v>
      </c>
      <c r="E2553" t="s">
        <v>3637</v>
      </c>
      <c r="F2553" t="s">
        <v>3623</v>
      </c>
      <c r="G2553" s="1">
        <v>447639.46</v>
      </c>
    </row>
    <row r="2554" spans="1:7">
      <c r="A2554" t="s">
        <v>2649</v>
      </c>
      <c r="B2554" s="6">
        <v>45691</v>
      </c>
      <c r="C2554" s="6" t="str">
        <f>TEXT(Table3[[#This Row],[transaction_date]], "yyyy-mm")</f>
        <v>2025-02</v>
      </c>
      <c r="D2554" t="s">
        <v>73</v>
      </c>
      <c r="E2554" t="s">
        <v>3636</v>
      </c>
      <c r="F2554" t="s">
        <v>3613</v>
      </c>
      <c r="G2554" s="1">
        <v>3469717.41</v>
      </c>
    </row>
    <row r="2555" spans="1:7">
      <c r="A2555" t="s">
        <v>2650</v>
      </c>
      <c r="B2555" s="6">
        <v>45938</v>
      </c>
      <c r="C2555" s="6" t="str">
        <f>TEXT(Table3[[#This Row],[transaction_date]], "yyyy-mm")</f>
        <v>2025-10</v>
      </c>
      <c r="D2555" t="s">
        <v>95</v>
      </c>
      <c r="E2555" t="s">
        <v>3636</v>
      </c>
      <c r="F2555" t="s">
        <v>3606</v>
      </c>
      <c r="G2555" s="1">
        <v>13070213.380000001</v>
      </c>
    </row>
    <row r="2556" spans="1:7">
      <c r="A2556" t="s">
        <v>2651</v>
      </c>
      <c r="B2556" s="6">
        <v>45937</v>
      </c>
      <c r="C2556" s="6" t="str">
        <f>TEXT(Table3[[#This Row],[transaction_date]], "yyyy-mm")</f>
        <v>2025-10</v>
      </c>
      <c r="D2556" t="s">
        <v>95</v>
      </c>
      <c r="E2556" t="s">
        <v>3637</v>
      </c>
      <c r="F2556" t="s">
        <v>3620</v>
      </c>
      <c r="G2556" s="1">
        <v>6016332.5</v>
      </c>
    </row>
    <row r="2557" spans="1:7">
      <c r="A2557" t="s">
        <v>2652</v>
      </c>
      <c r="B2557" s="6">
        <v>45962</v>
      </c>
      <c r="C2557" s="6" t="str">
        <f>TEXT(Table3[[#This Row],[transaction_date]], "yyyy-mm")</f>
        <v>2025-11</v>
      </c>
      <c r="D2557" t="s">
        <v>95</v>
      </c>
      <c r="E2557" t="s">
        <v>3637</v>
      </c>
      <c r="F2557" t="s">
        <v>3621</v>
      </c>
      <c r="G2557" s="1">
        <v>2760255.08</v>
      </c>
    </row>
    <row r="2558" spans="1:7">
      <c r="A2558" t="s">
        <v>2653</v>
      </c>
      <c r="B2558" s="6">
        <v>45920</v>
      </c>
      <c r="C2558" s="6" t="str">
        <f>TEXT(Table3[[#This Row],[transaction_date]], "yyyy-mm")</f>
        <v>2025-09</v>
      </c>
      <c r="D2558" t="s">
        <v>85</v>
      </c>
      <c r="E2558" t="s">
        <v>3637</v>
      </c>
      <c r="F2558" t="s">
        <v>3621</v>
      </c>
      <c r="G2558" s="1">
        <v>634119.72</v>
      </c>
    </row>
    <row r="2559" spans="1:7">
      <c r="A2559" t="s">
        <v>2654</v>
      </c>
      <c r="B2559" s="6">
        <v>45843</v>
      </c>
      <c r="C2559" s="6" t="str">
        <f>TEXT(Table3[[#This Row],[transaction_date]], "yyyy-mm")</f>
        <v>2025-07</v>
      </c>
      <c r="D2559" t="s">
        <v>89</v>
      </c>
      <c r="E2559" t="s">
        <v>3637</v>
      </c>
      <c r="F2559" t="s">
        <v>3617</v>
      </c>
      <c r="G2559" s="1">
        <v>3506884.95</v>
      </c>
    </row>
    <row r="2560" spans="1:7">
      <c r="A2560" t="s">
        <v>2655</v>
      </c>
      <c r="B2560" s="6">
        <v>45873</v>
      </c>
      <c r="C2560" s="6" t="str">
        <f>TEXT(Table3[[#This Row],[transaction_date]], "yyyy-mm")</f>
        <v>2025-08</v>
      </c>
      <c r="D2560" t="s">
        <v>93</v>
      </c>
      <c r="E2560" t="s">
        <v>3636</v>
      </c>
      <c r="F2560" t="s">
        <v>3608</v>
      </c>
      <c r="G2560" s="1">
        <v>4512628.4800000004</v>
      </c>
    </row>
    <row r="2561" spans="1:7">
      <c r="A2561" t="s">
        <v>2656</v>
      </c>
      <c r="B2561" s="6">
        <v>46001</v>
      </c>
      <c r="C2561" s="6" t="str">
        <f>TEXT(Table3[[#This Row],[transaction_date]], "yyyy-mm")</f>
        <v>2025-12</v>
      </c>
      <c r="D2561" t="s">
        <v>74</v>
      </c>
      <c r="E2561" t="s">
        <v>3636</v>
      </c>
      <c r="F2561" t="s">
        <v>3607</v>
      </c>
      <c r="G2561" s="1">
        <v>262766.09999999998</v>
      </c>
    </row>
    <row r="2562" spans="1:7">
      <c r="A2562" t="s">
        <v>2657</v>
      </c>
      <c r="B2562" s="6">
        <v>45935</v>
      </c>
      <c r="C2562" s="6" t="str">
        <f>TEXT(Table3[[#This Row],[transaction_date]], "yyyy-mm")</f>
        <v>2025-10</v>
      </c>
      <c r="D2562" t="s">
        <v>89</v>
      </c>
      <c r="E2562" t="s">
        <v>3637</v>
      </c>
      <c r="F2562" t="s">
        <v>3617</v>
      </c>
      <c r="G2562" s="1">
        <v>2601054.9500000002</v>
      </c>
    </row>
    <row r="2563" spans="1:7">
      <c r="A2563" t="s">
        <v>2658</v>
      </c>
      <c r="B2563" s="6">
        <v>45792</v>
      </c>
      <c r="C2563" s="6" t="str">
        <f>TEXT(Table3[[#This Row],[transaction_date]], "yyyy-mm")</f>
        <v>2025-05</v>
      </c>
      <c r="D2563" t="s">
        <v>90</v>
      </c>
      <c r="E2563" t="s">
        <v>3636</v>
      </c>
      <c r="F2563" t="s">
        <v>3609</v>
      </c>
      <c r="G2563" s="1">
        <v>24397417.300000001</v>
      </c>
    </row>
    <row r="2564" spans="1:7">
      <c r="A2564" t="s">
        <v>2659</v>
      </c>
      <c r="B2564" s="6">
        <v>45845</v>
      </c>
      <c r="C2564" s="6" t="str">
        <f>TEXT(Table3[[#This Row],[transaction_date]], "yyyy-mm")</f>
        <v>2025-07</v>
      </c>
      <c r="D2564" t="s">
        <v>89</v>
      </c>
      <c r="E2564" t="s">
        <v>3636</v>
      </c>
      <c r="F2564" t="s">
        <v>3607</v>
      </c>
      <c r="G2564" s="1">
        <v>238209.21</v>
      </c>
    </row>
    <row r="2565" spans="1:7">
      <c r="A2565" t="s">
        <v>2660</v>
      </c>
      <c r="B2565" s="6">
        <v>45962</v>
      </c>
      <c r="C2565" s="6" t="str">
        <f>TEXT(Table3[[#This Row],[transaction_date]], "yyyy-mm")</f>
        <v>2025-11</v>
      </c>
      <c r="D2565" t="s">
        <v>89</v>
      </c>
      <c r="E2565" t="s">
        <v>3636</v>
      </c>
      <c r="F2565" t="s">
        <v>3612</v>
      </c>
      <c r="G2565" s="1">
        <v>1561530.91</v>
      </c>
    </row>
    <row r="2566" spans="1:7">
      <c r="A2566" t="s">
        <v>2661</v>
      </c>
      <c r="B2566" s="6">
        <v>45845</v>
      </c>
      <c r="C2566" s="6" t="str">
        <f>TEXT(Table3[[#This Row],[transaction_date]], "yyyy-mm")</f>
        <v>2025-07</v>
      </c>
      <c r="D2566" t="s">
        <v>80</v>
      </c>
      <c r="E2566" t="s">
        <v>3637</v>
      </c>
      <c r="F2566" t="s">
        <v>3622</v>
      </c>
      <c r="G2566" s="1">
        <v>876555.85</v>
      </c>
    </row>
    <row r="2567" spans="1:7">
      <c r="A2567" t="s">
        <v>2662</v>
      </c>
      <c r="B2567" s="6">
        <v>45989</v>
      </c>
      <c r="C2567" s="6" t="str">
        <f>TEXT(Table3[[#This Row],[transaction_date]], "yyyy-mm")</f>
        <v>2025-11</v>
      </c>
      <c r="D2567" t="s">
        <v>3597</v>
      </c>
      <c r="E2567" t="s">
        <v>3637</v>
      </c>
      <c r="F2567" t="s">
        <v>3620</v>
      </c>
      <c r="G2567" s="1">
        <v>5567275.8700000001</v>
      </c>
    </row>
    <row r="2568" spans="1:7">
      <c r="A2568" t="s">
        <v>2663</v>
      </c>
      <c r="B2568" s="6">
        <v>45676</v>
      </c>
      <c r="C2568" s="6" t="str">
        <f>TEXT(Table3[[#This Row],[transaction_date]], "yyyy-mm")</f>
        <v>2025-01</v>
      </c>
      <c r="D2568" t="s">
        <v>80</v>
      </c>
      <c r="E2568" t="s">
        <v>3637</v>
      </c>
      <c r="F2568" t="s">
        <v>3620</v>
      </c>
      <c r="G2568" s="1">
        <v>3795530.59</v>
      </c>
    </row>
    <row r="2569" spans="1:7">
      <c r="A2569" t="s">
        <v>2664</v>
      </c>
      <c r="B2569" s="6">
        <v>45901</v>
      </c>
      <c r="C2569" s="6" t="str">
        <f>TEXT(Table3[[#This Row],[transaction_date]], "yyyy-mm")</f>
        <v>2025-09</v>
      </c>
      <c r="D2569" t="s">
        <v>77</v>
      </c>
      <c r="E2569" t="s">
        <v>3637</v>
      </c>
      <c r="F2569" t="s">
        <v>3622</v>
      </c>
      <c r="G2569" s="1">
        <v>845093.33</v>
      </c>
    </row>
    <row r="2570" spans="1:7">
      <c r="A2570" t="s">
        <v>2665</v>
      </c>
      <c r="B2570" s="6">
        <v>45683</v>
      </c>
      <c r="C2570" s="6" t="str">
        <f>TEXT(Table3[[#This Row],[transaction_date]], "yyyy-mm")</f>
        <v>2025-01</v>
      </c>
      <c r="D2570" t="s">
        <v>85</v>
      </c>
      <c r="E2570" t="s">
        <v>3636</v>
      </c>
      <c r="F2570" t="s">
        <v>3606</v>
      </c>
      <c r="G2570" s="1">
        <v>583675.03</v>
      </c>
    </row>
    <row r="2571" spans="1:7">
      <c r="A2571" t="s">
        <v>2666</v>
      </c>
      <c r="B2571" s="6">
        <v>45995</v>
      </c>
      <c r="C2571" s="6" t="str">
        <f>TEXT(Table3[[#This Row],[transaction_date]], "yyyy-mm")</f>
        <v>2025-12</v>
      </c>
      <c r="D2571" t="s">
        <v>73</v>
      </c>
      <c r="E2571" t="s">
        <v>3637</v>
      </c>
      <c r="F2571" t="s">
        <v>3619</v>
      </c>
      <c r="G2571" s="1">
        <v>406949.34</v>
      </c>
    </row>
    <row r="2572" spans="1:7">
      <c r="A2572" t="s">
        <v>2667</v>
      </c>
      <c r="B2572" s="6">
        <v>45747</v>
      </c>
      <c r="C2572" s="6" t="str">
        <f>TEXT(Table3[[#This Row],[transaction_date]], "yyyy-mm")</f>
        <v>2025-03</v>
      </c>
      <c r="D2572" t="s">
        <v>74</v>
      </c>
      <c r="E2572" t="s">
        <v>3637</v>
      </c>
      <c r="F2572" t="s">
        <v>3621</v>
      </c>
      <c r="G2572" s="1">
        <v>380324.92</v>
      </c>
    </row>
    <row r="2573" spans="1:7">
      <c r="A2573" t="s">
        <v>2668</v>
      </c>
      <c r="B2573" s="6">
        <v>45948</v>
      </c>
      <c r="C2573" s="6" t="str">
        <f>TEXT(Table3[[#This Row],[transaction_date]], "yyyy-mm")</f>
        <v>2025-10</v>
      </c>
      <c r="D2573" t="s">
        <v>74</v>
      </c>
      <c r="E2573" t="s">
        <v>3637</v>
      </c>
      <c r="F2573" t="s">
        <v>3618</v>
      </c>
      <c r="G2573" s="1">
        <v>236486.99</v>
      </c>
    </row>
    <row r="2574" spans="1:7">
      <c r="A2574" t="s">
        <v>2669</v>
      </c>
      <c r="B2574" s="6">
        <v>45767</v>
      </c>
      <c r="C2574" s="6" t="str">
        <f>TEXT(Table3[[#This Row],[transaction_date]], "yyyy-mm")</f>
        <v>2025-04</v>
      </c>
      <c r="D2574" t="s">
        <v>76</v>
      </c>
      <c r="E2574" t="s">
        <v>3637</v>
      </c>
      <c r="F2574" t="s">
        <v>3622</v>
      </c>
      <c r="G2574" s="1">
        <v>3152887.2</v>
      </c>
    </row>
    <row r="2575" spans="1:7">
      <c r="A2575" t="s">
        <v>2670</v>
      </c>
      <c r="B2575" s="6">
        <v>45761</v>
      </c>
      <c r="C2575" s="6" t="str">
        <f>TEXT(Table3[[#This Row],[transaction_date]], "yyyy-mm")</f>
        <v>2025-04</v>
      </c>
      <c r="D2575" t="s">
        <v>74</v>
      </c>
      <c r="E2575" t="s">
        <v>3636</v>
      </c>
      <c r="F2575" t="s">
        <v>3606</v>
      </c>
      <c r="G2575" s="1">
        <v>1108552.17</v>
      </c>
    </row>
    <row r="2576" spans="1:7">
      <c r="A2576" t="s">
        <v>2671</v>
      </c>
      <c r="B2576" s="6">
        <v>45968</v>
      </c>
      <c r="C2576" s="6" t="str">
        <f>TEXT(Table3[[#This Row],[transaction_date]], "yyyy-mm")</f>
        <v>2025-11</v>
      </c>
      <c r="D2576" t="s">
        <v>82</v>
      </c>
      <c r="E2576" t="s">
        <v>3637</v>
      </c>
      <c r="F2576" t="s">
        <v>3616</v>
      </c>
      <c r="G2576" s="1">
        <v>19825103.879999999</v>
      </c>
    </row>
    <row r="2577" spans="1:7">
      <c r="A2577" t="s">
        <v>2672</v>
      </c>
      <c r="B2577" s="6">
        <v>45998</v>
      </c>
      <c r="C2577" s="6" t="str">
        <f>TEXT(Table3[[#This Row],[transaction_date]], "yyyy-mm")</f>
        <v>2025-12</v>
      </c>
      <c r="D2577" t="s">
        <v>89</v>
      </c>
      <c r="E2577" t="s">
        <v>3636</v>
      </c>
      <c r="F2577" t="s">
        <v>3613</v>
      </c>
      <c r="G2577" s="1">
        <v>26578.63</v>
      </c>
    </row>
    <row r="2578" spans="1:7">
      <c r="A2578" t="s">
        <v>2673</v>
      </c>
      <c r="B2578" s="6">
        <v>45936</v>
      </c>
      <c r="C2578" s="6" t="str">
        <f>TEXT(Table3[[#This Row],[transaction_date]], "yyyy-mm")</f>
        <v>2025-10</v>
      </c>
      <c r="D2578" t="s">
        <v>79</v>
      </c>
      <c r="E2578" t="s">
        <v>3637</v>
      </c>
      <c r="F2578" t="s">
        <v>3622</v>
      </c>
      <c r="G2578" s="1">
        <v>2489211.92</v>
      </c>
    </row>
    <row r="2579" spans="1:7">
      <c r="A2579" t="s">
        <v>2674</v>
      </c>
      <c r="B2579" s="6">
        <v>46008</v>
      </c>
      <c r="C2579" s="6" t="str">
        <f>TEXT(Table3[[#This Row],[transaction_date]], "yyyy-mm")</f>
        <v>2025-12</v>
      </c>
      <c r="D2579" t="s">
        <v>82</v>
      </c>
      <c r="E2579" t="s">
        <v>3637</v>
      </c>
      <c r="F2579" t="s">
        <v>3622</v>
      </c>
      <c r="G2579" s="1">
        <v>15768625.359999999</v>
      </c>
    </row>
    <row r="2580" spans="1:7">
      <c r="A2580" t="s">
        <v>2675</v>
      </c>
      <c r="B2580" s="6">
        <v>45799</v>
      </c>
      <c r="C2580" s="6" t="str">
        <f>TEXT(Table3[[#This Row],[transaction_date]], "yyyy-mm")</f>
        <v>2025-05</v>
      </c>
      <c r="D2580" t="s">
        <v>74</v>
      </c>
      <c r="E2580" t="s">
        <v>3636</v>
      </c>
      <c r="F2580" t="s">
        <v>3607</v>
      </c>
      <c r="G2580" s="1">
        <v>17925.900000000001</v>
      </c>
    </row>
    <row r="2581" spans="1:7">
      <c r="A2581" t="s">
        <v>2676</v>
      </c>
      <c r="B2581" s="6">
        <v>45673</v>
      </c>
      <c r="C2581" s="6" t="str">
        <f>TEXT(Table3[[#This Row],[transaction_date]], "yyyy-mm")</f>
        <v>2025-01</v>
      </c>
      <c r="D2581" t="s">
        <v>95</v>
      </c>
      <c r="E2581" t="s">
        <v>3637</v>
      </c>
      <c r="F2581" t="s">
        <v>3614</v>
      </c>
      <c r="G2581" s="1">
        <v>2292980.06</v>
      </c>
    </row>
    <row r="2582" spans="1:7">
      <c r="A2582" t="s">
        <v>2677</v>
      </c>
      <c r="B2582" s="6">
        <v>45848</v>
      </c>
      <c r="C2582" s="6" t="str">
        <f>TEXT(Table3[[#This Row],[transaction_date]], "yyyy-mm")</f>
        <v>2025-07</v>
      </c>
      <c r="D2582" t="s">
        <v>76</v>
      </c>
      <c r="E2582" t="s">
        <v>3636</v>
      </c>
      <c r="F2582" t="s">
        <v>3608</v>
      </c>
      <c r="G2582" s="1">
        <v>4363669.8899999997</v>
      </c>
    </row>
    <row r="2583" spans="1:7">
      <c r="A2583" t="s">
        <v>2678</v>
      </c>
      <c r="B2583" s="6">
        <v>45847</v>
      </c>
      <c r="C2583" s="6" t="str">
        <f>TEXT(Table3[[#This Row],[transaction_date]], "yyyy-mm")</f>
        <v>2025-07</v>
      </c>
      <c r="D2583" t="s">
        <v>84</v>
      </c>
      <c r="E2583" t="s">
        <v>3636</v>
      </c>
      <c r="F2583" t="s">
        <v>3613</v>
      </c>
      <c r="G2583" s="1">
        <v>10121821.699999999</v>
      </c>
    </row>
    <row r="2584" spans="1:7">
      <c r="A2584" t="s">
        <v>2679</v>
      </c>
      <c r="B2584" s="6">
        <v>45934</v>
      </c>
      <c r="C2584" s="6" t="str">
        <f>TEXT(Table3[[#This Row],[transaction_date]], "yyyy-mm")</f>
        <v>2025-10</v>
      </c>
      <c r="D2584" t="s">
        <v>79</v>
      </c>
      <c r="E2584" t="s">
        <v>3637</v>
      </c>
      <c r="F2584" t="s">
        <v>3622</v>
      </c>
      <c r="G2584" s="1">
        <v>1471825.09</v>
      </c>
    </row>
    <row r="2585" spans="1:7">
      <c r="A2585" t="s">
        <v>2680</v>
      </c>
      <c r="B2585" s="6">
        <v>45970</v>
      </c>
      <c r="C2585" s="6" t="str">
        <f>TEXT(Table3[[#This Row],[transaction_date]], "yyyy-mm")</f>
        <v>2025-11</v>
      </c>
      <c r="D2585" t="s">
        <v>85</v>
      </c>
      <c r="E2585" t="s">
        <v>3637</v>
      </c>
      <c r="F2585" t="s">
        <v>3614</v>
      </c>
      <c r="G2585" s="1">
        <v>1540444.33</v>
      </c>
    </row>
    <row r="2586" spans="1:7">
      <c r="A2586" t="s">
        <v>2681</v>
      </c>
      <c r="B2586" s="6">
        <v>45950</v>
      </c>
      <c r="C2586" s="6" t="str">
        <f>TEXT(Table3[[#This Row],[transaction_date]], "yyyy-mm")</f>
        <v>2025-10</v>
      </c>
      <c r="D2586" t="s">
        <v>84</v>
      </c>
      <c r="E2586" t="s">
        <v>3637</v>
      </c>
      <c r="F2586" t="s">
        <v>3621</v>
      </c>
      <c r="G2586" s="1">
        <v>13257863.23</v>
      </c>
    </row>
    <row r="2587" spans="1:7">
      <c r="A2587" t="s">
        <v>2682</v>
      </c>
      <c r="B2587" s="6">
        <v>45705</v>
      </c>
      <c r="C2587" s="6" t="str">
        <f>TEXT(Table3[[#This Row],[transaction_date]], "yyyy-mm")</f>
        <v>2025-02</v>
      </c>
      <c r="D2587" t="s">
        <v>93</v>
      </c>
      <c r="E2587" t="s">
        <v>3636</v>
      </c>
      <c r="F2587" t="s">
        <v>3608</v>
      </c>
      <c r="G2587" s="1">
        <v>1308910.04</v>
      </c>
    </row>
    <row r="2588" spans="1:7">
      <c r="A2588" t="s">
        <v>2683</v>
      </c>
      <c r="B2588" s="6">
        <v>45946</v>
      </c>
      <c r="C2588" s="6" t="str">
        <f>TEXT(Table3[[#This Row],[transaction_date]], "yyyy-mm")</f>
        <v>2025-10</v>
      </c>
      <c r="D2588" t="s">
        <v>75</v>
      </c>
      <c r="E2588" t="s">
        <v>3636</v>
      </c>
      <c r="F2588" t="s">
        <v>3606</v>
      </c>
      <c r="G2588" s="1">
        <v>2019717.01</v>
      </c>
    </row>
    <row r="2589" spans="1:7">
      <c r="A2589" t="s">
        <v>2684</v>
      </c>
      <c r="B2589" s="6">
        <v>45673</v>
      </c>
      <c r="C2589" s="6" t="str">
        <f>TEXT(Table3[[#This Row],[transaction_date]], "yyyy-mm")</f>
        <v>2025-01</v>
      </c>
      <c r="D2589" t="s">
        <v>82</v>
      </c>
      <c r="E2589" t="s">
        <v>3637</v>
      </c>
      <c r="F2589" t="s">
        <v>3623</v>
      </c>
      <c r="G2589" s="1">
        <v>14525173.800000001</v>
      </c>
    </row>
    <row r="2590" spans="1:7">
      <c r="A2590" t="s">
        <v>2685</v>
      </c>
      <c r="B2590" s="6">
        <v>45810</v>
      </c>
      <c r="C2590" s="6" t="str">
        <f>TEXT(Table3[[#This Row],[transaction_date]], "yyyy-mm")</f>
        <v>2025-06</v>
      </c>
      <c r="D2590" t="s">
        <v>84</v>
      </c>
      <c r="E2590" t="s">
        <v>3636</v>
      </c>
      <c r="F2590" t="s">
        <v>3606</v>
      </c>
      <c r="G2590" s="1">
        <v>19240662.539999999</v>
      </c>
    </row>
    <row r="2591" spans="1:7">
      <c r="A2591" t="s">
        <v>2686</v>
      </c>
      <c r="B2591" s="6">
        <v>45724</v>
      </c>
      <c r="C2591" s="6" t="str">
        <f>TEXT(Table3[[#This Row],[transaction_date]], "yyyy-mm")</f>
        <v>2025-03</v>
      </c>
      <c r="D2591" t="s">
        <v>84</v>
      </c>
      <c r="E2591" t="s">
        <v>3636</v>
      </c>
      <c r="F2591" t="s">
        <v>3608</v>
      </c>
      <c r="G2591" s="1">
        <v>14553204.630000001</v>
      </c>
    </row>
    <row r="2592" spans="1:7">
      <c r="A2592" t="s">
        <v>2687</v>
      </c>
      <c r="B2592" s="6">
        <v>46007</v>
      </c>
      <c r="C2592" s="6" t="str">
        <f>TEXT(Table3[[#This Row],[transaction_date]], "yyyy-mm")</f>
        <v>2025-12</v>
      </c>
      <c r="D2592" t="s">
        <v>75</v>
      </c>
      <c r="E2592" t="s">
        <v>3637</v>
      </c>
      <c r="F2592" t="s">
        <v>3618</v>
      </c>
      <c r="G2592" s="1">
        <v>55055.29</v>
      </c>
    </row>
    <row r="2593" spans="1:7">
      <c r="A2593" t="s">
        <v>2688</v>
      </c>
      <c r="B2593" s="6">
        <v>45839</v>
      </c>
      <c r="C2593" s="6" t="str">
        <f>TEXT(Table3[[#This Row],[transaction_date]], "yyyy-mm")</f>
        <v>2025-07</v>
      </c>
      <c r="D2593" t="s">
        <v>76</v>
      </c>
      <c r="E2593" t="s">
        <v>3636</v>
      </c>
      <c r="F2593" t="s">
        <v>3608</v>
      </c>
      <c r="G2593" s="1">
        <v>4285000.6500000004</v>
      </c>
    </row>
    <row r="2594" spans="1:7">
      <c r="A2594" t="s">
        <v>2689</v>
      </c>
      <c r="B2594" s="6">
        <v>45809</v>
      </c>
      <c r="C2594" s="6" t="str">
        <f>TEXT(Table3[[#This Row],[transaction_date]], "yyyy-mm")</f>
        <v>2025-06</v>
      </c>
      <c r="D2594" t="s">
        <v>82</v>
      </c>
      <c r="E2594" t="s">
        <v>3637</v>
      </c>
      <c r="F2594" t="s">
        <v>3615</v>
      </c>
      <c r="G2594" s="1">
        <v>17902102.359999999</v>
      </c>
    </row>
    <row r="2595" spans="1:7">
      <c r="A2595" t="s">
        <v>2690</v>
      </c>
      <c r="B2595" s="6">
        <v>45676</v>
      </c>
      <c r="C2595" s="6" t="str">
        <f>TEXT(Table3[[#This Row],[transaction_date]], "yyyy-mm")</f>
        <v>2025-01</v>
      </c>
      <c r="D2595" t="s">
        <v>78</v>
      </c>
      <c r="E2595" t="s">
        <v>3636</v>
      </c>
      <c r="F2595" t="s">
        <v>3612</v>
      </c>
      <c r="G2595" s="1">
        <v>4979101.91</v>
      </c>
    </row>
    <row r="2596" spans="1:7">
      <c r="A2596" t="s">
        <v>2691</v>
      </c>
      <c r="B2596" s="6">
        <v>45732</v>
      </c>
      <c r="C2596" s="6" t="str">
        <f>TEXT(Table3[[#This Row],[transaction_date]], "yyyy-mm")</f>
        <v>2025-03</v>
      </c>
      <c r="D2596" t="s">
        <v>84</v>
      </c>
      <c r="E2596" t="s">
        <v>3637</v>
      </c>
      <c r="F2596" t="s">
        <v>3615</v>
      </c>
      <c r="G2596" s="1">
        <v>11262164.91</v>
      </c>
    </row>
    <row r="2597" spans="1:7">
      <c r="A2597" t="s">
        <v>2692</v>
      </c>
      <c r="B2597" s="6">
        <v>45814</v>
      </c>
      <c r="C2597" s="6" t="str">
        <f>TEXT(Table3[[#This Row],[transaction_date]], "yyyy-mm")</f>
        <v>2025-06</v>
      </c>
      <c r="D2597" t="s">
        <v>84</v>
      </c>
      <c r="E2597" t="s">
        <v>3637</v>
      </c>
      <c r="F2597" t="s">
        <v>3614</v>
      </c>
      <c r="G2597" s="1">
        <v>21174867.5</v>
      </c>
    </row>
    <row r="2598" spans="1:7">
      <c r="A2598" t="s">
        <v>2693</v>
      </c>
      <c r="B2598" s="6">
        <v>46013</v>
      </c>
      <c r="C2598" s="6" t="str">
        <f>TEXT(Table3[[#This Row],[transaction_date]], "yyyy-mm")</f>
        <v>2025-12</v>
      </c>
      <c r="D2598" t="s">
        <v>75</v>
      </c>
      <c r="E2598" t="s">
        <v>3637</v>
      </c>
      <c r="F2598" t="s">
        <v>3620</v>
      </c>
      <c r="G2598" s="1">
        <v>1909826.24</v>
      </c>
    </row>
    <row r="2599" spans="1:7">
      <c r="A2599" t="s">
        <v>2694</v>
      </c>
      <c r="B2599" s="6">
        <v>45772</v>
      </c>
      <c r="C2599" s="6" t="str">
        <f>TEXT(Table3[[#This Row],[transaction_date]], "yyyy-mm")</f>
        <v>2025-04</v>
      </c>
      <c r="D2599" t="s">
        <v>75</v>
      </c>
      <c r="E2599" t="s">
        <v>3637</v>
      </c>
      <c r="F2599" t="s">
        <v>3621</v>
      </c>
      <c r="G2599" s="1">
        <v>14744653.289999999</v>
      </c>
    </row>
    <row r="2600" spans="1:7">
      <c r="A2600" t="s">
        <v>2695</v>
      </c>
      <c r="B2600" s="6">
        <v>45660</v>
      </c>
      <c r="C2600" s="6" t="str">
        <f>TEXT(Table3[[#This Row],[transaction_date]], "yyyy-mm")</f>
        <v>2025-01</v>
      </c>
      <c r="D2600" t="s">
        <v>78</v>
      </c>
      <c r="E2600" t="s">
        <v>3636</v>
      </c>
      <c r="F2600" t="s">
        <v>3608</v>
      </c>
      <c r="G2600" s="1">
        <v>3330257.54</v>
      </c>
    </row>
    <row r="2601" spans="1:7">
      <c r="A2601" t="s">
        <v>2696</v>
      </c>
      <c r="B2601" s="6">
        <v>45745</v>
      </c>
      <c r="C2601" s="6" t="str">
        <f>TEXT(Table3[[#This Row],[transaction_date]], "yyyy-mm")</f>
        <v>2025-03</v>
      </c>
      <c r="D2601" t="s">
        <v>76</v>
      </c>
      <c r="E2601" t="s">
        <v>3636</v>
      </c>
      <c r="F2601" t="s">
        <v>3613</v>
      </c>
      <c r="G2601" s="1">
        <v>984851.48</v>
      </c>
    </row>
    <row r="2602" spans="1:7">
      <c r="A2602" t="s">
        <v>2697</v>
      </c>
      <c r="B2602" s="6">
        <v>45913</v>
      </c>
      <c r="C2602" s="6" t="str">
        <f>TEXT(Table3[[#This Row],[transaction_date]], "yyyy-mm")</f>
        <v>2025-09</v>
      </c>
      <c r="D2602" t="s">
        <v>85</v>
      </c>
      <c r="E2602" t="s">
        <v>3637</v>
      </c>
      <c r="F2602" t="s">
        <v>3619</v>
      </c>
      <c r="G2602" s="1">
        <v>3929835.81</v>
      </c>
    </row>
    <row r="2603" spans="1:7">
      <c r="A2603" t="s">
        <v>2698</v>
      </c>
      <c r="B2603" s="6">
        <v>45844</v>
      </c>
      <c r="C2603" s="6" t="str">
        <f>TEXT(Table3[[#This Row],[transaction_date]], "yyyy-mm")</f>
        <v>2025-07</v>
      </c>
      <c r="D2603" t="s">
        <v>85</v>
      </c>
      <c r="E2603" t="s">
        <v>3637</v>
      </c>
      <c r="F2603" t="s">
        <v>3621</v>
      </c>
      <c r="G2603" s="1">
        <v>1506004.23</v>
      </c>
    </row>
    <row r="2604" spans="1:7">
      <c r="A2604" t="s">
        <v>2699</v>
      </c>
      <c r="B2604" s="6">
        <v>45835</v>
      </c>
      <c r="C2604" s="6" t="str">
        <f>TEXT(Table3[[#This Row],[transaction_date]], "yyyy-mm")</f>
        <v>2025-06</v>
      </c>
      <c r="D2604" t="s">
        <v>84</v>
      </c>
      <c r="E2604" t="s">
        <v>3637</v>
      </c>
      <c r="F2604" t="s">
        <v>3616</v>
      </c>
      <c r="G2604" s="1">
        <v>7435113.3899999997</v>
      </c>
    </row>
    <row r="2605" spans="1:7">
      <c r="A2605" t="s">
        <v>2700</v>
      </c>
      <c r="B2605" s="6">
        <v>45934</v>
      </c>
      <c r="C2605" s="6" t="str">
        <f>TEXT(Table3[[#This Row],[transaction_date]], "yyyy-mm")</f>
        <v>2025-10</v>
      </c>
      <c r="D2605" t="s">
        <v>90</v>
      </c>
      <c r="E2605" t="s">
        <v>3636</v>
      </c>
      <c r="F2605" t="s">
        <v>3612</v>
      </c>
      <c r="G2605" s="1">
        <v>2807076.96</v>
      </c>
    </row>
    <row r="2606" spans="1:7">
      <c r="A2606" t="s">
        <v>2701</v>
      </c>
      <c r="B2606" s="6">
        <v>45666</v>
      </c>
      <c r="C2606" s="6" t="str">
        <f>TEXT(Table3[[#This Row],[transaction_date]], "yyyy-mm")</f>
        <v>2025-01</v>
      </c>
      <c r="D2606" t="s">
        <v>85</v>
      </c>
      <c r="E2606" t="s">
        <v>3636</v>
      </c>
      <c r="F2606" t="s">
        <v>3606</v>
      </c>
      <c r="G2606" s="1">
        <v>613509.43999999994</v>
      </c>
    </row>
    <row r="2607" spans="1:7">
      <c r="A2607" t="s">
        <v>2702</v>
      </c>
      <c r="B2607" s="6">
        <v>45876</v>
      </c>
      <c r="C2607" s="6" t="str">
        <f>TEXT(Table3[[#This Row],[transaction_date]], "yyyy-mm")</f>
        <v>2025-08</v>
      </c>
      <c r="D2607" t="s">
        <v>73</v>
      </c>
      <c r="E2607" t="s">
        <v>3637</v>
      </c>
      <c r="F2607" t="s">
        <v>3617</v>
      </c>
      <c r="G2607" s="1">
        <v>403669.13</v>
      </c>
    </row>
    <row r="2608" spans="1:7">
      <c r="A2608" t="s">
        <v>2703</v>
      </c>
      <c r="B2608" s="6">
        <v>45852</v>
      </c>
      <c r="C2608" s="6" t="str">
        <f>TEXT(Table3[[#This Row],[transaction_date]], "yyyy-mm")</f>
        <v>2025-07</v>
      </c>
      <c r="D2608" t="s">
        <v>79</v>
      </c>
      <c r="E2608" t="s">
        <v>3637</v>
      </c>
      <c r="F2608" t="s">
        <v>3618</v>
      </c>
      <c r="G2608" s="1">
        <v>1297010.67</v>
      </c>
    </row>
    <row r="2609" spans="1:7">
      <c r="A2609" t="s">
        <v>2704</v>
      </c>
      <c r="B2609" s="6">
        <v>45914</v>
      </c>
      <c r="C2609" s="6" t="str">
        <f>TEXT(Table3[[#This Row],[transaction_date]], "yyyy-mm")</f>
        <v>2025-09</v>
      </c>
      <c r="D2609" t="s">
        <v>80</v>
      </c>
      <c r="E2609" t="s">
        <v>3636</v>
      </c>
      <c r="F2609" t="s">
        <v>3608</v>
      </c>
      <c r="G2609" s="1">
        <v>3039788.53</v>
      </c>
    </row>
    <row r="2610" spans="1:7">
      <c r="A2610" t="s">
        <v>2705</v>
      </c>
      <c r="B2610" s="6">
        <v>45806</v>
      </c>
      <c r="C2610" s="6" t="str">
        <f>TEXT(Table3[[#This Row],[transaction_date]], "yyyy-mm")</f>
        <v>2025-05</v>
      </c>
      <c r="D2610" t="s">
        <v>76</v>
      </c>
      <c r="E2610" t="s">
        <v>3636</v>
      </c>
      <c r="F2610" t="s">
        <v>3608</v>
      </c>
      <c r="G2610" s="1">
        <v>5826597.21</v>
      </c>
    </row>
    <row r="2611" spans="1:7">
      <c r="A2611" t="s">
        <v>2706</v>
      </c>
      <c r="B2611" s="6">
        <v>45703</v>
      </c>
      <c r="C2611" s="6" t="str">
        <f>TEXT(Table3[[#This Row],[transaction_date]], "yyyy-mm")</f>
        <v>2025-02</v>
      </c>
      <c r="D2611" t="s">
        <v>73</v>
      </c>
      <c r="E2611" t="s">
        <v>3636</v>
      </c>
      <c r="F2611" t="s">
        <v>3610</v>
      </c>
      <c r="G2611" s="1">
        <v>2332368.0699999998</v>
      </c>
    </row>
    <row r="2612" spans="1:7">
      <c r="A2612" t="s">
        <v>2707</v>
      </c>
      <c r="B2612" s="6">
        <v>45728</v>
      </c>
      <c r="C2612" s="6" t="str">
        <f>TEXT(Table3[[#This Row],[transaction_date]], "yyyy-mm")</f>
        <v>2025-03</v>
      </c>
      <c r="D2612" t="s">
        <v>90</v>
      </c>
      <c r="E2612" t="s">
        <v>3637</v>
      </c>
      <c r="F2612" t="s">
        <v>3621</v>
      </c>
      <c r="G2612" s="1">
        <v>16681182.279999999</v>
      </c>
    </row>
    <row r="2613" spans="1:7">
      <c r="A2613" t="s">
        <v>2708</v>
      </c>
      <c r="B2613" s="6">
        <v>45827</v>
      </c>
      <c r="C2613" s="6" t="str">
        <f>TEXT(Table3[[#This Row],[transaction_date]], "yyyy-mm")</f>
        <v>2025-06</v>
      </c>
      <c r="D2613" t="s">
        <v>90</v>
      </c>
      <c r="E2613" t="s">
        <v>3637</v>
      </c>
      <c r="F2613" t="s">
        <v>3615</v>
      </c>
      <c r="G2613" s="1">
        <v>5692365.4500000002</v>
      </c>
    </row>
    <row r="2614" spans="1:7">
      <c r="A2614" t="s">
        <v>2709</v>
      </c>
      <c r="B2614" s="6">
        <v>45876</v>
      </c>
      <c r="C2614" s="6" t="str">
        <f>TEXT(Table3[[#This Row],[transaction_date]], "yyyy-mm")</f>
        <v>2025-08</v>
      </c>
      <c r="D2614" t="s">
        <v>93</v>
      </c>
      <c r="E2614" t="s">
        <v>3636</v>
      </c>
      <c r="F2614" t="s">
        <v>3611</v>
      </c>
      <c r="G2614" s="1">
        <v>8161328.2400000002</v>
      </c>
    </row>
    <row r="2615" spans="1:7">
      <c r="A2615" t="s">
        <v>2710</v>
      </c>
      <c r="B2615" s="6">
        <v>45927</v>
      </c>
      <c r="C2615" s="6" t="str">
        <f>TEXT(Table3[[#This Row],[transaction_date]], "yyyy-mm")</f>
        <v>2025-09</v>
      </c>
      <c r="D2615" t="s">
        <v>74</v>
      </c>
      <c r="E2615" t="s">
        <v>3636</v>
      </c>
      <c r="F2615" t="s">
        <v>3613</v>
      </c>
      <c r="G2615" s="1">
        <v>101057.56</v>
      </c>
    </row>
    <row r="2616" spans="1:7">
      <c r="A2616" t="s">
        <v>2711</v>
      </c>
      <c r="B2616" s="6">
        <v>45890</v>
      </c>
      <c r="C2616" s="6" t="str">
        <f>TEXT(Table3[[#This Row],[transaction_date]], "yyyy-mm")</f>
        <v>2025-08</v>
      </c>
      <c r="D2616" t="s">
        <v>85</v>
      </c>
      <c r="E2616" t="s">
        <v>3637</v>
      </c>
      <c r="F2616" t="s">
        <v>3618</v>
      </c>
      <c r="G2616" s="1">
        <v>1309686.01</v>
      </c>
    </row>
    <row r="2617" spans="1:7">
      <c r="A2617" t="s">
        <v>2712</v>
      </c>
      <c r="B2617" s="6">
        <v>45812</v>
      </c>
      <c r="C2617" s="6" t="str">
        <f>TEXT(Table3[[#This Row],[transaction_date]], "yyyy-mm")</f>
        <v>2025-06</v>
      </c>
      <c r="D2617" t="s">
        <v>89</v>
      </c>
      <c r="E2617" t="s">
        <v>3637</v>
      </c>
      <c r="F2617" t="s">
        <v>3614</v>
      </c>
      <c r="G2617" s="1">
        <v>3573070.48</v>
      </c>
    </row>
    <row r="2618" spans="1:7">
      <c r="A2618" t="s">
        <v>2713</v>
      </c>
      <c r="B2618" s="6">
        <v>45993</v>
      </c>
      <c r="C2618" s="6" t="str">
        <f>TEXT(Table3[[#This Row],[transaction_date]], "yyyy-mm")</f>
        <v>2025-12</v>
      </c>
      <c r="D2618" t="s">
        <v>73</v>
      </c>
      <c r="E2618" t="s">
        <v>3636</v>
      </c>
      <c r="F2618" t="s">
        <v>3609</v>
      </c>
      <c r="G2618" s="1">
        <v>15821386.949999999</v>
      </c>
    </row>
    <row r="2619" spans="1:7">
      <c r="A2619" t="s">
        <v>2714</v>
      </c>
      <c r="B2619" s="6">
        <v>45803</v>
      </c>
      <c r="C2619" s="6" t="str">
        <f>TEXT(Table3[[#This Row],[transaction_date]], "yyyy-mm")</f>
        <v>2025-05</v>
      </c>
      <c r="D2619" t="s">
        <v>84</v>
      </c>
      <c r="E2619" t="s">
        <v>3636</v>
      </c>
      <c r="F2619" t="s">
        <v>3608</v>
      </c>
      <c r="G2619" s="1">
        <v>11401778.25</v>
      </c>
    </row>
    <row r="2620" spans="1:7">
      <c r="A2620" t="s">
        <v>2715</v>
      </c>
      <c r="B2620" s="6">
        <v>45817</v>
      </c>
      <c r="C2620" s="6" t="str">
        <f>TEXT(Table3[[#This Row],[transaction_date]], "yyyy-mm")</f>
        <v>2025-06</v>
      </c>
      <c r="D2620" t="s">
        <v>89</v>
      </c>
      <c r="E2620" t="s">
        <v>3637</v>
      </c>
      <c r="F2620" t="s">
        <v>3617</v>
      </c>
      <c r="G2620" s="1">
        <v>544608.43000000005</v>
      </c>
    </row>
    <row r="2621" spans="1:7">
      <c r="A2621" t="s">
        <v>2716</v>
      </c>
      <c r="B2621" s="6">
        <v>45987</v>
      </c>
      <c r="C2621" s="6" t="str">
        <f>TEXT(Table3[[#This Row],[transaction_date]], "yyyy-mm")</f>
        <v>2025-11</v>
      </c>
      <c r="D2621" t="s">
        <v>3597</v>
      </c>
      <c r="E2621" t="s">
        <v>3637</v>
      </c>
      <c r="F2621" t="s">
        <v>3620</v>
      </c>
      <c r="G2621" s="1">
        <v>9168640.9199999999</v>
      </c>
    </row>
    <row r="2622" spans="1:7">
      <c r="A2622" t="s">
        <v>2717</v>
      </c>
      <c r="B2622" s="6">
        <v>45860</v>
      </c>
      <c r="C2622" s="6" t="str">
        <f>TEXT(Table3[[#This Row],[transaction_date]], "yyyy-mm")</f>
        <v>2025-07</v>
      </c>
      <c r="D2622" t="s">
        <v>93</v>
      </c>
      <c r="E2622" t="s">
        <v>3636</v>
      </c>
      <c r="F2622" t="s">
        <v>3608</v>
      </c>
      <c r="G2622" s="1">
        <v>6757597.4100000001</v>
      </c>
    </row>
    <row r="2623" spans="1:7">
      <c r="A2623" t="s">
        <v>2718</v>
      </c>
      <c r="B2623" s="6">
        <v>45707</v>
      </c>
      <c r="C2623" s="6" t="str">
        <f>TEXT(Table3[[#This Row],[transaction_date]], "yyyy-mm")</f>
        <v>2025-02</v>
      </c>
      <c r="D2623" t="s">
        <v>79</v>
      </c>
      <c r="E2623" t="s">
        <v>3636</v>
      </c>
      <c r="F2623" t="s">
        <v>3607</v>
      </c>
      <c r="G2623" s="1">
        <v>718503.09</v>
      </c>
    </row>
    <row r="2624" spans="1:7">
      <c r="A2624" t="s">
        <v>2719</v>
      </c>
      <c r="B2624" s="6">
        <v>45882</v>
      </c>
      <c r="C2624" s="6" t="str">
        <f>TEXT(Table3[[#This Row],[transaction_date]], "yyyy-mm")</f>
        <v>2025-08</v>
      </c>
      <c r="D2624" t="s">
        <v>75</v>
      </c>
      <c r="E2624" t="s">
        <v>3637</v>
      </c>
      <c r="F2624" t="s">
        <v>3621</v>
      </c>
      <c r="G2624" s="1">
        <v>11284939.220000001</v>
      </c>
    </row>
    <row r="2625" spans="1:7">
      <c r="A2625" t="s">
        <v>2720</v>
      </c>
      <c r="B2625" s="6">
        <v>45735</v>
      </c>
      <c r="C2625" s="6" t="str">
        <f>TEXT(Table3[[#This Row],[transaction_date]], "yyyy-mm")</f>
        <v>2025-03</v>
      </c>
      <c r="D2625" t="s">
        <v>95</v>
      </c>
      <c r="E2625" t="s">
        <v>3636</v>
      </c>
      <c r="F2625" t="s">
        <v>3609</v>
      </c>
      <c r="G2625" s="1">
        <v>1764090.27</v>
      </c>
    </row>
    <row r="2626" spans="1:7">
      <c r="A2626" t="s">
        <v>2721</v>
      </c>
      <c r="B2626" s="6">
        <v>45736</v>
      </c>
      <c r="C2626" s="6" t="str">
        <f>TEXT(Table3[[#This Row],[transaction_date]], "yyyy-mm")</f>
        <v>2025-03</v>
      </c>
      <c r="D2626" t="s">
        <v>85</v>
      </c>
      <c r="E2626" t="s">
        <v>3637</v>
      </c>
      <c r="F2626" t="s">
        <v>3616</v>
      </c>
      <c r="G2626" s="1">
        <v>2775351.88</v>
      </c>
    </row>
    <row r="2627" spans="1:7">
      <c r="A2627" t="s">
        <v>2722</v>
      </c>
      <c r="B2627" s="6">
        <v>45744</v>
      </c>
      <c r="C2627" s="6" t="str">
        <f>TEXT(Table3[[#This Row],[transaction_date]], "yyyy-mm")</f>
        <v>2025-03</v>
      </c>
      <c r="D2627" t="s">
        <v>95</v>
      </c>
      <c r="E2627" t="s">
        <v>3636</v>
      </c>
      <c r="F2627" t="s">
        <v>3613</v>
      </c>
      <c r="G2627" s="1">
        <v>11850705.07</v>
      </c>
    </row>
    <row r="2628" spans="1:7">
      <c r="A2628" t="s">
        <v>2723</v>
      </c>
      <c r="B2628" s="6">
        <v>45977</v>
      </c>
      <c r="C2628" s="6" t="str">
        <f>TEXT(Table3[[#This Row],[transaction_date]], "yyyy-mm")</f>
        <v>2025-11</v>
      </c>
      <c r="D2628" t="s">
        <v>82</v>
      </c>
      <c r="E2628" t="s">
        <v>3636</v>
      </c>
      <c r="F2628" t="s">
        <v>3611</v>
      </c>
      <c r="G2628" s="1">
        <v>15763655.41</v>
      </c>
    </row>
    <row r="2629" spans="1:7">
      <c r="A2629" t="s">
        <v>2724</v>
      </c>
      <c r="B2629" s="6">
        <v>45898</v>
      </c>
      <c r="C2629" s="6" t="str">
        <f>TEXT(Table3[[#This Row],[transaction_date]], "yyyy-mm")</f>
        <v>2025-08</v>
      </c>
      <c r="D2629" t="s">
        <v>93</v>
      </c>
      <c r="E2629" t="s">
        <v>3636</v>
      </c>
      <c r="F2629" t="s">
        <v>3611</v>
      </c>
      <c r="G2629" s="1">
        <v>2363469.91</v>
      </c>
    </row>
    <row r="2630" spans="1:7">
      <c r="A2630" t="s">
        <v>2725</v>
      </c>
      <c r="B2630" s="6">
        <v>45829</v>
      </c>
      <c r="C2630" s="6" t="str">
        <f>TEXT(Table3[[#This Row],[transaction_date]], "yyyy-mm")</f>
        <v>2025-06</v>
      </c>
      <c r="D2630" t="s">
        <v>89</v>
      </c>
      <c r="E2630" t="s">
        <v>3636</v>
      </c>
      <c r="F2630" t="s">
        <v>3610</v>
      </c>
      <c r="G2630" s="1">
        <v>2236050.8199999998</v>
      </c>
    </row>
    <row r="2631" spans="1:7">
      <c r="A2631" t="s">
        <v>2726</v>
      </c>
      <c r="B2631" s="6">
        <v>45836</v>
      </c>
      <c r="C2631" s="6" t="str">
        <f>TEXT(Table3[[#This Row],[transaction_date]], "yyyy-mm")</f>
        <v>2025-06</v>
      </c>
      <c r="D2631" t="s">
        <v>85</v>
      </c>
      <c r="E2631" t="s">
        <v>3637</v>
      </c>
      <c r="F2631" t="s">
        <v>3623</v>
      </c>
      <c r="G2631" s="1">
        <v>1078696.75</v>
      </c>
    </row>
    <row r="2632" spans="1:7">
      <c r="A2632" t="s">
        <v>2727</v>
      </c>
      <c r="B2632" s="6">
        <v>45967</v>
      </c>
      <c r="C2632" s="6" t="str">
        <f>TEXT(Table3[[#This Row],[transaction_date]], "yyyy-mm")</f>
        <v>2025-11</v>
      </c>
      <c r="D2632" t="s">
        <v>90</v>
      </c>
      <c r="E2632" t="s">
        <v>3636</v>
      </c>
      <c r="F2632" t="s">
        <v>3608</v>
      </c>
      <c r="G2632" s="1">
        <v>13890939.789999999</v>
      </c>
    </row>
    <row r="2633" spans="1:7">
      <c r="A2633" t="s">
        <v>2728</v>
      </c>
      <c r="B2633" s="6">
        <v>45782</v>
      </c>
      <c r="C2633" s="6" t="str">
        <f>TEXT(Table3[[#This Row],[transaction_date]], "yyyy-mm")</f>
        <v>2025-05</v>
      </c>
      <c r="D2633" t="s">
        <v>73</v>
      </c>
      <c r="E2633" t="s">
        <v>3636</v>
      </c>
      <c r="F2633" t="s">
        <v>3613</v>
      </c>
      <c r="G2633" s="1">
        <v>2181814.7000000002</v>
      </c>
    </row>
    <row r="2634" spans="1:7">
      <c r="A2634" t="s">
        <v>2729</v>
      </c>
      <c r="B2634" s="6">
        <v>45793</v>
      </c>
      <c r="C2634" s="6" t="str">
        <f>TEXT(Table3[[#This Row],[transaction_date]], "yyyy-mm")</f>
        <v>2025-05</v>
      </c>
      <c r="D2634" t="s">
        <v>78</v>
      </c>
      <c r="E2634" t="s">
        <v>3637</v>
      </c>
      <c r="F2634" t="s">
        <v>3615</v>
      </c>
      <c r="G2634" s="1">
        <v>7233317.5099999998</v>
      </c>
    </row>
    <row r="2635" spans="1:7">
      <c r="A2635" t="s">
        <v>2730</v>
      </c>
      <c r="B2635" s="6">
        <v>45802</v>
      </c>
      <c r="C2635" s="6" t="str">
        <f>TEXT(Table3[[#This Row],[transaction_date]], "yyyy-mm")</f>
        <v>2025-05</v>
      </c>
      <c r="D2635" t="s">
        <v>79</v>
      </c>
      <c r="E2635" t="s">
        <v>3636</v>
      </c>
      <c r="F2635" t="s">
        <v>3605</v>
      </c>
      <c r="G2635" s="1">
        <v>2603190.2999999998</v>
      </c>
    </row>
    <row r="2636" spans="1:7">
      <c r="A2636" t="s">
        <v>2731</v>
      </c>
      <c r="B2636" s="6">
        <v>45983</v>
      </c>
      <c r="C2636" s="6" t="str">
        <f>TEXT(Table3[[#This Row],[transaction_date]], "yyyy-mm")</f>
        <v>2025-11</v>
      </c>
      <c r="D2636" t="s">
        <v>95</v>
      </c>
      <c r="E2636" t="s">
        <v>3636</v>
      </c>
      <c r="F2636" t="s">
        <v>3604</v>
      </c>
      <c r="G2636" s="1">
        <v>42365.120000000003</v>
      </c>
    </row>
    <row r="2637" spans="1:7">
      <c r="A2637" t="s">
        <v>2732</v>
      </c>
      <c r="B2637" s="6">
        <v>45872</v>
      </c>
      <c r="C2637" s="6" t="str">
        <f>TEXT(Table3[[#This Row],[transaction_date]], "yyyy-mm")</f>
        <v>2025-08</v>
      </c>
      <c r="D2637" t="s">
        <v>77</v>
      </c>
      <c r="E2637" t="s">
        <v>3636</v>
      </c>
      <c r="F2637" t="s">
        <v>3610</v>
      </c>
      <c r="G2637" s="1">
        <v>2205504.09</v>
      </c>
    </row>
    <row r="2638" spans="1:7">
      <c r="A2638" t="s">
        <v>2733</v>
      </c>
      <c r="B2638" s="6">
        <v>45800</v>
      </c>
      <c r="C2638" s="6" t="str">
        <f>TEXT(Table3[[#This Row],[transaction_date]], "yyyy-mm")</f>
        <v>2025-05</v>
      </c>
      <c r="D2638" t="s">
        <v>73</v>
      </c>
      <c r="E2638" t="s">
        <v>3637</v>
      </c>
      <c r="F2638" t="s">
        <v>3619</v>
      </c>
      <c r="G2638" s="1">
        <v>889988.09</v>
      </c>
    </row>
    <row r="2639" spans="1:7">
      <c r="A2639" t="s">
        <v>2734</v>
      </c>
      <c r="B2639" s="6">
        <v>45670</v>
      </c>
      <c r="C2639" s="6" t="str">
        <f>TEXT(Table3[[#This Row],[transaction_date]], "yyyy-mm")</f>
        <v>2025-01</v>
      </c>
      <c r="D2639" t="s">
        <v>74</v>
      </c>
      <c r="E2639" t="s">
        <v>3636</v>
      </c>
      <c r="F2639" t="s">
        <v>3611</v>
      </c>
      <c r="G2639" s="1">
        <v>766908.27</v>
      </c>
    </row>
    <row r="2640" spans="1:7">
      <c r="A2640" t="s">
        <v>2735</v>
      </c>
      <c r="B2640" s="6">
        <v>45872</v>
      </c>
      <c r="C2640" s="6" t="str">
        <f>TEXT(Table3[[#This Row],[transaction_date]], "yyyy-mm")</f>
        <v>2025-08</v>
      </c>
      <c r="D2640" t="s">
        <v>75</v>
      </c>
      <c r="E2640" t="s">
        <v>3636</v>
      </c>
      <c r="F2640" t="s">
        <v>3604</v>
      </c>
      <c r="G2640" s="1">
        <v>18195908.489999998</v>
      </c>
    </row>
    <row r="2641" spans="1:7">
      <c r="A2641" t="s">
        <v>2736</v>
      </c>
      <c r="B2641" s="6">
        <v>45765</v>
      </c>
      <c r="C2641" s="6" t="str">
        <f>TEXT(Table3[[#This Row],[transaction_date]], "yyyy-mm")</f>
        <v>2025-04</v>
      </c>
      <c r="D2641" t="s">
        <v>78</v>
      </c>
      <c r="E2641" t="s">
        <v>3637</v>
      </c>
      <c r="F2641" t="s">
        <v>3621</v>
      </c>
      <c r="G2641" s="1">
        <v>3089294.56</v>
      </c>
    </row>
    <row r="2642" spans="1:7">
      <c r="A2642" t="s">
        <v>2737</v>
      </c>
      <c r="B2642" s="6">
        <v>45751</v>
      </c>
      <c r="C2642" s="6" t="str">
        <f>TEXT(Table3[[#This Row],[transaction_date]], "yyyy-mm")</f>
        <v>2025-04</v>
      </c>
      <c r="D2642" t="s">
        <v>93</v>
      </c>
      <c r="E2642" t="s">
        <v>3637</v>
      </c>
      <c r="F2642" t="s">
        <v>3615</v>
      </c>
      <c r="G2642" s="1">
        <v>2092523.67</v>
      </c>
    </row>
    <row r="2643" spans="1:7">
      <c r="A2643" t="s">
        <v>2738</v>
      </c>
      <c r="B2643" s="6">
        <v>46000</v>
      </c>
      <c r="C2643" s="6" t="str">
        <f>TEXT(Table3[[#This Row],[transaction_date]], "yyyy-mm")</f>
        <v>2025-12</v>
      </c>
      <c r="D2643" t="s">
        <v>80</v>
      </c>
      <c r="E2643" t="s">
        <v>3636</v>
      </c>
      <c r="F2643" t="s">
        <v>3609</v>
      </c>
      <c r="G2643" s="1">
        <v>2010696.19</v>
      </c>
    </row>
    <row r="2644" spans="1:7">
      <c r="A2644" t="s">
        <v>2739</v>
      </c>
      <c r="B2644" s="6">
        <v>45684</v>
      </c>
      <c r="C2644" s="6" t="str">
        <f>TEXT(Table3[[#This Row],[transaction_date]], "yyyy-mm")</f>
        <v>2025-01</v>
      </c>
      <c r="D2644" t="s">
        <v>76</v>
      </c>
      <c r="E2644" t="s">
        <v>3636</v>
      </c>
      <c r="F2644" t="s">
        <v>3612</v>
      </c>
      <c r="G2644" s="1">
        <v>1704958.45</v>
      </c>
    </row>
    <row r="2645" spans="1:7">
      <c r="A2645" t="s">
        <v>2740</v>
      </c>
      <c r="B2645" s="6">
        <v>45934</v>
      </c>
      <c r="C2645" s="6" t="str">
        <f>TEXT(Table3[[#This Row],[transaction_date]], "yyyy-mm")</f>
        <v>2025-10</v>
      </c>
      <c r="D2645" t="s">
        <v>73</v>
      </c>
      <c r="E2645" t="s">
        <v>3636</v>
      </c>
      <c r="F2645" t="s">
        <v>3607</v>
      </c>
      <c r="G2645" s="1">
        <v>673422.74</v>
      </c>
    </row>
    <row r="2646" spans="1:7">
      <c r="A2646" t="s">
        <v>2741</v>
      </c>
      <c r="B2646" s="6">
        <v>45920</v>
      </c>
      <c r="C2646" s="6" t="str">
        <f>TEXT(Table3[[#This Row],[transaction_date]], "yyyy-mm")</f>
        <v>2025-09</v>
      </c>
      <c r="D2646" t="s">
        <v>3597</v>
      </c>
      <c r="E2646" t="s">
        <v>3636</v>
      </c>
      <c r="F2646" t="s">
        <v>3606</v>
      </c>
      <c r="G2646" s="1">
        <v>1005015.68</v>
      </c>
    </row>
    <row r="2647" spans="1:7">
      <c r="A2647" t="s">
        <v>2742</v>
      </c>
      <c r="B2647" s="6">
        <v>45768</v>
      </c>
      <c r="C2647" s="6" t="str">
        <f>TEXT(Table3[[#This Row],[transaction_date]], "yyyy-mm")</f>
        <v>2025-04</v>
      </c>
      <c r="D2647" t="s">
        <v>80</v>
      </c>
      <c r="E2647" t="s">
        <v>3636</v>
      </c>
      <c r="F2647" t="s">
        <v>3611</v>
      </c>
      <c r="G2647" s="1">
        <v>2333841.2200000002</v>
      </c>
    </row>
    <row r="2648" spans="1:7">
      <c r="A2648" t="s">
        <v>2743</v>
      </c>
      <c r="B2648" s="6">
        <v>45697</v>
      </c>
      <c r="C2648" s="6" t="str">
        <f>TEXT(Table3[[#This Row],[transaction_date]], "yyyy-mm")</f>
        <v>2025-02</v>
      </c>
      <c r="D2648" t="s">
        <v>82</v>
      </c>
      <c r="E2648" t="s">
        <v>3637</v>
      </c>
      <c r="F2648" t="s">
        <v>3620</v>
      </c>
      <c r="G2648" s="1">
        <v>657523.54</v>
      </c>
    </row>
    <row r="2649" spans="1:7">
      <c r="A2649" t="s">
        <v>2744</v>
      </c>
      <c r="B2649" s="6">
        <v>45828</v>
      </c>
      <c r="C2649" s="6" t="str">
        <f>TEXT(Table3[[#This Row],[transaction_date]], "yyyy-mm")</f>
        <v>2025-06</v>
      </c>
      <c r="D2649" t="s">
        <v>75</v>
      </c>
      <c r="E2649" t="s">
        <v>3636</v>
      </c>
      <c r="F2649" t="s">
        <v>3605</v>
      </c>
      <c r="G2649" s="1">
        <v>20934540.57</v>
      </c>
    </row>
    <row r="2650" spans="1:7">
      <c r="A2650" t="s">
        <v>2745</v>
      </c>
      <c r="B2650" s="6">
        <v>46015</v>
      </c>
      <c r="C2650" s="6" t="str">
        <f>TEXT(Table3[[#This Row],[transaction_date]], "yyyy-mm")</f>
        <v>2025-12</v>
      </c>
      <c r="D2650" t="s">
        <v>89</v>
      </c>
      <c r="E2650" t="s">
        <v>3636</v>
      </c>
      <c r="F2650" t="s">
        <v>3611</v>
      </c>
      <c r="G2650" s="1">
        <v>2331384.1800000002</v>
      </c>
    </row>
    <row r="2651" spans="1:7">
      <c r="A2651" t="s">
        <v>2746</v>
      </c>
      <c r="B2651" s="6">
        <v>45749</v>
      </c>
      <c r="C2651" s="6" t="str">
        <f>TEXT(Table3[[#This Row],[transaction_date]], "yyyy-mm")</f>
        <v>2025-04</v>
      </c>
      <c r="D2651" t="s">
        <v>77</v>
      </c>
      <c r="E2651" t="s">
        <v>3636</v>
      </c>
      <c r="F2651" t="s">
        <v>3610</v>
      </c>
      <c r="G2651" s="1">
        <v>2915701.11</v>
      </c>
    </row>
    <row r="2652" spans="1:7">
      <c r="A2652" t="s">
        <v>2747</v>
      </c>
      <c r="B2652" s="6">
        <v>45688</v>
      </c>
      <c r="C2652" s="6" t="str">
        <f>TEXT(Table3[[#This Row],[transaction_date]], "yyyy-mm")</f>
        <v>2025-01</v>
      </c>
      <c r="D2652" t="s">
        <v>90</v>
      </c>
      <c r="E2652" t="s">
        <v>3637</v>
      </c>
      <c r="F2652" t="s">
        <v>3619</v>
      </c>
      <c r="G2652" s="1">
        <v>1924799.85</v>
      </c>
    </row>
    <row r="2653" spans="1:7">
      <c r="A2653" t="s">
        <v>2748</v>
      </c>
      <c r="B2653" s="6">
        <v>45668</v>
      </c>
      <c r="C2653" s="6" t="str">
        <f>TEXT(Table3[[#This Row],[transaction_date]], "yyyy-mm")</f>
        <v>2025-01</v>
      </c>
      <c r="D2653" t="s">
        <v>78</v>
      </c>
      <c r="E2653" t="s">
        <v>3636</v>
      </c>
      <c r="F2653" t="s">
        <v>3604</v>
      </c>
      <c r="G2653" s="1">
        <v>2559906.94</v>
      </c>
    </row>
    <row r="2654" spans="1:7">
      <c r="A2654" t="s">
        <v>2749</v>
      </c>
      <c r="B2654" s="6">
        <v>45717</v>
      </c>
      <c r="C2654" s="6" t="str">
        <f>TEXT(Table3[[#This Row],[transaction_date]], "yyyy-mm")</f>
        <v>2025-03</v>
      </c>
      <c r="D2654" t="s">
        <v>3597</v>
      </c>
      <c r="E2654" t="s">
        <v>3636</v>
      </c>
      <c r="F2654" t="s">
        <v>3612</v>
      </c>
      <c r="G2654" s="1">
        <v>2813912.38</v>
      </c>
    </row>
    <row r="2655" spans="1:7">
      <c r="A2655" t="s">
        <v>2750</v>
      </c>
      <c r="B2655" s="6">
        <v>45894</v>
      </c>
      <c r="C2655" s="6" t="str">
        <f>TEXT(Table3[[#This Row],[transaction_date]], "yyyy-mm")</f>
        <v>2025-08</v>
      </c>
      <c r="D2655" t="s">
        <v>73</v>
      </c>
      <c r="E2655" t="s">
        <v>3637</v>
      </c>
      <c r="F2655" t="s">
        <v>3615</v>
      </c>
      <c r="G2655" s="1">
        <v>786410.62</v>
      </c>
    </row>
    <row r="2656" spans="1:7">
      <c r="A2656" t="s">
        <v>2751</v>
      </c>
      <c r="B2656" s="6">
        <v>45939</v>
      </c>
      <c r="C2656" s="6" t="str">
        <f>TEXT(Table3[[#This Row],[transaction_date]], "yyyy-mm")</f>
        <v>2025-10</v>
      </c>
      <c r="D2656" t="s">
        <v>82</v>
      </c>
      <c r="E2656" t="s">
        <v>3637</v>
      </c>
      <c r="F2656" t="s">
        <v>3616</v>
      </c>
      <c r="G2656" s="1">
        <v>21680167.899999999</v>
      </c>
    </row>
    <row r="2657" spans="1:7">
      <c r="A2657" t="s">
        <v>2752</v>
      </c>
      <c r="B2657" s="6">
        <v>45917</v>
      </c>
      <c r="C2657" s="6" t="str">
        <f>TEXT(Table3[[#This Row],[transaction_date]], "yyyy-mm")</f>
        <v>2025-09</v>
      </c>
      <c r="D2657" t="s">
        <v>77</v>
      </c>
      <c r="E2657" t="s">
        <v>3636</v>
      </c>
      <c r="F2657" t="s">
        <v>3610</v>
      </c>
      <c r="G2657" s="1">
        <v>1700848.85</v>
      </c>
    </row>
    <row r="2658" spans="1:7">
      <c r="A2658" t="s">
        <v>2753</v>
      </c>
      <c r="B2658" s="6">
        <v>45802</v>
      </c>
      <c r="C2658" s="6" t="str">
        <f>TEXT(Table3[[#This Row],[transaction_date]], "yyyy-mm")</f>
        <v>2025-05</v>
      </c>
      <c r="D2658" t="s">
        <v>85</v>
      </c>
      <c r="E2658" t="s">
        <v>3636</v>
      </c>
      <c r="F2658" t="s">
        <v>3607</v>
      </c>
      <c r="G2658" s="1">
        <v>2143034.9500000002</v>
      </c>
    </row>
    <row r="2659" spans="1:7">
      <c r="A2659" t="s">
        <v>2754</v>
      </c>
      <c r="B2659" s="6">
        <v>45831</v>
      </c>
      <c r="C2659" s="6" t="str">
        <f>TEXT(Table3[[#This Row],[transaction_date]], "yyyy-mm")</f>
        <v>2025-06</v>
      </c>
      <c r="D2659" t="s">
        <v>85</v>
      </c>
      <c r="E2659" t="s">
        <v>3636</v>
      </c>
      <c r="F2659" t="s">
        <v>3605</v>
      </c>
      <c r="G2659" s="1">
        <v>1392261.27</v>
      </c>
    </row>
    <row r="2660" spans="1:7">
      <c r="A2660" t="s">
        <v>2755</v>
      </c>
      <c r="B2660" s="6">
        <v>45756</v>
      </c>
      <c r="C2660" s="6" t="str">
        <f>TEXT(Table3[[#This Row],[transaction_date]], "yyyy-mm")</f>
        <v>2025-04</v>
      </c>
      <c r="D2660" t="s">
        <v>84</v>
      </c>
      <c r="E2660" t="s">
        <v>3636</v>
      </c>
      <c r="F2660" t="s">
        <v>3610</v>
      </c>
      <c r="G2660" s="1">
        <v>6388384.7199999997</v>
      </c>
    </row>
    <row r="2661" spans="1:7">
      <c r="A2661" t="s">
        <v>2756</v>
      </c>
      <c r="B2661" s="6">
        <v>45704</v>
      </c>
      <c r="C2661" s="6" t="str">
        <f>TEXT(Table3[[#This Row],[transaction_date]], "yyyy-mm")</f>
        <v>2025-02</v>
      </c>
      <c r="D2661" t="s">
        <v>89</v>
      </c>
      <c r="E2661" t="s">
        <v>3637</v>
      </c>
      <c r="F2661" t="s">
        <v>3618</v>
      </c>
      <c r="G2661" s="1">
        <v>1252108.67</v>
      </c>
    </row>
    <row r="2662" spans="1:7">
      <c r="A2662" t="s">
        <v>2757</v>
      </c>
      <c r="B2662" s="6">
        <v>45862</v>
      </c>
      <c r="C2662" s="6" t="str">
        <f>TEXT(Table3[[#This Row],[transaction_date]], "yyyy-mm")</f>
        <v>2025-07</v>
      </c>
      <c r="D2662" t="s">
        <v>76</v>
      </c>
      <c r="E2662" t="s">
        <v>3637</v>
      </c>
      <c r="F2662" t="s">
        <v>3618</v>
      </c>
      <c r="G2662" s="1">
        <v>3568287.75</v>
      </c>
    </row>
    <row r="2663" spans="1:7">
      <c r="A2663" t="s">
        <v>2758</v>
      </c>
      <c r="B2663" s="6">
        <v>45679</v>
      </c>
      <c r="C2663" s="6" t="str">
        <f>TEXT(Table3[[#This Row],[transaction_date]], "yyyy-mm")</f>
        <v>2025-01</v>
      </c>
      <c r="D2663" t="s">
        <v>93</v>
      </c>
      <c r="E2663" t="s">
        <v>3637</v>
      </c>
      <c r="F2663" t="s">
        <v>3615</v>
      </c>
      <c r="G2663" s="1">
        <v>4235526.03</v>
      </c>
    </row>
    <row r="2664" spans="1:7">
      <c r="A2664" t="s">
        <v>2759</v>
      </c>
      <c r="B2664" s="6">
        <v>45940</v>
      </c>
      <c r="C2664" s="6" t="str">
        <f>TEXT(Table3[[#This Row],[transaction_date]], "yyyy-mm")</f>
        <v>2025-10</v>
      </c>
      <c r="D2664" t="s">
        <v>78</v>
      </c>
      <c r="E2664" t="s">
        <v>3636</v>
      </c>
      <c r="F2664" t="s">
        <v>3609</v>
      </c>
      <c r="G2664" s="1">
        <v>2045244.78</v>
      </c>
    </row>
    <row r="2665" spans="1:7">
      <c r="A2665" t="s">
        <v>2760</v>
      </c>
      <c r="B2665" s="6">
        <v>45714</v>
      </c>
      <c r="C2665" s="6" t="str">
        <f>TEXT(Table3[[#This Row],[transaction_date]], "yyyy-mm")</f>
        <v>2025-02</v>
      </c>
      <c r="D2665" t="s">
        <v>78</v>
      </c>
      <c r="E2665" t="s">
        <v>3636</v>
      </c>
      <c r="F2665" t="s">
        <v>3609</v>
      </c>
      <c r="G2665" s="1">
        <v>871865.78</v>
      </c>
    </row>
    <row r="2666" spans="1:7">
      <c r="A2666" t="s">
        <v>2761</v>
      </c>
      <c r="B2666" s="6">
        <v>45851</v>
      </c>
      <c r="C2666" s="6" t="str">
        <f>TEXT(Table3[[#This Row],[transaction_date]], "yyyy-mm")</f>
        <v>2025-07</v>
      </c>
      <c r="D2666" t="s">
        <v>77</v>
      </c>
      <c r="E2666" t="s">
        <v>3636</v>
      </c>
      <c r="F2666" t="s">
        <v>3610</v>
      </c>
      <c r="G2666" s="1">
        <v>3333918.74</v>
      </c>
    </row>
    <row r="2667" spans="1:7">
      <c r="A2667" t="s">
        <v>2762</v>
      </c>
      <c r="B2667" s="6">
        <v>45724</v>
      </c>
      <c r="C2667" s="6" t="str">
        <f>TEXT(Table3[[#This Row],[transaction_date]], "yyyy-mm")</f>
        <v>2025-03</v>
      </c>
      <c r="D2667" t="s">
        <v>73</v>
      </c>
      <c r="E2667" t="s">
        <v>3637</v>
      </c>
      <c r="F2667" t="s">
        <v>3621</v>
      </c>
      <c r="G2667" s="1">
        <v>3371126.85</v>
      </c>
    </row>
    <row r="2668" spans="1:7">
      <c r="A2668" t="s">
        <v>2763</v>
      </c>
      <c r="B2668" s="6">
        <v>45838</v>
      </c>
      <c r="C2668" s="6" t="str">
        <f>TEXT(Table3[[#This Row],[transaction_date]], "yyyy-mm")</f>
        <v>2025-06</v>
      </c>
      <c r="D2668" t="s">
        <v>77</v>
      </c>
      <c r="E2668" t="s">
        <v>3636</v>
      </c>
      <c r="F2668" t="s">
        <v>3613</v>
      </c>
      <c r="G2668" s="1">
        <v>6138068.6299999999</v>
      </c>
    </row>
    <row r="2669" spans="1:7">
      <c r="A2669" t="s">
        <v>2764</v>
      </c>
      <c r="B2669" s="6">
        <v>45967</v>
      </c>
      <c r="C2669" s="6" t="str">
        <f>TEXT(Table3[[#This Row],[transaction_date]], "yyyy-mm")</f>
        <v>2025-11</v>
      </c>
      <c r="D2669" t="s">
        <v>95</v>
      </c>
      <c r="E2669" t="s">
        <v>3636</v>
      </c>
      <c r="F2669" t="s">
        <v>3612</v>
      </c>
      <c r="G2669" s="1">
        <v>143097.54999999999</v>
      </c>
    </row>
    <row r="2670" spans="1:7">
      <c r="A2670" t="s">
        <v>2765</v>
      </c>
      <c r="B2670" s="6">
        <v>45954</v>
      </c>
      <c r="C2670" s="6" t="str">
        <f>TEXT(Table3[[#This Row],[transaction_date]], "yyyy-mm")</f>
        <v>2025-10</v>
      </c>
      <c r="D2670" t="s">
        <v>74</v>
      </c>
      <c r="E2670" t="s">
        <v>3637</v>
      </c>
      <c r="F2670" t="s">
        <v>3621</v>
      </c>
      <c r="G2670" s="1">
        <v>186066.2</v>
      </c>
    </row>
    <row r="2671" spans="1:7">
      <c r="A2671" t="s">
        <v>2766</v>
      </c>
      <c r="B2671" s="6">
        <v>45978</v>
      </c>
      <c r="C2671" s="6" t="str">
        <f>TEXT(Table3[[#This Row],[transaction_date]], "yyyy-mm")</f>
        <v>2025-11</v>
      </c>
      <c r="D2671" t="s">
        <v>75</v>
      </c>
      <c r="E2671" t="s">
        <v>3636</v>
      </c>
      <c r="F2671" t="s">
        <v>3608</v>
      </c>
      <c r="G2671" s="1">
        <v>4658576.1500000004</v>
      </c>
    </row>
    <row r="2672" spans="1:7">
      <c r="A2672" t="s">
        <v>2767</v>
      </c>
      <c r="B2672" s="6">
        <v>45849</v>
      </c>
      <c r="C2672" s="6" t="str">
        <f>TEXT(Table3[[#This Row],[transaction_date]], "yyyy-mm")</f>
        <v>2025-07</v>
      </c>
      <c r="D2672" t="s">
        <v>82</v>
      </c>
      <c r="E2672" t="s">
        <v>3637</v>
      </c>
      <c r="F2672" t="s">
        <v>3623</v>
      </c>
      <c r="G2672" s="1">
        <v>5179912.91</v>
      </c>
    </row>
    <row r="2673" spans="1:7">
      <c r="A2673" t="s">
        <v>2768</v>
      </c>
      <c r="B2673" s="6">
        <v>45734</v>
      </c>
      <c r="C2673" s="6" t="str">
        <f>TEXT(Table3[[#This Row],[transaction_date]], "yyyy-mm")</f>
        <v>2025-03</v>
      </c>
      <c r="D2673" t="s">
        <v>74</v>
      </c>
      <c r="E2673" t="s">
        <v>3637</v>
      </c>
      <c r="F2673" t="s">
        <v>3618</v>
      </c>
      <c r="G2673" s="1">
        <v>141300.34</v>
      </c>
    </row>
    <row r="2674" spans="1:7">
      <c r="A2674" t="s">
        <v>2769</v>
      </c>
      <c r="B2674" s="6">
        <v>45773</v>
      </c>
      <c r="C2674" s="6" t="str">
        <f>TEXT(Table3[[#This Row],[transaction_date]], "yyyy-mm")</f>
        <v>2025-04</v>
      </c>
      <c r="D2674" t="s">
        <v>85</v>
      </c>
      <c r="E2674" t="s">
        <v>3636</v>
      </c>
      <c r="F2674" t="s">
        <v>3613</v>
      </c>
      <c r="G2674" s="1">
        <v>1835594.35</v>
      </c>
    </row>
    <row r="2675" spans="1:7">
      <c r="A2675" t="s">
        <v>2770</v>
      </c>
      <c r="B2675" s="6">
        <v>45667</v>
      </c>
      <c r="C2675" s="6" t="str">
        <f>TEXT(Table3[[#This Row],[transaction_date]], "yyyy-mm")</f>
        <v>2025-01</v>
      </c>
      <c r="D2675" t="s">
        <v>90</v>
      </c>
      <c r="E2675" t="s">
        <v>3637</v>
      </c>
      <c r="F2675" t="s">
        <v>3615</v>
      </c>
      <c r="G2675" s="1">
        <v>4172621.46</v>
      </c>
    </row>
    <row r="2676" spans="1:7">
      <c r="A2676" t="s">
        <v>2771</v>
      </c>
      <c r="B2676" s="6">
        <v>45858</v>
      </c>
      <c r="C2676" s="6" t="str">
        <f>TEXT(Table3[[#This Row],[transaction_date]], "yyyy-mm")</f>
        <v>2025-07</v>
      </c>
      <c r="D2676" t="s">
        <v>85</v>
      </c>
      <c r="E2676" t="s">
        <v>3636</v>
      </c>
      <c r="F2676" t="s">
        <v>3605</v>
      </c>
      <c r="G2676" s="1">
        <v>1968929.46</v>
      </c>
    </row>
    <row r="2677" spans="1:7">
      <c r="A2677" t="s">
        <v>2772</v>
      </c>
      <c r="B2677" s="6">
        <v>45746</v>
      </c>
      <c r="C2677" s="6" t="str">
        <f>TEXT(Table3[[#This Row],[transaction_date]], "yyyy-mm")</f>
        <v>2025-03</v>
      </c>
      <c r="D2677" t="s">
        <v>93</v>
      </c>
      <c r="E2677" t="s">
        <v>3637</v>
      </c>
      <c r="F2677" t="s">
        <v>3620</v>
      </c>
      <c r="G2677" s="1">
        <v>323018.65000000002</v>
      </c>
    </row>
    <row r="2678" spans="1:7">
      <c r="A2678" t="s">
        <v>2773</v>
      </c>
      <c r="B2678" s="6">
        <v>46005</v>
      </c>
      <c r="C2678" s="6" t="str">
        <f>TEXT(Table3[[#This Row],[transaction_date]], "yyyy-mm")</f>
        <v>2025-12</v>
      </c>
      <c r="D2678" t="s">
        <v>73</v>
      </c>
      <c r="E2678" t="s">
        <v>3636</v>
      </c>
      <c r="F2678" t="s">
        <v>3609</v>
      </c>
      <c r="G2678" s="1">
        <v>322174.83</v>
      </c>
    </row>
    <row r="2679" spans="1:7">
      <c r="A2679" t="s">
        <v>2774</v>
      </c>
      <c r="B2679" s="6">
        <v>45984</v>
      </c>
      <c r="C2679" s="6" t="str">
        <f>TEXT(Table3[[#This Row],[transaction_date]], "yyyy-mm")</f>
        <v>2025-11</v>
      </c>
      <c r="D2679" t="s">
        <v>3597</v>
      </c>
      <c r="E2679" t="s">
        <v>3637</v>
      </c>
      <c r="F2679" t="s">
        <v>3619</v>
      </c>
      <c r="G2679" s="1">
        <v>7123892.7000000002</v>
      </c>
    </row>
    <row r="2680" spans="1:7">
      <c r="A2680" t="s">
        <v>2775</v>
      </c>
      <c r="B2680" s="6">
        <v>45684</v>
      </c>
      <c r="C2680" s="6" t="str">
        <f>TEXT(Table3[[#This Row],[transaction_date]], "yyyy-mm")</f>
        <v>2025-01</v>
      </c>
      <c r="D2680" t="s">
        <v>78</v>
      </c>
      <c r="E2680" t="s">
        <v>3636</v>
      </c>
      <c r="F2680" t="s">
        <v>3609</v>
      </c>
      <c r="G2680" s="1">
        <v>1456576.37</v>
      </c>
    </row>
    <row r="2681" spans="1:7">
      <c r="A2681" t="s">
        <v>2776</v>
      </c>
      <c r="B2681" s="6">
        <v>45826</v>
      </c>
      <c r="C2681" s="6" t="str">
        <f>TEXT(Table3[[#This Row],[transaction_date]], "yyyy-mm")</f>
        <v>2025-06</v>
      </c>
      <c r="D2681" t="s">
        <v>3597</v>
      </c>
      <c r="E2681" t="s">
        <v>3636</v>
      </c>
      <c r="F2681" t="s">
        <v>3612</v>
      </c>
      <c r="G2681" s="1">
        <v>491104.88</v>
      </c>
    </row>
    <row r="2682" spans="1:7">
      <c r="A2682" t="s">
        <v>2777</v>
      </c>
      <c r="B2682" s="6">
        <v>45810</v>
      </c>
      <c r="C2682" s="6" t="str">
        <f>TEXT(Table3[[#This Row],[transaction_date]], "yyyy-mm")</f>
        <v>2025-06</v>
      </c>
      <c r="D2682" t="s">
        <v>82</v>
      </c>
      <c r="E2682" t="s">
        <v>3636</v>
      </c>
      <c r="F2682" t="s">
        <v>3606</v>
      </c>
      <c r="G2682" s="1">
        <v>2326008.14</v>
      </c>
    </row>
    <row r="2683" spans="1:7">
      <c r="A2683" t="s">
        <v>2778</v>
      </c>
      <c r="B2683" s="6">
        <v>45752</v>
      </c>
      <c r="C2683" s="6" t="str">
        <f>TEXT(Table3[[#This Row],[transaction_date]], "yyyy-mm")</f>
        <v>2025-04</v>
      </c>
      <c r="D2683" t="s">
        <v>90</v>
      </c>
      <c r="E2683" t="s">
        <v>3637</v>
      </c>
      <c r="F2683" t="s">
        <v>3621</v>
      </c>
      <c r="G2683" s="1">
        <v>10215406.26</v>
      </c>
    </row>
    <row r="2684" spans="1:7">
      <c r="A2684" t="s">
        <v>2779</v>
      </c>
      <c r="B2684" s="6">
        <v>45670</v>
      </c>
      <c r="C2684" s="6" t="str">
        <f>TEXT(Table3[[#This Row],[transaction_date]], "yyyy-mm")</f>
        <v>2025-01</v>
      </c>
      <c r="D2684" t="s">
        <v>73</v>
      </c>
      <c r="E2684" t="s">
        <v>3636</v>
      </c>
      <c r="F2684" t="s">
        <v>3604</v>
      </c>
      <c r="G2684" s="1">
        <v>7956075.75</v>
      </c>
    </row>
    <row r="2685" spans="1:7">
      <c r="A2685" t="s">
        <v>2780</v>
      </c>
      <c r="B2685" s="6">
        <v>45999</v>
      </c>
      <c r="C2685" s="6" t="str">
        <f>TEXT(Table3[[#This Row],[transaction_date]], "yyyy-mm")</f>
        <v>2025-12</v>
      </c>
      <c r="D2685" t="s">
        <v>75</v>
      </c>
      <c r="E2685" t="s">
        <v>3636</v>
      </c>
      <c r="F2685" t="s">
        <v>3609</v>
      </c>
      <c r="G2685" s="1">
        <v>7212723.4800000004</v>
      </c>
    </row>
    <row r="2686" spans="1:7">
      <c r="A2686" t="s">
        <v>2781</v>
      </c>
      <c r="B2686" s="6">
        <v>45839</v>
      </c>
      <c r="C2686" s="6" t="str">
        <f>TEXT(Table3[[#This Row],[transaction_date]], "yyyy-mm")</f>
        <v>2025-07</v>
      </c>
      <c r="D2686" t="s">
        <v>79</v>
      </c>
      <c r="E2686" t="s">
        <v>3636</v>
      </c>
      <c r="F2686" t="s">
        <v>3607</v>
      </c>
      <c r="G2686" s="1">
        <v>1728499.9</v>
      </c>
    </row>
    <row r="2687" spans="1:7">
      <c r="A2687" t="s">
        <v>2782</v>
      </c>
      <c r="B2687" s="6">
        <v>46008</v>
      </c>
      <c r="C2687" s="6" t="str">
        <f>TEXT(Table3[[#This Row],[transaction_date]], "yyyy-mm")</f>
        <v>2025-12</v>
      </c>
      <c r="D2687" t="s">
        <v>77</v>
      </c>
      <c r="E2687" t="s">
        <v>3637</v>
      </c>
      <c r="F2687" t="s">
        <v>3615</v>
      </c>
      <c r="G2687" s="1">
        <v>6018491.2599999998</v>
      </c>
    </row>
    <row r="2688" spans="1:7">
      <c r="A2688" t="s">
        <v>2783</v>
      </c>
      <c r="B2688" s="6">
        <v>45891</v>
      </c>
      <c r="C2688" s="6" t="str">
        <f>TEXT(Table3[[#This Row],[transaction_date]], "yyyy-mm")</f>
        <v>2025-08</v>
      </c>
      <c r="D2688" t="s">
        <v>73</v>
      </c>
      <c r="E2688" t="s">
        <v>3636</v>
      </c>
      <c r="F2688" t="s">
        <v>3607</v>
      </c>
      <c r="G2688" s="1">
        <v>370192.24</v>
      </c>
    </row>
    <row r="2689" spans="1:7">
      <c r="A2689" t="s">
        <v>2784</v>
      </c>
      <c r="B2689" s="6">
        <v>45937</v>
      </c>
      <c r="C2689" s="6" t="str">
        <f>TEXT(Table3[[#This Row],[transaction_date]], "yyyy-mm")</f>
        <v>2025-10</v>
      </c>
      <c r="D2689" t="s">
        <v>84</v>
      </c>
      <c r="E2689" t="s">
        <v>3637</v>
      </c>
      <c r="F2689" t="s">
        <v>3622</v>
      </c>
      <c r="G2689" s="1">
        <v>5691526.7300000004</v>
      </c>
    </row>
    <row r="2690" spans="1:7">
      <c r="A2690" t="s">
        <v>2785</v>
      </c>
      <c r="B2690" s="6">
        <v>45769</v>
      </c>
      <c r="C2690" s="6" t="str">
        <f>TEXT(Table3[[#This Row],[transaction_date]], "yyyy-mm")</f>
        <v>2025-04</v>
      </c>
      <c r="D2690" t="s">
        <v>73</v>
      </c>
      <c r="E2690" t="s">
        <v>3637</v>
      </c>
      <c r="F2690" t="s">
        <v>3620</v>
      </c>
      <c r="G2690" s="1">
        <v>1981334.58</v>
      </c>
    </row>
    <row r="2691" spans="1:7">
      <c r="A2691" t="s">
        <v>2786</v>
      </c>
      <c r="B2691" s="6">
        <v>45728</v>
      </c>
      <c r="C2691" s="6" t="str">
        <f>TEXT(Table3[[#This Row],[transaction_date]], "yyyy-mm")</f>
        <v>2025-03</v>
      </c>
      <c r="D2691" t="s">
        <v>73</v>
      </c>
      <c r="E2691" t="s">
        <v>3636</v>
      </c>
      <c r="F2691" t="s">
        <v>3613</v>
      </c>
      <c r="G2691" s="1">
        <v>809335.3</v>
      </c>
    </row>
    <row r="2692" spans="1:7">
      <c r="A2692" t="s">
        <v>2787</v>
      </c>
      <c r="B2692" s="6">
        <v>45939</v>
      </c>
      <c r="C2692" s="6" t="str">
        <f>TEXT(Table3[[#This Row],[transaction_date]], "yyyy-mm")</f>
        <v>2025-10</v>
      </c>
      <c r="D2692" t="s">
        <v>3597</v>
      </c>
      <c r="E2692" t="s">
        <v>3637</v>
      </c>
      <c r="F2692" t="s">
        <v>3620</v>
      </c>
      <c r="G2692" s="1">
        <v>8846232.4900000002</v>
      </c>
    </row>
    <row r="2693" spans="1:7">
      <c r="A2693" t="s">
        <v>2788</v>
      </c>
      <c r="B2693" s="6">
        <v>45774</v>
      </c>
      <c r="C2693" s="6" t="str">
        <f>TEXT(Table3[[#This Row],[transaction_date]], "yyyy-mm")</f>
        <v>2025-04</v>
      </c>
      <c r="D2693" t="s">
        <v>73</v>
      </c>
      <c r="E2693" t="s">
        <v>3636</v>
      </c>
      <c r="F2693" t="s">
        <v>3610</v>
      </c>
      <c r="G2693" s="1">
        <v>272894.37</v>
      </c>
    </row>
    <row r="2694" spans="1:7">
      <c r="A2694" t="s">
        <v>2789</v>
      </c>
      <c r="B2694" s="6">
        <v>45824</v>
      </c>
      <c r="C2694" s="6" t="str">
        <f>TEXT(Table3[[#This Row],[transaction_date]], "yyyy-mm")</f>
        <v>2025-06</v>
      </c>
      <c r="D2694" t="s">
        <v>78</v>
      </c>
      <c r="E2694" t="s">
        <v>3637</v>
      </c>
      <c r="F2694" t="s">
        <v>3622</v>
      </c>
      <c r="G2694" s="1">
        <v>6578166.8700000001</v>
      </c>
    </row>
    <row r="2695" spans="1:7">
      <c r="A2695" t="s">
        <v>2790</v>
      </c>
      <c r="B2695" s="6">
        <v>45970</v>
      </c>
      <c r="C2695" s="6" t="str">
        <f>TEXT(Table3[[#This Row],[transaction_date]], "yyyy-mm")</f>
        <v>2025-11</v>
      </c>
      <c r="D2695" t="s">
        <v>85</v>
      </c>
      <c r="E2695" t="s">
        <v>3637</v>
      </c>
      <c r="F2695" t="s">
        <v>3619</v>
      </c>
      <c r="G2695" s="1">
        <v>4451632.93</v>
      </c>
    </row>
    <row r="2696" spans="1:7">
      <c r="A2696" t="s">
        <v>2791</v>
      </c>
      <c r="B2696" s="6">
        <v>45842</v>
      </c>
      <c r="C2696" s="6" t="str">
        <f>TEXT(Table3[[#This Row],[transaction_date]], "yyyy-mm")</f>
        <v>2025-07</v>
      </c>
      <c r="D2696" t="s">
        <v>77</v>
      </c>
      <c r="E2696" t="s">
        <v>3636</v>
      </c>
      <c r="F2696" t="s">
        <v>3608</v>
      </c>
      <c r="G2696" s="1">
        <v>17506567.379999999</v>
      </c>
    </row>
    <row r="2697" spans="1:7">
      <c r="A2697" t="s">
        <v>2792</v>
      </c>
      <c r="B2697" s="6">
        <v>45972</v>
      </c>
      <c r="C2697" s="6" t="str">
        <f>TEXT(Table3[[#This Row],[transaction_date]], "yyyy-mm")</f>
        <v>2025-11</v>
      </c>
      <c r="D2697" t="s">
        <v>79</v>
      </c>
      <c r="E2697" t="s">
        <v>3637</v>
      </c>
      <c r="F2697" t="s">
        <v>3623</v>
      </c>
      <c r="G2697" s="1">
        <v>979978.93</v>
      </c>
    </row>
    <row r="2698" spans="1:7">
      <c r="A2698" t="s">
        <v>2793</v>
      </c>
      <c r="B2698" s="6">
        <v>45939</v>
      </c>
      <c r="C2698" s="6" t="str">
        <f>TEXT(Table3[[#This Row],[transaction_date]], "yyyy-mm")</f>
        <v>2025-10</v>
      </c>
      <c r="D2698" t="s">
        <v>77</v>
      </c>
      <c r="E2698" t="s">
        <v>3637</v>
      </c>
      <c r="F2698" t="s">
        <v>3619</v>
      </c>
      <c r="G2698" s="1">
        <v>8345131.21</v>
      </c>
    </row>
    <row r="2699" spans="1:7">
      <c r="A2699" t="s">
        <v>2794</v>
      </c>
      <c r="B2699" s="6">
        <v>45849</v>
      </c>
      <c r="C2699" s="6" t="str">
        <f>TEXT(Table3[[#This Row],[transaction_date]], "yyyy-mm")</f>
        <v>2025-07</v>
      </c>
      <c r="D2699" t="s">
        <v>75</v>
      </c>
      <c r="E2699" t="s">
        <v>3636</v>
      </c>
      <c r="F2699" t="s">
        <v>3613</v>
      </c>
      <c r="G2699" s="1">
        <v>10721066.76</v>
      </c>
    </row>
    <row r="2700" spans="1:7">
      <c r="A2700" t="s">
        <v>2795</v>
      </c>
      <c r="B2700" s="6">
        <v>45775</v>
      </c>
      <c r="C2700" s="6" t="str">
        <f>TEXT(Table3[[#This Row],[transaction_date]], "yyyy-mm")</f>
        <v>2025-04</v>
      </c>
      <c r="D2700" t="s">
        <v>3597</v>
      </c>
      <c r="E2700" t="s">
        <v>3636</v>
      </c>
      <c r="F2700" t="s">
        <v>3605</v>
      </c>
      <c r="G2700" s="1">
        <v>11496979.01</v>
      </c>
    </row>
    <row r="2701" spans="1:7">
      <c r="A2701" t="s">
        <v>2796</v>
      </c>
      <c r="B2701" s="6">
        <v>45862</v>
      </c>
      <c r="C2701" s="6" t="str">
        <f>TEXT(Table3[[#This Row],[transaction_date]], "yyyy-mm")</f>
        <v>2025-07</v>
      </c>
      <c r="D2701" t="s">
        <v>76</v>
      </c>
      <c r="E2701" t="s">
        <v>3637</v>
      </c>
      <c r="F2701" t="s">
        <v>3620</v>
      </c>
      <c r="G2701" s="1">
        <v>7378183.0199999996</v>
      </c>
    </row>
    <row r="2702" spans="1:7">
      <c r="A2702" t="s">
        <v>2797</v>
      </c>
      <c r="B2702" s="6">
        <v>45781</v>
      </c>
      <c r="C2702" s="6" t="str">
        <f>TEXT(Table3[[#This Row],[transaction_date]], "yyyy-mm")</f>
        <v>2025-05</v>
      </c>
      <c r="D2702" t="s">
        <v>76</v>
      </c>
      <c r="E2702" t="s">
        <v>3636</v>
      </c>
      <c r="F2702" t="s">
        <v>3612</v>
      </c>
      <c r="G2702" s="1">
        <v>13713322.310000001</v>
      </c>
    </row>
    <row r="2703" spans="1:7">
      <c r="A2703" t="s">
        <v>2798</v>
      </c>
      <c r="B2703" s="6">
        <v>45766</v>
      </c>
      <c r="C2703" s="6" t="str">
        <f>TEXT(Table3[[#This Row],[transaction_date]], "yyyy-mm")</f>
        <v>2025-04</v>
      </c>
      <c r="D2703" t="s">
        <v>77</v>
      </c>
      <c r="E2703" t="s">
        <v>3636</v>
      </c>
      <c r="F2703" t="s">
        <v>3611</v>
      </c>
      <c r="G2703" s="1">
        <v>17487310.91</v>
      </c>
    </row>
    <row r="2704" spans="1:7">
      <c r="A2704" t="s">
        <v>2799</v>
      </c>
      <c r="B2704" s="6">
        <v>45708</v>
      </c>
      <c r="C2704" s="6" t="str">
        <f>TEXT(Table3[[#This Row],[transaction_date]], "yyyy-mm")</f>
        <v>2025-02</v>
      </c>
      <c r="D2704" t="s">
        <v>93</v>
      </c>
      <c r="E2704" t="s">
        <v>3636</v>
      </c>
      <c r="F2704" t="s">
        <v>3610</v>
      </c>
      <c r="G2704" s="1">
        <v>7021792.3700000001</v>
      </c>
    </row>
    <row r="2705" spans="1:7">
      <c r="A2705" t="s">
        <v>2800</v>
      </c>
      <c r="B2705" s="6">
        <v>45994</v>
      </c>
      <c r="C2705" s="6" t="str">
        <f>TEXT(Table3[[#This Row],[transaction_date]], "yyyy-mm")</f>
        <v>2025-12</v>
      </c>
      <c r="D2705" t="s">
        <v>78</v>
      </c>
      <c r="E2705" t="s">
        <v>3636</v>
      </c>
      <c r="F2705" t="s">
        <v>3608</v>
      </c>
      <c r="G2705" s="1">
        <v>4836758.54</v>
      </c>
    </row>
    <row r="2706" spans="1:7">
      <c r="A2706" t="s">
        <v>2801</v>
      </c>
      <c r="B2706" s="6">
        <v>45792</v>
      </c>
      <c r="C2706" s="6" t="str">
        <f>TEXT(Table3[[#This Row],[transaction_date]], "yyyy-mm")</f>
        <v>2025-05</v>
      </c>
      <c r="D2706" t="s">
        <v>3597</v>
      </c>
      <c r="E2706" t="s">
        <v>3636</v>
      </c>
      <c r="F2706" t="s">
        <v>3607</v>
      </c>
      <c r="G2706" s="1">
        <v>5472242.9299999997</v>
      </c>
    </row>
    <row r="2707" spans="1:7">
      <c r="A2707" t="s">
        <v>2802</v>
      </c>
      <c r="B2707" s="6">
        <v>45669</v>
      </c>
      <c r="C2707" s="6" t="str">
        <f>TEXT(Table3[[#This Row],[transaction_date]], "yyyy-mm")</f>
        <v>2025-01</v>
      </c>
      <c r="D2707" t="s">
        <v>74</v>
      </c>
      <c r="E2707" t="s">
        <v>3637</v>
      </c>
      <c r="F2707" t="s">
        <v>3615</v>
      </c>
      <c r="G2707" s="1">
        <v>1636502.28</v>
      </c>
    </row>
    <row r="2708" spans="1:7">
      <c r="A2708" t="s">
        <v>2803</v>
      </c>
      <c r="B2708" s="6">
        <v>45781</v>
      </c>
      <c r="C2708" s="6" t="str">
        <f>TEXT(Table3[[#This Row],[transaction_date]], "yyyy-mm")</f>
        <v>2025-05</v>
      </c>
      <c r="D2708" t="s">
        <v>89</v>
      </c>
      <c r="E2708" t="s">
        <v>3637</v>
      </c>
      <c r="F2708" t="s">
        <v>3623</v>
      </c>
      <c r="G2708" s="1">
        <v>48042.97</v>
      </c>
    </row>
    <row r="2709" spans="1:7">
      <c r="A2709" t="s">
        <v>2804</v>
      </c>
      <c r="B2709" s="6">
        <v>45818</v>
      </c>
      <c r="C2709" s="6" t="str">
        <f>TEXT(Table3[[#This Row],[transaction_date]], "yyyy-mm")</f>
        <v>2025-06</v>
      </c>
      <c r="D2709" t="s">
        <v>74</v>
      </c>
      <c r="E2709" t="s">
        <v>3637</v>
      </c>
      <c r="F2709" t="s">
        <v>3615</v>
      </c>
      <c r="G2709" s="1">
        <v>2775145.65</v>
      </c>
    </row>
    <row r="2710" spans="1:7">
      <c r="A2710" t="s">
        <v>2805</v>
      </c>
      <c r="B2710" s="6">
        <v>45731</v>
      </c>
      <c r="C2710" s="6" t="str">
        <f>TEXT(Table3[[#This Row],[transaction_date]], "yyyy-mm")</f>
        <v>2025-03</v>
      </c>
      <c r="D2710" t="s">
        <v>76</v>
      </c>
      <c r="E2710" t="s">
        <v>3636</v>
      </c>
      <c r="F2710" t="s">
        <v>3609</v>
      </c>
      <c r="G2710" s="1">
        <v>3930429.75</v>
      </c>
    </row>
    <row r="2711" spans="1:7">
      <c r="A2711" t="s">
        <v>2806</v>
      </c>
      <c r="B2711" s="6">
        <v>45697</v>
      </c>
      <c r="C2711" s="6" t="str">
        <f>TEXT(Table3[[#This Row],[transaction_date]], "yyyy-mm")</f>
        <v>2025-02</v>
      </c>
      <c r="D2711" t="s">
        <v>3597</v>
      </c>
      <c r="E2711" t="s">
        <v>3636</v>
      </c>
      <c r="F2711" t="s">
        <v>3606</v>
      </c>
      <c r="G2711" s="1">
        <v>616077.19999999995</v>
      </c>
    </row>
    <row r="2712" spans="1:7">
      <c r="A2712" t="s">
        <v>2807</v>
      </c>
      <c r="B2712" s="6">
        <v>45754</v>
      </c>
      <c r="C2712" s="6" t="str">
        <f>TEXT(Table3[[#This Row],[transaction_date]], "yyyy-mm")</f>
        <v>2025-04</v>
      </c>
      <c r="D2712" t="s">
        <v>93</v>
      </c>
      <c r="E2712" t="s">
        <v>3637</v>
      </c>
      <c r="F2712" t="s">
        <v>3623</v>
      </c>
      <c r="G2712" s="1">
        <v>13531866.92</v>
      </c>
    </row>
    <row r="2713" spans="1:7">
      <c r="A2713" t="s">
        <v>2808</v>
      </c>
      <c r="B2713" s="6">
        <v>45890</v>
      </c>
      <c r="C2713" s="6" t="str">
        <f>TEXT(Table3[[#This Row],[transaction_date]], "yyyy-mm")</f>
        <v>2025-08</v>
      </c>
      <c r="D2713" t="s">
        <v>74</v>
      </c>
      <c r="E2713" t="s">
        <v>3636</v>
      </c>
      <c r="F2713" t="s">
        <v>3605</v>
      </c>
      <c r="G2713" s="1">
        <v>270379.18</v>
      </c>
    </row>
    <row r="2714" spans="1:7">
      <c r="A2714" t="s">
        <v>2809</v>
      </c>
      <c r="B2714" s="6">
        <v>45799</v>
      </c>
      <c r="C2714" s="6" t="str">
        <f>TEXT(Table3[[#This Row],[transaction_date]], "yyyy-mm")</f>
        <v>2025-05</v>
      </c>
      <c r="D2714" t="s">
        <v>74</v>
      </c>
      <c r="E2714" t="s">
        <v>3636</v>
      </c>
      <c r="F2714" t="s">
        <v>3611</v>
      </c>
      <c r="G2714" s="1">
        <v>169473.42</v>
      </c>
    </row>
    <row r="2715" spans="1:7">
      <c r="A2715" t="s">
        <v>2810</v>
      </c>
      <c r="B2715" s="6">
        <v>45733</v>
      </c>
      <c r="C2715" s="6" t="str">
        <f>TEXT(Table3[[#This Row],[transaction_date]], "yyyy-mm")</f>
        <v>2025-03</v>
      </c>
      <c r="D2715" t="s">
        <v>85</v>
      </c>
      <c r="E2715" t="s">
        <v>3637</v>
      </c>
      <c r="F2715" t="s">
        <v>3621</v>
      </c>
      <c r="G2715" s="1">
        <v>756753.58</v>
      </c>
    </row>
    <row r="2716" spans="1:7">
      <c r="A2716" t="s">
        <v>2811</v>
      </c>
      <c r="B2716" s="6">
        <v>45664</v>
      </c>
      <c r="C2716" s="6" t="str">
        <f>TEXT(Table3[[#This Row],[transaction_date]], "yyyy-mm")</f>
        <v>2025-01</v>
      </c>
      <c r="D2716" t="s">
        <v>77</v>
      </c>
      <c r="E2716" t="s">
        <v>3636</v>
      </c>
      <c r="F2716" t="s">
        <v>3611</v>
      </c>
      <c r="G2716" s="1">
        <v>8096442.6900000004</v>
      </c>
    </row>
    <row r="2717" spans="1:7">
      <c r="A2717" t="s">
        <v>2812</v>
      </c>
      <c r="B2717" s="6">
        <v>45823</v>
      </c>
      <c r="C2717" s="6" t="str">
        <f>TEXT(Table3[[#This Row],[transaction_date]], "yyyy-mm")</f>
        <v>2025-06</v>
      </c>
      <c r="D2717" t="s">
        <v>95</v>
      </c>
      <c r="E2717" t="s">
        <v>3637</v>
      </c>
      <c r="F2717" t="s">
        <v>3614</v>
      </c>
      <c r="G2717" s="1">
        <v>2160904.15</v>
      </c>
    </row>
    <row r="2718" spans="1:7">
      <c r="A2718" t="s">
        <v>2813</v>
      </c>
      <c r="B2718" s="6">
        <v>45674</v>
      </c>
      <c r="C2718" s="6" t="str">
        <f>TEXT(Table3[[#This Row],[transaction_date]], "yyyy-mm")</f>
        <v>2025-01</v>
      </c>
      <c r="D2718" t="s">
        <v>73</v>
      </c>
      <c r="E2718" t="s">
        <v>3637</v>
      </c>
      <c r="F2718" t="s">
        <v>3619</v>
      </c>
      <c r="G2718" s="1">
        <v>4284766.28</v>
      </c>
    </row>
    <row r="2719" spans="1:7">
      <c r="A2719" t="s">
        <v>2814</v>
      </c>
      <c r="B2719" s="6">
        <v>45833</v>
      </c>
      <c r="C2719" s="6" t="str">
        <f>TEXT(Table3[[#This Row],[transaction_date]], "yyyy-mm")</f>
        <v>2025-06</v>
      </c>
      <c r="D2719" t="s">
        <v>75</v>
      </c>
      <c r="E2719" t="s">
        <v>3636</v>
      </c>
      <c r="F2719" t="s">
        <v>3613</v>
      </c>
      <c r="G2719" s="1">
        <v>7714566.8799999999</v>
      </c>
    </row>
    <row r="2720" spans="1:7">
      <c r="A2720" t="s">
        <v>2815</v>
      </c>
      <c r="B2720" s="6">
        <v>45688</v>
      </c>
      <c r="C2720" s="6" t="str">
        <f>TEXT(Table3[[#This Row],[transaction_date]], "yyyy-mm")</f>
        <v>2025-01</v>
      </c>
      <c r="D2720" t="s">
        <v>89</v>
      </c>
      <c r="E2720" t="s">
        <v>3637</v>
      </c>
      <c r="F2720" t="s">
        <v>3620</v>
      </c>
      <c r="G2720" s="1">
        <v>16812.259999999998</v>
      </c>
    </row>
    <row r="2721" spans="1:7">
      <c r="A2721" t="s">
        <v>2816</v>
      </c>
      <c r="B2721" s="6">
        <v>45700</v>
      </c>
      <c r="C2721" s="6" t="str">
        <f>TEXT(Table3[[#This Row],[transaction_date]], "yyyy-mm")</f>
        <v>2025-02</v>
      </c>
      <c r="D2721" t="s">
        <v>78</v>
      </c>
      <c r="E2721" t="s">
        <v>3637</v>
      </c>
      <c r="F2721" t="s">
        <v>3618</v>
      </c>
      <c r="G2721" s="1">
        <v>159738.37</v>
      </c>
    </row>
    <row r="2722" spans="1:7">
      <c r="A2722" t="s">
        <v>2817</v>
      </c>
      <c r="B2722" s="6">
        <v>45936</v>
      </c>
      <c r="C2722" s="6" t="str">
        <f>TEXT(Table3[[#This Row],[transaction_date]], "yyyy-mm")</f>
        <v>2025-10</v>
      </c>
      <c r="D2722" t="s">
        <v>84</v>
      </c>
      <c r="E2722" t="s">
        <v>3637</v>
      </c>
      <c r="F2722" t="s">
        <v>3621</v>
      </c>
      <c r="G2722" s="1">
        <v>784962.73</v>
      </c>
    </row>
    <row r="2723" spans="1:7">
      <c r="A2723" t="s">
        <v>2818</v>
      </c>
      <c r="B2723" s="6">
        <v>45732</v>
      </c>
      <c r="C2723" s="6" t="str">
        <f>TEXT(Table3[[#This Row],[transaction_date]], "yyyy-mm")</f>
        <v>2025-03</v>
      </c>
      <c r="D2723" t="s">
        <v>73</v>
      </c>
      <c r="E2723" t="s">
        <v>3636</v>
      </c>
      <c r="F2723" t="s">
        <v>3613</v>
      </c>
      <c r="G2723" s="1">
        <v>2836486.7</v>
      </c>
    </row>
    <row r="2724" spans="1:7">
      <c r="A2724" t="s">
        <v>2819</v>
      </c>
      <c r="B2724" s="6">
        <v>45995</v>
      </c>
      <c r="C2724" s="6" t="str">
        <f>TEXT(Table3[[#This Row],[transaction_date]], "yyyy-mm")</f>
        <v>2025-12</v>
      </c>
      <c r="D2724" t="s">
        <v>77</v>
      </c>
      <c r="E2724" t="s">
        <v>3637</v>
      </c>
      <c r="F2724" t="s">
        <v>3619</v>
      </c>
      <c r="G2724" s="1">
        <v>15064350.970000001</v>
      </c>
    </row>
    <row r="2725" spans="1:7">
      <c r="A2725" t="s">
        <v>2820</v>
      </c>
      <c r="B2725" s="6">
        <v>46010</v>
      </c>
      <c r="C2725" s="6" t="str">
        <f>TEXT(Table3[[#This Row],[transaction_date]], "yyyy-mm")</f>
        <v>2025-12</v>
      </c>
      <c r="D2725" t="s">
        <v>73</v>
      </c>
      <c r="E2725" t="s">
        <v>3636</v>
      </c>
      <c r="F2725" t="s">
        <v>3607</v>
      </c>
      <c r="G2725" s="1">
        <v>656230.68000000005</v>
      </c>
    </row>
    <row r="2726" spans="1:7">
      <c r="A2726" t="s">
        <v>2821</v>
      </c>
      <c r="B2726" s="6">
        <v>45880</v>
      </c>
      <c r="C2726" s="6" t="str">
        <f>TEXT(Table3[[#This Row],[transaction_date]], "yyyy-mm")</f>
        <v>2025-08</v>
      </c>
      <c r="D2726" t="s">
        <v>77</v>
      </c>
      <c r="E2726" t="s">
        <v>3636</v>
      </c>
      <c r="F2726" t="s">
        <v>3611</v>
      </c>
      <c r="G2726" s="1">
        <v>6908691.1600000001</v>
      </c>
    </row>
    <row r="2727" spans="1:7">
      <c r="A2727" t="s">
        <v>2822</v>
      </c>
      <c r="B2727" s="6">
        <v>45760</v>
      </c>
      <c r="C2727" s="6" t="str">
        <f>TEXT(Table3[[#This Row],[transaction_date]], "yyyy-mm")</f>
        <v>2025-04</v>
      </c>
      <c r="D2727" t="s">
        <v>78</v>
      </c>
      <c r="E2727" t="s">
        <v>3637</v>
      </c>
      <c r="F2727" t="s">
        <v>3621</v>
      </c>
      <c r="G2727" s="1">
        <v>3697675.27</v>
      </c>
    </row>
    <row r="2728" spans="1:7">
      <c r="A2728" t="s">
        <v>2823</v>
      </c>
      <c r="B2728" s="6">
        <v>45843</v>
      </c>
      <c r="C2728" s="6" t="str">
        <f>TEXT(Table3[[#This Row],[transaction_date]], "yyyy-mm")</f>
        <v>2025-07</v>
      </c>
      <c r="D2728" t="s">
        <v>79</v>
      </c>
      <c r="E2728" t="s">
        <v>3636</v>
      </c>
      <c r="F2728" t="s">
        <v>3613</v>
      </c>
      <c r="G2728" s="1">
        <v>613104.91</v>
      </c>
    </row>
    <row r="2729" spans="1:7">
      <c r="A2729" t="s">
        <v>2824</v>
      </c>
      <c r="B2729" s="6">
        <v>45972</v>
      </c>
      <c r="C2729" s="6" t="str">
        <f>TEXT(Table3[[#This Row],[transaction_date]], "yyyy-mm")</f>
        <v>2025-11</v>
      </c>
      <c r="D2729" t="s">
        <v>74</v>
      </c>
      <c r="E2729" t="s">
        <v>3637</v>
      </c>
      <c r="F2729" t="s">
        <v>3616</v>
      </c>
      <c r="G2729" s="1">
        <v>97434.09</v>
      </c>
    </row>
    <row r="2730" spans="1:7">
      <c r="A2730" t="s">
        <v>2825</v>
      </c>
      <c r="B2730" s="6">
        <v>45752</v>
      </c>
      <c r="C2730" s="6" t="str">
        <f>TEXT(Table3[[#This Row],[transaction_date]], "yyyy-mm")</f>
        <v>2025-04</v>
      </c>
      <c r="D2730" t="s">
        <v>90</v>
      </c>
      <c r="E2730" t="s">
        <v>3636</v>
      </c>
      <c r="F2730" t="s">
        <v>3608</v>
      </c>
      <c r="G2730" s="1">
        <v>11945329.439999999</v>
      </c>
    </row>
    <row r="2731" spans="1:7">
      <c r="A2731" t="s">
        <v>2826</v>
      </c>
      <c r="B2731" s="6">
        <v>45694</v>
      </c>
      <c r="C2731" s="6" t="str">
        <f>TEXT(Table3[[#This Row],[transaction_date]], "yyyy-mm")</f>
        <v>2025-02</v>
      </c>
      <c r="D2731" t="s">
        <v>3597</v>
      </c>
      <c r="E2731" t="s">
        <v>3636</v>
      </c>
      <c r="F2731" t="s">
        <v>3606</v>
      </c>
      <c r="G2731" s="1">
        <v>98064.18</v>
      </c>
    </row>
    <row r="2732" spans="1:7">
      <c r="A2732" t="s">
        <v>2827</v>
      </c>
      <c r="B2732" s="6">
        <v>45916</v>
      </c>
      <c r="C2732" s="6" t="str">
        <f>TEXT(Table3[[#This Row],[transaction_date]], "yyyy-mm")</f>
        <v>2025-09</v>
      </c>
      <c r="D2732" t="s">
        <v>80</v>
      </c>
      <c r="E2732" t="s">
        <v>3637</v>
      </c>
      <c r="F2732" t="s">
        <v>3615</v>
      </c>
      <c r="G2732" s="1">
        <v>12243.56</v>
      </c>
    </row>
    <row r="2733" spans="1:7">
      <c r="A2733" t="s">
        <v>2828</v>
      </c>
      <c r="B2733" s="6">
        <v>45727</v>
      </c>
      <c r="C2733" s="6" t="str">
        <f>TEXT(Table3[[#This Row],[transaction_date]], "yyyy-mm")</f>
        <v>2025-03</v>
      </c>
      <c r="D2733" t="s">
        <v>78</v>
      </c>
      <c r="E2733" t="s">
        <v>3637</v>
      </c>
      <c r="F2733" t="s">
        <v>3614</v>
      </c>
      <c r="G2733" s="1">
        <v>8704598.6799999997</v>
      </c>
    </row>
    <row r="2734" spans="1:7">
      <c r="A2734" t="s">
        <v>2829</v>
      </c>
      <c r="B2734" s="6">
        <v>45962</v>
      </c>
      <c r="C2734" s="6" t="str">
        <f>TEXT(Table3[[#This Row],[transaction_date]], "yyyy-mm")</f>
        <v>2025-11</v>
      </c>
      <c r="D2734" t="s">
        <v>80</v>
      </c>
      <c r="E2734" t="s">
        <v>3636</v>
      </c>
      <c r="F2734" t="s">
        <v>3607</v>
      </c>
      <c r="G2734" s="1">
        <v>3472083.16</v>
      </c>
    </row>
    <row r="2735" spans="1:7">
      <c r="A2735" t="s">
        <v>2830</v>
      </c>
      <c r="B2735" s="6">
        <v>46018</v>
      </c>
      <c r="C2735" s="6" t="str">
        <f>TEXT(Table3[[#This Row],[transaction_date]], "yyyy-mm")</f>
        <v>2025-12</v>
      </c>
      <c r="D2735" t="s">
        <v>76</v>
      </c>
      <c r="E2735" t="s">
        <v>3637</v>
      </c>
      <c r="F2735" t="s">
        <v>3619</v>
      </c>
      <c r="G2735" s="1">
        <v>5801367.9199999999</v>
      </c>
    </row>
    <row r="2736" spans="1:7">
      <c r="A2736" t="s">
        <v>2831</v>
      </c>
      <c r="B2736" s="6">
        <v>45729</v>
      </c>
      <c r="C2736" s="6" t="str">
        <f>TEXT(Table3[[#This Row],[transaction_date]], "yyyy-mm")</f>
        <v>2025-03</v>
      </c>
      <c r="D2736" t="s">
        <v>90</v>
      </c>
      <c r="E2736" t="s">
        <v>3637</v>
      </c>
      <c r="F2736" t="s">
        <v>3619</v>
      </c>
      <c r="G2736" s="1">
        <v>2249448.88</v>
      </c>
    </row>
    <row r="2737" spans="1:7">
      <c r="A2737" t="s">
        <v>2832</v>
      </c>
      <c r="B2737" s="6">
        <v>45935</v>
      </c>
      <c r="C2737" s="6" t="str">
        <f>TEXT(Table3[[#This Row],[transaction_date]], "yyyy-mm")</f>
        <v>2025-10</v>
      </c>
      <c r="D2737" t="s">
        <v>76</v>
      </c>
      <c r="E2737" t="s">
        <v>3636</v>
      </c>
      <c r="F2737" t="s">
        <v>3611</v>
      </c>
      <c r="G2737" s="1">
        <v>2967289.92</v>
      </c>
    </row>
    <row r="2738" spans="1:7">
      <c r="A2738" t="s">
        <v>2833</v>
      </c>
      <c r="B2738" s="6">
        <v>45937</v>
      </c>
      <c r="C2738" s="6" t="str">
        <f>TEXT(Table3[[#This Row],[transaction_date]], "yyyy-mm")</f>
        <v>2025-10</v>
      </c>
      <c r="D2738" t="s">
        <v>93</v>
      </c>
      <c r="E2738" t="s">
        <v>3636</v>
      </c>
      <c r="F2738" t="s">
        <v>3608</v>
      </c>
      <c r="G2738" s="1">
        <v>5024499.58</v>
      </c>
    </row>
    <row r="2739" spans="1:7">
      <c r="A2739" t="s">
        <v>2834</v>
      </c>
      <c r="B2739" s="6">
        <v>45892</v>
      </c>
      <c r="C2739" s="6" t="str">
        <f>TEXT(Table3[[#This Row],[transaction_date]], "yyyy-mm")</f>
        <v>2025-08</v>
      </c>
      <c r="D2739" t="s">
        <v>84</v>
      </c>
      <c r="E2739" t="s">
        <v>3637</v>
      </c>
      <c r="F2739" t="s">
        <v>3616</v>
      </c>
      <c r="G2739" s="1">
        <v>17647986.190000001</v>
      </c>
    </row>
    <row r="2740" spans="1:7">
      <c r="A2740" t="s">
        <v>2835</v>
      </c>
      <c r="B2740" s="6">
        <v>45987</v>
      </c>
      <c r="C2740" s="6" t="str">
        <f>TEXT(Table3[[#This Row],[transaction_date]], "yyyy-mm")</f>
        <v>2025-11</v>
      </c>
      <c r="D2740" t="s">
        <v>80</v>
      </c>
      <c r="E2740" t="s">
        <v>3637</v>
      </c>
      <c r="F2740" t="s">
        <v>3614</v>
      </c>
      <c r="G2740" s="1">
        <v>211921.99</v>
      </c>
    </row>
    <row r="2741" spans="1:7">
      <c r="A2741" t="s">
        <v>2836</v>
      </c>
      <c r="B2741" s="6">
        <v>45972</v>
      </c>
      <c r="C2741" s="6" t="str">
        <f>TEXT(Table3[[#This Row],[transaction_date]], "yyyy-mm")</f>
        <v>2025-11</v>
      </c>
      <c r="D2741" t="s">
        <v>79</v>
      </c>
      <c r="E2741" t="s">
        <v>3637</v>
      </c>
      <c r="F2741" t="s">
        <v>3617</v>
      </c>
      <c r="G2741" s="1">
        <v>2800377.92</v>
      </c>
    </row>
    <row r="2742" spans="1:7">
      <c r="A2742" t="s">
        <v>2837</v>
      </c>
      <c r="B2742" s="6">
        <v>45733</v>
      </c>
      <c r="C2742" s="6" t="str">
        <f>TEXT(Table3[[#This Row],[transaction_date]], "yyyy-mm")</f>
        <v>2025-03</v>
      </c>
      <c r="D2742" t="s">
        <v>73</v>
      </c>
      <c r="E2742" t="s">
        <v>3637</v>
      </c>
      <c r="F2742" t="s">
        <v>3619</v>
      </c>
      <c r="G2742" s="1">
        <v>123419.54</v>
      </c>
    </row>
    <row r="2743" spans="1:7">
      <c r="A2743" t="s">
        <v>2838</v>
      </c>
      <c r="B2743" s="6">
        <v>45797</v>
      </c>
      <c r="C2743" s="6" t="str">
        <f>TEXT(Table3[[#This Row],[transaction_date]], "yyyy-mm")</f>
        <v>2025-05</v>
      </c>
      <c r="D2743" t="s">
        <v>75</v>
      </c>
      <c r="E2743" t="s">
        <v>3637</v>
      </c>
      <c r="F2743" t="s">
        <v>3622</v>
      </c>
      <c r="G2743" s="1">
        <v>8870549.5399999991</v>
      </c>
    </row>
    <row r="2744" spans="1:7">
      <c r="A2744" t="s">
        <v>2839</v>
      </c>
      <c r="B2744" s="6">
        <v>45762</v>
      </c>
      <c r="C2744" s="6" t="str">
        <f>TEXT(Table3[[#This Row],[transaction_date]], "yyyy-mm")</f>
        <v>2025-04</v>
      </c>
      <c r="D2744" t="s">
        <v>3597</v>
      </c>
      <c r="E2744" t="s">
        <v>3637</v>
      </c>
      <c r="F2744" t="s">
        <v>3618</v>
      </c>
      <c r="G2744" s="1">
        <v>10696233.960000001</v>
      </c>
    </row>
    <row r="2745" spans="1:7">
      <c r="A2745" t="s">
        <v>2840</v>
      </c>
      <c r="B2745" s="6">
        <v>45768</v>
      </c>
      <c r="C2745" s="6" t="str">
        <f>TEXT(Table3[[#This Row],[transaction_date]], "yyyy-mm")</f>
        <v>2025-04</v>
      </c>
      <c r="D2745" t="s">
        <v>3597</v>
      </c>
      <c r="E2745" t="s">
        <v>3636</v>
      </c>
      <c r="F2745" t="s">
        <v>3612</v>
      </c>
      <c r="G2745" s="1">
        <v>1355160.91</v>
      </c>
    </row>
    <row r="2746" spans="1:7">
      <c r="A2746" t="s">
        <v>2841</v>
      </c>
      <c r="B2746" s="6">
        <v>45768</v>
      </c>
      <c r="C2746" s="6" t="str">
        <f>TEXT(Table3[[#This Row],[transaction_date]], "yyyy-mm")</f>
        <v>2025-04</v>
      </c>
      <c r="D2746" t="s">
        <v>79</v>
      </c>
      <c r="E2746" t="s">
        <v>3636</v>
      </c>
      <c r="F2746" t="s">
        <v>3604</v>
      </c>
      <c r="G2746" s="1">
        <v>588956.11</v>
      </c>
    </row>
    <row r="2747" spans="1:7">
      <c r="A2747" t="s">
        <v>2842</v>
      </c>
      <c r="B2747" s="6">
        <v>45879</v>
      </c>
      <c r="C2747" s="6" t="str">
        <f>TEXT(Table3[[#This Row],[transaction_date]], "yyyy-mm")</f>
        <v>2025-08</v>
      </c>
      <c r="D2747" t="s">
        <v>78</v>
      </c>
      <c r="E2747" t="s">
        <v>3636</v>
      </c>
      <c r="F2747" t="s">
        <v>3612</v>
      </c>
      <c r="G2747" s="1">
        <v>10623047.52</v>
      </c>
    </row>
    <row r="2748" spans="1:7">
      <c r="A2748" t="s">
        <v>2843</v>
      </c>
      <c r="B2748" s="6">
        <v>45971</v>
      </c>
      <c r="C2748" s="6" t="str">
        <f>TEXT(Table3[[#This Row],[transaction_date]], "yyyy-mm")</f>
        <v>2025-11</v>
      </c>
      <c r="D2748" t="s">
        <v>90</v>
      </c>
      <c r="E2748" t="s">
        <v>3636</v>
      </c>
      <c r="F2748" t="s">
        <v>3612</v>
      </c>
      <c r="G2748" s="1">
        <v>1034115.83</v>
      </c>
    </row>
    <row r="2749" spans="1:7">
      <c r="A2749" t="s">
        <v>2844</v>
      </c>
      <c r="B2749" s="6">
        <v>45710</v>
      </c>
      <c r="C2749" s="6" t="str">
        <f>TEXT(Table3[[#This Row],[transaction_date]], "yyyy-mm")</f>
        <v>2025-02</v>
      </c>
      <c r="D2749" t="s">
        <v>77</v>
      </c>
      <c r="E2749" t="s">
        <v>3637</v>
      </c>
      <c r="F2749" t="s">
        <v>3622</v>
      </c>
      <c r="G2749" s="1">
        <v>3495789.31</v>
      </c>
    </row>
    <row r="2750" spans="1:7">
      <c r="A2750" t="s">
        <v>2845</v>
      </c>
      <c r="B2750" s="6">
        <v>45660</v>
      </c>
      <c r="C2750" s="6" t="str">
        <f>TEXT(Table3[[#This Row],[transaction_date]], "yyyy-mm")</f>
        <v>2025-01</v>
      </c>
      <c r="D2750" t="s">
        <v>82</v>
      </c>
      <c r="E2750" t="s">
        <v>3637</v>
      </c>
      <c r="F2750" t="s">
        <v>3622</v>
      </c>
      <c r="G2750" s="1">
        <v>10340439.380000001</v>
      </c>
    </row>
    <row r="2751" spans="1:7">
      <c r="A2751" t="s">
        <v>2846</v>
      </c>
      <c r="B2751" s="6">
        <v>45743</v>
      </c>
      <c r="C2751" s="6" t="str">
        <f>TEXT(Table3[[#This Row],[transaction_date]], "yyyy-mm")</f>
        <v>2025-03</v>
      </c>
      <c r="D2751" t="s">
        <v>73</v>
      </c>
      <c r="E2751" t="s">
        <v>3636</v>
      </c>
      <c r="F2751" t="s">
        <v>3609</v>
      </c>
      <c r="G2751" s="1">
        <v>551992.94999999995</v>
      </c>
    </row>
    <row r="2752" spans="1:7">
      <c r="A2752" t="s">
        <v>2847</v>
      </c>
      <c r="B2752" s="6">
        <v>45942</v>
      </c>
      <c r="C2752" s="6" t="str">
        <f>TEXT(Table3[[#This Row],[transaction_date]], "yyyy-mm")</f>
        <v>2025-10</v>
      </c>
      <c r="D2752" t="s">
        <v>77</v>
      </c>
      <c r="E2752" t="s">
        <v>3637</v>
      </c>
      <c r="F2752" t="s">
        <v>3622</v>
      </c>
      <c r="G2752" s="1">
        <v>808398.74</v>
      </c>
    </row>
    <row r="2753" spans="1:7">
      <c r="A2753" t="s">
        <v>2848</v>
      </c>
      <c r="B2753" s="6">
        <v>45716</v>
      </c>
      <c r="C2753" s="6" t="str">
        <f>TEXT(Table3[[#This Row],[transaction_date]], "yyyy-mm")</f>
        <v>2025-02</v>
      </c>
      <c r="D2753" t="s">
        <v>80</v>
      </c>
      <c r="E2753" t="s">
        <v>3636</v>
      </c>
      <c r="F2753" t="s">
        <v>3610</v>
      </c>
      <c r="G2753" s="1">
        <v>37491.18</v>
      </c>
    </row>
    <row r="2754" spans="1:7">
      <c r="A2754" t="s">
        <v>2849</v>
      </c>
      <c r="B2754" s="6">
        <v>45987</v>
      </c>
      <c r="C2754" s="6" t="str">
        <f>TEXT(Table3[[#This Row],[transaction_date]], "yyyy-mm")</f>
        <v>2025-11</v>
      </c>
      <c r="D2754" t="s">
        <v>90</v>
      </c>
      <c r="E2754" t="s">
        <v>3637</v>
      </c>
      <c r="F2754" t="s">
        <v>3621</v>
      </c>
      <c r="G2754" s="1">
        <v>20766765.600000001</v>
      </c>
    </row>
    <row r="2755" spans="1:7">
      <c r="A2755" t="s">
        <v>2850</v>
      </c>
      <c r="B2755" s="6">
        <v>45820</v>
      </c>
      <c r="C2755" s="6" t="str">
        <f>TEXT(Table3[[#This Row],[transaction_date]], "yyyy-mm")</f>
        <v>2025-06</v>
      </c>
      <c r="D2755" t="s">
        <v>84</v>
      </c>
      <c r="E2755" t="s">
        <v>3636</v>
      </c>
      <c r="F2755" t="s">
        <v>3613</v>
      </c>
      <c r="G2755" s="1">
        <v>23735983.09</v>
      </c>
    </row>
    <row r="2756" spans="1:7">
      <c r="A2756" t="s">
        <v>2851</v>
      </c>
      <c r="B2756" s="6">
        <v>45781</v>
      </c>
      <c r="C2756" s="6" t="str">
        <f>TEXT(Table3[[#This Row],[transaction_date]], "yyyy-mm")</f>
        <v>2025-05</v>
      </c>
      <c r="D2756" t="s">
        <v>79</v>
      </c>
      <c r="E2756" t="s">
        <v>3637</v>
      </c>
      <c r="F2756" t="s">
        <v>3614</v>
      </c>
      <c r="G2756" s="1">
        <v>2182655.37</v>
      </c>
    </row>
    <row r="2757" spans="1:7">
      <c r="A2757" t="s">
        <v>2852</v>
      </c>
      <c r="B2757" s="6">
        <v>45954</v>
      </c>
      <c r="C2757" s="6" t="str">
        <f>TEXT(Table3[[#This Row],[transaction_date]], "yyyy-mm")</f>
        <v>2025-10</v>
      </c>
      <c r="D2757" t="s">
        <v>80</v>
      </c>
      <c r="E2757" t="s">
        <v>3637</v>
      </c>
      <c r="F2757" t="s">
        <v>3614</v>
      </c>
      <c r="G2757" s="1">
        <v>917666.43</v>
      </c>
    </row>
    <row r="2758" spans="1:7">
      <c r="A2758" t="s">
        <v>2853</v>
      </c>
      <c r="B2758" s="6">
        <v>45974</v>
      </c>
      <c r="C2758" s="6" t="str">
        <f>TEXT(Table3[[#This Row],[transaction_date]], "yyyy-mm")</f>
        <v>2025-11</v>
      </c>
      <c r="D2758" t="s">
        <v>89</v>
      </c>
      <c r="E2758" t="s">
        <v>3637</v>
      </c>
      <c r="F2758" t="s">
        <v>3620</v>
      </c>
      <c r="G2758" s="1">
        <v>45398.53</v>
      </c>
    </row>
    <row r="2759" spans="1:7">
      <c r="A2759" t="s">
        <v>2854</v>
      </c>
      <c r="B2759" s="6">
        <v>45781</v>
      </c>
      <c r="C2759" s="6" t="str">
        <f>TEXT(Table3[[#This Row],[transaction_date]], "yyyy-mm")</f>
        <v>2025-05</v>
      </c>
      <c r="D2759" t="s">
        <v>95</v>
      </c>
      <c r="E2759" t="s">
        <v>3636</v>
      </c>
      <c r="F2759" t="s">
        <v>3613</v>
      </c>
      <c r="G2759" s="1">
        <v>8488261.8399999999</v>
      </c>
    </row>
    <row r="2760" spans="1:7">
      <c r="A2760" t="s">
        <v>2855</v>
      </c>
      <c r="B2760" s="6">
        <v>45926</v>
      </c>
      <c r="C2760" s="6" t="str">
        <f>TEXT(Table3[[#This Row],[transaction_date]], "yyyy-mm")</f>
        <v>2025-09</v>
      </c>
      <c r="D2760" t="s">
        <v>73</v>
      </c>
      <c r="E2760" t="s">
        <v>3637</v>
      </c>
      <c r="F2760" t="s">
        <v>3617</v>
      </c>
      <c r="G2760" s="1">
        <v>1696203.59</v>
      </c>
    </row>
    <row r="2761" spans="1:7">
      <c r="A2761" t="s">
        <v>2856</v>
      </c>
      <c r="B2761" s="6">
        <v>45788</v>
      </c>
      <c r="C2761" s="6" t="str">
        <f>TEXT(Table3[[#This Row],[transaction_date]], "yyyy-mm")</f>
        <v>2025-05</v>
      </c>
      <c r="D2761" t="s">
        <v>3597</v>
      </c>
      <c r="E2761" t="s">
        <v>3636</v>
      </c>
      <c r="F2761" t="s">
        <v>3604</v>
      </c>
      <c r="G2761" s="1">
        <v>10789339.84</v>
      </c>
    </row>
    <row r="2762" spans="1:7">
      <c r="A2762" t="s">
        <v>2857</v>
      </c>
      <c r="B2762" s="6">
        <v>45802</v>
      </c>
      <c r="C2762" s="6" t="str">
        <f>TEXT(Table3[[#This Row],[transaction_date]], "yyyy-mm")</f>
        <v>2025-05</v>
      </c>
      <c r="D2762" t="s">
        <v>89</v>
      </c>
      <c r="E2762" t="s">
        <v>3637</v>
      </c>
      <c r="F2762" t="s">
        <v>3620</v>
      </c>
      <c r="G2762" s="1">
        <v>35381.089999999997</v>
      </c>
    </row>
    <row r="2763" spans="1:7">
      <c r="A2763" t="s">
        <v>2858</v>
      </c>
      <c r="B2763" s="6">
        <v>45984</v>
      </c>
      <c r="C2763" s="6" t="str">
        <f>TEXT(Table3[[#This Row],[transaction_date]], "yyyy-mm")</f>
        <v>2025-11</v>
      </c>
      <c r="D2763" t="s">
        <v>73</v>
      </c>
      <c r="E2763" t="s">
        <v>3637</v>
      </c>
      <c r="F2763" t="s">
        <v>3619</v>
      </c>
      <c r="G2763" s="1">
        <v>416582.69</v>
      </c>
    </row>
    <row r="2764" spans="1:7">
      <c r="A2764" t="s">
        <v>2859</v>
      </c>
      <c r="B2764" s="6">
        <v>46008</v>
      </c>
      <c r="C2764" s="6" t="str">
        <f>TEXT(Table3[[#This Row],[transaction_date]], "yyyy-mm")</f>
        <v>2025-12</v>
      </c>
      <c r="D2764" t="s">
        <v>73</v>
      </c>
      <c r="E2764" t="s">
        <v>3637</v>
      </c>
      <c r="F2764" t="s">
        <v>3617</v>
      </c>
      <c r="G2764" s="1">
        <v>865425.1</v>
      </c>
    </row>
    <row r="2765" spans="1:7">
      <c r="A2765" t="s">
        <v>2860</v>
      </c>
      <c r="B2765" s="6">
        <v>45744</v>
      </c>
      <c r="C2765" s="6" t="str">
        <f>TEXT(Table3[[#This Row],[transaction_date]], "yyyy-mm")</f>
        <v>2025-03</v>
      </c>
      <c r="D2765" t="s">
        <v>78</v>
      </c>
      <c r="E2765" t="s">
        <v>3636</v>
      </c>
      <c r="F2765" t="s">
        <v>3610</v>
      </c>
      <c r="G2765" s="1">
        <v>2082021.17</v>
      </c>
    </row>
    <row r="2766" spans="1:7">
      <c r="A2766" t="s">
        <v>2861</v>
      </c>
      <c r="B2766" s="6">
        <v>45869</v>
      </c>
      <c r="C2766" s="6" t="str">
        <f>TEXT(Table3[[#This Row],[transaction_date]], "yyyy-mm")</f>
        <v>2025-07</v>
      </c>
      <c r="D2766" t="s">
        <v>95</v>
      </c>
      <c r="E2766" t="s">
        <v>3636</v>
      </c>
      <c r="F2766" t="s">
        <v>3606</v>
      </c>
      <c r="G2766" s="1">
        <v>711124.21</v>
      </c>
    </row>
    <row r="2767" spans="1:7">
      <c r="A2767" t="s">
        <v>2862</v>
      </c>
      <c r="B2767" s="6">
        <v>45697</v>
      </c>
      <c r="C2767" s="6" t="str">
        <f>TEXT(Table3[[#This Row],[transaction_date]], "yyyy-mm")</f>
        <v>2025-02</v>
      </c>
      <c r="D2767" t="s">
        <v>93</v>
      </c>
      <c r="E2767" t="s">
        <v>3637</v>
      </c>
      <c r="F2767" t="s">
        <v>3616</v>
      </c>
      <c r="G2767" s="1">
        <v>17383651.16</v>
      </c>
    </row>
    <row r="2768" spans="1:7">
      <c r="A2768" t="s">
        <v>2863</v>
      </c>
      <c r="B2768" s="6">
        <v>45715</v>
      </c>
      <c r="C2768" s="6" t="str">
        <f>TEXT(Table3[[#This Row],[transaction_date]], "yyyy-mm")</f>
        <v>2025-02</v>
      </c>
      <c r="D2768" t="s">
        <v>95</v>
      </c>
      <c r="E2768" t="s">
        <v>3636</v>
      </c>
      <c r="F2768" t="s">
        <v>3606</v>
      </c>
      <c r="G2768" s="1">
        <v>8026096.0199999996</v>
      </c>
    </row>
    <row r="2769" spans="1:7">
      <c r="A2769" t="s">
        <v>2864</v>
      </c>
      <c r="B2769" s="6">
        <v>45860</v>
      </c>
      <c r="C2769" s="6" t="str">
        <f>TEXT(Table3[[#This Row],[transaction_date]], "yyyy-mm")</f>
        <v>2025-07</v>
      </c>
      <c r="D2769" t="s">
        <v>3597</v>
      </c>
      <c r="E2769" t="s">
        <v>3636</v>
      </c>
      <c r="F2769" t="s">
        <v>3606</v>
      </c>
      <c r="G2769" s="1">
        <v>2799152.54</v>
      </c>
    </row>
    <row r="2770" spans="1:7">
      <c r="A2770" t="s">
        <v>2865</v>
      </c>
      <c r="B2770" s="6">
        <v>45787</v>
      </c>
      <c r="C2770" s="6" t="str">
        <f>TEXT(Table3[[#This Row],[transaction_date]], "yyyy-mm")</f>
        <v>2025-05</v>
      </c>
      <c r="D2770" t="s">
        <v>95</v>
      </c>
      <c r="E2770" t="s">
        <v>3636</v>
      </c>
      <c r="F2770" t="s">
        <v>3612</v>
      </c>
      <c r="G2770" s="1">
        <v>562276.52</v>
      </c>
    </row>
    <row r="2771" spans="1:7">
      <c r="A2771" t="s">
        <v>2866</v>
      </c>
      <c r="B2771" s="6">
        <v>45868</v>
      </c>
      <c r="C2771" s="6" t="str">
        <f>TEXT(Table3[[#This Row],[transaction_date]], "yyyy-mm")</f>
        <v>2025-07</v>
      </c>
      <c r="D2771" t="s">
        <v>85</v>
      </c>
      <c r="E2771" t="s">
        <v>3637</v>
      </c>
      <c r="F2771" t="s">
        <v>3623</v>
      </c>
      <c r="G2771" s="1">
        <v>1165980.6599999999</v>
      </c>
    </row>
    <row r="2772" spans="1:7">
      <c r="A2772" t="s">
        <v>2867</v>
      </c>
      <c r="B2772" s="6">
        <v>45926</v>
      </c>
      <c r="C2772" s="6" t="str">
        <f>TEXT(Table3[[#This Row],[transaction_date]], "yyyy-mm")</f>
        <v>2025-09</v>
      </c>
      <c r="D2772" t="s">
        <v>79</v>
      </c>
      <c r="E2772" t="s">
        <v>3637</v>
      </c>
      <c r="F2772" t="s">
        <v>3618</v>
      </c>
      <c r="G2772" s="1">
        <v>407060.45</v>
      </c>
    </row>
    <row r="2773" spans="1:7">
      <c r="A2773" t="s">
        <v>2868</v>
      </c>
      <c r="B2773" s="6">
        <v>45773</v>
      </c>
      <c r="C2773" s="6" t="str">
        <f>TEXT(Table3[[#This Row],[transaction_date]], "yyyy-mm")</f>
        <v>2025-04</v>
      </c>
      <c r="D2773" t="s">
        <v>75</v>
      </c>
      <c r="E2773" t="s">
        <v>3636</v>
      </c>
      <c r="F2773" t="s">
        <v>3609</v>
      </c>
      <c r="G2773" s="1">
        <v>6115207.3700000001</v>
      </c>
    </row>
    <row r="2774" spans="1:7">
      <c r="A2774" t="s">
        <v>2869</v>
      </c>
      <c r="B2774" s="6">
        <v>45748</v>
      </c>
      <c r="C2774" s="6" t="str">
        <f>TEXT(Table3[[#This Row],[transaction_date]], "yyyy-mm")</f>
        <v>2025-04</v>
      </c>
      <c r="D2774" t="s">
        <v>93</v>
      </c>
      <c r="E2774" t="s">
        <v>3637</v>
      </c>
      <c r="F2774" t="s">
        <v>3614</v>
      </c>
      <c r="G2774" s="1">
        <v>10571666.42</v>
      </c>
    </row>
    <row r="2775" spans="1:7">
      <c r="A2775" t="s">
        <v>2870</v>
      </c>
      <c r="B2775" s="6">
        <v>45778</v>
      </c>
      <c r="C2775" s="6" t="str">
        <f>TEXT(Table3[[#This Row],[transaction_date]], "yyyy-mm")</f>
        <v>2025-05</v>
      </c>
      <c r="D2775" t="s">
        <v>85</v>
      </c>
      <c r="E2775" t="s">
        <v>3636</v>
      </c>
      <c r="F2775" t="s">
        <v>3606</v>
      </c>
      <c r="G2775" s="1">
        <v>1369414.79</v>
      </c>
    </row>
    <row r="2776" spans="1:7">
      <c r="A2776" t="s">
        <v>2871</v>
      </c>
      <c r="B2776" s="6">
        <v>45859</v>
      </c>
      <c r="C2776" s="6" t="str">
        <f>TEXT(Table3[[#This Row],[transaction_date]], "yyyy-mm")</f>
        <v>2025-07</v>
      </c>
      <c r="D2776" t="s">
        <v>93</v>
      </c>
      <c r="E2776" t="s">
        <v>3637</v>
      </c>
      <c r="F2776" t="s">
        <v>3623</v>
      </c>
      <c r="G2776" s="1">
        <v>10423665.24</v>
      </c>
    </row>
    <row r="2777" spans="1:7">
      <c r="A2777" t="s">
        <v>2872</v>
      </c>
      <c r="B2777" s="6">
        <v>45706</v>
      </c>
      <c r="C2777" s="6" t="str">
        <f>TEXT(Table3[[#This Row],[transaction_date]], "yyyy-mm")</f>
        <v>2025-02</v>
      </c>
      <c r="D2777" t="s">
        <v>74</v>
      </c>
      <c r="E2777" t="s">
        <v>3637</v>
      </c>
      <c r="F2777" t="s">
        <v>3620</v>
      </c>
      <c r="G2777" s="1">
        <v>312289.38</v>
      </c>
    </row>
    <row r="2778" spans="1:7">
      <c r="A2778" t="s">
        <v>2873</v>
      </c>
      <c r="B2778" s="6">
        <v>45856</v>
      </c>
      <c r="C2778" s="6" t="str">
        <f>TEXT(Table3[[#This Row],[transaction_date]], "yyyy-mm")</f>
        <v>2025-07</v>
      </c>
      <c r="D2778" t="s">
        <v>82</v>
      </c>
      <c r="E2778" t="s">
        <v>3636</v>
      </c>
      <c r="F2778" t="s">
        <v>3607</v>
      </c>
      <c r="G2778" s="1">
        <v>19107894.300000001</v>
      </c>
    </row>
    <row r="2779" spans="1:7">
      <c r="A2779" t="s">
        <v>2874</v>
      </c>
      <c r="B2779" s="6">
        <v>45835</v>
      </c>
      <c r="C2779" s="6" t="str">
        <f>TEXT(Table3[[#This Row],[transaction_date]], "yyyy-mm")</f>
        <v>2025-06</v>
      </c>
      <c r="D2779" t="s">
        <v>76</v>
      </c>
      <c r="E2779" t="s">
        <v>3637</v>
      </c>
      <c r="F2779" t="s">
        <v>3617</v>
      </c>
      <c r="G2779" s="1">
        <v>3824697.67</v>
      </c>
    </row>
    <row r="2780" spans="1:7">
      <c r="A2780" t="s">
        <v>2875</v>
      </c>
      <c r="B2780" s="6">
        <v>45717</v>
      </c>
      <c r="C2780" s="6" t="str">
        <f>TEXT(Table3[[#This Row],[transaction_date]], "yyyy-mm")</f>
        <v>2025-03</v>
      </c>
      <c r="D2780" t="s">
        <v>78</v>
      </c>
      <c r="E2780" t="s">
        <v>3637</v>
      </c>
      <c r="F2780" t="s">
        <v>3622</v>
      </c>
      <c r="G2780" s="1">
        <v>1485621.26</v>
      </c>
    </row>
    <row r="2781" spans="1:7">
      <c r="A2781" t="s">
        <v>2876</v>
      </c>
      <c r="B2781" s="6">
        <v>45687</v>
      </c>
      <c r="C2781" s="6" t="str">
        <f>TEXT(Table3[[#This Row],[transaction_date]], "yyyy-mm")</f>
        <v>2025-01</v>
      </c>
      <c r="D2781" t="s">
        <v>85</v>
      </c>
      <c r="E2781" t="s">
        <v>3636</v>
      </c>
      <c r="F2781" t="s">
        <v>3612</v>
      </c>
      <c r="G2781" s="1">
        <v>304674.71999999997</v>
      </c>
    </row>
    <row r="2782" spans="1:7">
      <c r="A2782" t="s">
        <v>2877</v>
      </c>
      <c r="B2782" s="6">
        <v>45849</v>
      </c>
      <c r="C2782" s="6" t="str">
        <f>TEXT(Table3[[#This Row],[transaction_date]], "yyyy-mm")</f>
        <v>2025-07</v>
      </c>
      <c r="D2782" t="s">
        <v>74</v>
      </c>
      <c r="E2782" t="s">
        <v>3636</v>
      </c>
      <c r="F2782" t="s">
        <v>3612</v>
      </c>
      <c r="G2782" s="1">
        <v>453940.43</v>
      </c>
    </row>
    <row r="2783" spans="1:7">
      <c r="A2783" t="s">
        <v>2878</v>
      </c>
      <c r="B2783" s="6">
        <v>45789</v>
      </c>
      <c r="C2783" s="6" t="str">
        <f>TEXT(Table3[[#This Row],[transaction_date]], "yyyy-mm")</f>
        <v>2025-05</v>
      </c>
      <c r="D2783" t="s">
        <v>80</v>
      </c>
      <c r="E2783" t="s">
        <v>3637</v>
      </c>
      <c r="F2783" t="s">
        <v>3615</v>
      </c>
      <c r="G2783" s="1">
        <v>41604.75</v>
      </c>
    </row>
    <row r="2784" spans="1:7">
      <c r="A2784" t="s">
        <v>2879</v>
      </c>
      <c r="B2784" s="6">
        <v>45876</v>
      </c>
      <c r="C2784" s="6" t="str">
        <f>TEXT(Table3[[#This Row],[transaction_date]], "yyyy-mm")</f>
        <v>2025-08</v>
      </c>
      <c r="D2784" t="s">
        <v>3597</v>
      </c>
      <c r="E2784" t="s">
        <v>3636</v>
      </c>
      <c r="F2784" t="s">
        <v>3612</v>
      </c>
      <c r="G2784" s="1">
        <v>1198776.8799999999</v>
      </c>
    </row>
    <row r="2785" spans="1:7">
      <c r="A2785" t="s">
        <v>2880</v>
      </c>
      <c r="B2785" s="6">
        <v>45671</v>
      </c>
      <c r="C2785" s="6" t="str">
        <f>TEXT(Table3[[#This Row],[transaction_date]], "yyyy-mm")</f>
        <v>2025-01</v>
      </c>
      <c r="D2785" t="s">
        <v>79</v>
      </c>
      <c r="E2785" t="s">
        <v>3636</v>
      </c>
      <c r="F2785" t="s">
        <v>3607</v>
      </c>
      <c r="G2785" s="1">
        <v>929832.92</v>
      </c>
    </row>
    <row r="2786" spans="1:7">
      <c r="A2786" t="s">
        <v>2881</v>
      </c>
      <c r="B2786" s="6">
        <v>45828</v>
      </c>
      <c r="C2786" s="6" t="str">
        <f>TEXT(Table3[[#This Row],[transaction_date]], "yyyy-mm")</f>
        <v>2025-06</v>
      </c>
      <c r="D2786" t="s">
        <v>84</v>
      </c>
      <c r="E2786" t="s">
        <v>3637</v>
      </c>
      <c r="F2786" t="s">
        <v>3620</v>
      </c>
      <c r="G2786" s="1">
        <v>16447965.99</v>
      </c>
    </row>
    <row r="2787" spans="1:7">
      <c r="A2787" t="s">
        <v>2882</v>
      </c>
      <c r="B2787" s="6">
        <v>45678</v>
      </c>
      <c r="C2787" s="6" t="str">
        <f>TEXT(Table3[[#This Row],[transaction_date]], "yyyy-mm")</f>
        <v>2025-01</v>
      </c>
      <c r="D2787" t="s">
        <v>74</v>
      </c>
      <c r="E2787" t="s">
        <v>3637</v>
      </c>
      <c r="F2787" t="s">
        <v>3620</v>
      </c>
      <c r="G2787" s="1">
        <v>546942.14</v>
      </c>
    </row>
    <row r="2788" spans="1:7">
      <c r="A2788" t="s">
        <v>2883</v>
      </c>
      <c r="B2788" s="6">
        <v>45768</v>
      </c>
      <c r="C2788" s="6" t="str">
        <f>TEXT(Table3[[#This Row],[transaction_date]], "yyyy-mm")</f>
        <v>2025-04</v>
      </c>
      <c r="D2788" t="s">
        <v>73</v>
      </c>
      <c r="E2788" t="s">
        <v>3637</v>
      </c>
      <c r="F2788" t="s">
        <v>3617</v>
      </c>
      <c r="G2788" s="1">
        <v>1203139.8400000001</v>
      </c>
    </row>
    <row r="2789" spans="1:7">
      <c r="A2789" t="s">
        <v>2884</v>
      </c>
      <c r="B2789" s="6">
        <v>45701</v>
      </c>
      <c r="C2789" s="6" t="str">
        <f>TEXT(Table3[[#This Row],[transaction_date]], "yyyy-mm")</f>
        <v>2025-02</v>
      </c>
      <c r="D2789" t="s">
        <v>89</v>
      </c>
      <c r="E2789" t="s">
        <v>3636</v>
      </c>
      <c r="F2789" t="s">
        <v>3611</v>
      </c>
      <c r="G2789" s="1">
        <v>1847835.34</v>
      </c>
    </row>
    <row r="2790" spans="1:7">
      <c r="A2790" t="s">
        <v>2885</v>
      </c>
      <c r="B2790" s="6">
        <v>45896</v>
      </c>
      <c r="C2790" s="6" t="str">
        <f>TEXT(Table3[[#This Row],[transaction_date]], "yyyy-mm")</f>
        <v>2025-08</v>
      </c>
      <c r="D2790" t="s">
        <v>84</v>
      </c>
      <c r="E2790" t="s">
        <v>3637</v>
      </c>
      <c r="F2790" t="s">
        <v>3615</v>
      </c>
      <c r="G2790" s="1">
        <v>9018419.3200000003</v>
      </c>
    </row>
    <row r="2791" spans="1:7">
      <c r="A2791" t="s">
        <v>2886</v>
      </c>
      <c r="B2791" s="6">
        <v>45919</v>
      </c>
      <c r="C2791" s="6" t="str">
        <f>TEXT(Table3[[#This Row],[transaction_date]], "yyyy-mm")</f>
        <v>2025-09</v>
      </c>
      <c r="D2791" t="s">
        <v>3597</v>
      </c>
      <c r="E2791" t="s">
        <v>3636</v>
      </c>
      <c r="F2791" t="s">
        <v>3607</v>
      </c>
      <c r="G2791" s="1">
        <v>5541119.1900000004</v>
      </c>
    </row>
    <row r="2792" spans="1:7">
      <c r="A2792" t="s">
        <v>2887</v>
      </c>
      <c r="B2792" s="6">
        <v>45795</v>
      </c>
      <c r="C2792" s="6" t="str">
        <f>TEXT(Table3[[#This Row],[transaction_date]], "yyyy-mm")</f>
        <v>2025-05</v>
      </c>
      <c r="D2792" t="s">
        <v>95</v>
      </c>
      <c r="E2792" t="s">
        <v>3637</v>
      </c>
      <c r="F2792" t="s">
        <v>3622</v>
      </c>
      <c r="G2792" s="1">
        <v>7227686.9100000001</v>
      </c>
    </row>
    <row r="2793" spans="1:7">
      <c r="A2793" t="s">
        <v>2888</v>
      </c>
      <c r="B2793" s="6">
        <v>45923</v>
      </c>
      <c r="C2793" s="6" t="str">
        <f>TEXT(Table3[[#This Row],[transaction_date]], "yyyy-mm")</f>
        <v>2025-09</v>
      </c>
      <c r="D2793" t="s">
        <v>3597</v>
      </c>
      <c r="E2793" t="s">
        <v>3637</v>
      </c>
      <c r="F2793" t="s">
        <v>3621</v>
      </c>
      <c r="G2793" s="1">
        <v>3573764.01</v>
      </c>
    </row>
    <row r="2794" spans="1:7">
      <c r="A2794" t="s">
        <v>2889</v>
      </c>
      <c r="B2794" s="6">
        <v>45885</v>
      </c>
      <c r="C2794" s="6" t="str">
        <f>TEXT(Table3[[#This Row],[transaction_date]], "yyyy-mm")</f>
        <v>2025-08</v>
      </c>
      <c r="D2794" t="s">
        <v>85</v>
      </c>
      <c r="E2794" t="s">
        <v>3637</v>
      </c>
      <c r="F2794" t="s">
        <v>3616</v>
      </c>
      <c r="G2794" s="1">
        <v>2518917.77</v>
      </c>
    </row>
    <row r="2795" spans="1:7">
      <c r="A2795" t="s">
        <v>2890</v>
      </c>
      <c r="B2795" s="6">
        <v>45909</v>
      </c>
      <c r="C2795" s="6" t="str">
        <f>TEXT(Table3[[#This Row],[transaction_date]], "yyyy-mm")</f>
        <v>2025-09</v>
      </c>
      <c r="D2795" t="s">
        <v>85</v>
      </c>
      <c r="E2795" t="s">
        <v>3637</v>
      </c>
      <c r="F2795" t="s">
        <v>3623</v>
      </c>
      <c r="G2795" s="1">
        <v>1250181.8</v>
      </c>
    </row>
    <row r="2796" spans="1:7">
      <c r="A2796" t="s">
        <v>2891</v>
      </c>
      <c r="B2796" s="6">
        <v>45801</v>
      </c>
      <c r="C2796" s="6" t="str">
        <f>TEXT(Table3[[#This Row],[transaction_date]], "yyyy-mm")</f>
        <v>2025-05</v>
      </c>
      <c r="D2796" t="s">
        <v>85</v>
      </c>
      <c r="E2796" t="s">
        <v>3636</v>
      </c>
      <c r="F2796" t="s">
        <v>3607</v>
      </c>
      <c r="G2796" s="1">
        <v>3290749.83</v>
      </c>
    </row>
    <row r="2797" spans="1:7">
      <c r="A2797" t="s">
        <v>2892</v>
      </c>
      <c r="B2797" s="6">
        <v>45774</v>
      </c>
      <c r="C2797" s="6" t="str">
        <f>TEXT(Table3[[#This Row],[transaction_date]], "yyyy-mm")</f>
        <v>2025-04</v>
      </c>
      <c r="D2797" t="s">
        <v>78</v>
      </c>
      <c r="E2797" t="s">
        <v>3636</v>
      </c>
      <c r="F2797" t="s">
        <v>3613</v>
      </c>
      <c r="G2797" s="1">
        <v>7842205.6699999999</v>
      </c>
    </row>
    <row r="2798" spans="1:7">
      <c r="A2798" t="s">
        <v>2893</v>
      </c>
      <c r="B2798" s="6">
        <v>45817</v>
      </c>
      <c r="C2798" s="6" t="str">
        <f>TEXT(Table3[[#This Row],[transaction_date]], "yyyy-mm")</f>
        <v>2025-06</v>
      </c>
      <c r="D2798" t="s">
        <v>84</v>
      </c>
      <c r="E2798" t="s">
        <v>3637</v>
      </c>
      <c r="F2798" t="s">
        <v>3619</v>
      </c>
      <c r="G2798" s="1">
        <v>5274559.72</v>
      </c>
    </row>
    <row r="2799" spans="1:7">
      <c r="A2799" t="s">
        <v>2894</v>
      </c>
      <c r="B2799" s="6">
        <v>45923</v>
      </c>
      <c r="C2799" s="6" t="str">
        <f>TEXT(Table3[[#This Row],[transaction_date]], "yyyy-mm")</f>
        <v>2025-09</v>
      </c>
      <c r="D2799" t="s">
        <v>95</v>
      </c>
      <c r="E2799" t="s">
        <v>3636</v>
      </c>
      <c r="F2799" t="s">
        <v>3610</v>
      </c>
      <c r="G2799" s="1">
        <v>433753.21</v>
      </c>
    </row>
    <row r="2800" spans="1:7">
      <c r="A2800" t="s">
        <v>2895</v>
      </c>
      <c r="B2800" s="6">
        <v>45660</v>
      </c>
      <c r="C2800" s="6" t="str">
        <f>TEXT(Table3[[#This Row],[transaction_date]], "yyyy-mm")</f>
        <v>2025-01</v>
      </c>
      <c r="D2800" t="s">
        <v>78</v>
      </c>
      <c r="E2800" t="s">
        <v>3637</v>
      </c>
      <c r="F2800" t="s">
        <v>3620</v>
      </c>
      <c r="G2800" s="1">
        <v>963652.99</v>
      </c>
    </row>
    <row r="2801" spans="1:7">
      <c r="A2801" t="s">
        <v>2896</v>
      </c>
      <c r="B2801" s="6">
        <v>46019</v>
      </c>
      <c r="C2801" s="6" t="str">
        <f>TEXT(Table3[[#This Row],[transaction_date]], "yyyy-mm")</f>
        <v>2025-12</v>
      </c>
      <c r="D2801" t="s">
        <v>73</v>
      </c>
      <c r="E2801" t="s">
        <v>3637</v>
      </c>
      <c r="F2801" t="s">
        <v>3623</v>
      </c>
      <c r="G2801" s="1">
        <v>9833327.1699999999</v>
      </c>
    </row>
    <row r="2802" spans="1:7">
      <c r="A2802" t="s">
        <v>2897</v>
      </c>
      <c r="B2802" s="6">
        <v>45735</v>
      </c>
      <c r="C2802" s="6" t="str">
        <f>TEXT(Table3[[#This Row],[transaction_date]], "yyyy-mm")</f>
        <v>2025-03</v>
      </c>
      <c r="D2802" t="s">
        <v>79</v>
      </c>
      <c r="E2802" t="s">
        <v>3637</v>
      </c>
      <c r="F2802" t="s">
        <v>3623</v>
      </c>
      <c r="G2802" s="1">
        <v>4525431.5199999996</v>
      </c>
    </row>
    <row r="2803" spans="1:7">
      <c r="A2803" t="s">
        <v>2898</v>
      </c>
      <c r="B2803" s="6">
        <v>45688</v>
      </c>
      <c r="C2803" s="6" t="str">
        <f>TEXT(Table3[[#This Row],[transaction_date]], "yyyy-mm")</f>
        <v>2025-01</v>
      </c>
      <c r="D2803" t="s">
        <v>74</v>
      </c>
      <c r="E2803" t="s">
        <v>3636</v>
      </c>
      <c r="F2803" t="s">
        <v>3612</v>
      </c>
      <c r="G2803" s="1">
        <v>555613.4</v>
      </c>
    </row>
    <row r="2804" spans="1:7">
      <c r="A2804" t="s">
        <v>2899</v>
      </c>
      <c r="B2804" s="6">
        <v>45856</v>
      </c>
      <c r="C2804" s="6" t="str">
        <f>TEXT(Table3[[#This Row],[transaction_date]], "yyyy-mm")</f>
        <v>2025-07</v>
      </c>
      <c r="D2804" t="s">
        <v>78</v>
      </c>
      <c r="E2804" t="s">
        <v>3637</v>
      </c>
      <c r="F2804" t="s">
        <v>3618</v>
      </c>
      <c r="G2804" s="1">
        <v>2463430.2000000002</v>
      </c>
    </row>
    <row r="2805" spans="1:7">
      <c r="A2805" t="s">
        <v>2900</v>
      </c>
      <c r="B2805" s="6">
        <v>45850</v>
      </c>
      <c r="C2805" s="6" t="str">
        <f>TEXT(Table3[[#This Row],[transaction_date]], "yyyy-mm")</f>
        <v>2025-07</v>
      </c>
      <c r="D2805" t="s">
        <v>89</v>
      </c>
      <c r="E2805" t="s">
        <v>3637</v>
      </c>
      <c r="F2805" t="s">
        <v>3618</v>
      </c>
      <c r="G2805" s="1">
        <v>3403321.65</v>
      </c>
    </row>
    <row r="2806" spans="1:7">
      <c r="A2806" t="s">
        <v>2901</v>
      </c>
      <c r="B2806" s="6">
        <v>45991</v>
      </c>
      <c r="C2806" s="6" t="str">
        <f>TEXT(Table3[[#This Row],[transaction_date]], "yyyy-mm")</f>
        <v>2025-11</v>
      </c>
      <c r="D2806" t="s">
        <v>93</v>
      </c>
      <c r="E2806" t="s">
        <v>3636</v>
      </c>
      <c r="F2806" t="s">
        <v>3612</v>
      </c>
      <c r="G2806" s="1">
        <v>9224420.7599999998</v>
      </c>
    </row>
    <row r="2807" spans="1:7">
      <c r="A2807" t="s">
        <v>2902</v>
      </c>
      <c r="B2807" s="6">
        <v>45702</v>
      </c>
      <c r="C2807" s="6" t="str">
        <f>TEXT(Table3[[#This Row],[transaction_date]], "yyyy-mm")</f>
        <v>2025-02</v>
      </c>
      <c r="D2807" t="s">
        <v>77</v>
      </c>
      <c r="E2807" t="s">
        <v>3636</v>
      </c>
      <c r="F2807" t="s">
        <v>3611</v>
      </c>
      <c r="G2807" s="1">
        <v>17654405.77</v>
      </c>
    </row>
    <row r="2808" spans="1:7">
      <c r="A2808" t="s">
        <v>2903</v>
      </c>
      <c r="B2808" s="6">
        <v>45780</v>
      </c>
      <c r="C2808" s="6" t="str">
        <f>TEXT(Table3[[#This Row],[transaction_date]], "yyyy-mm")</f>
        <v>2025-05</v>
      </c>
      <c r="D2808" t="s">
        <v>79</v>
      </c>
      <c r="E2808" t="s">
        <v>3636</v>
      </c>
      <c r="F2808" t="s">
        <v>3606</v>
      </c>
      <c r="G2808" s="1">
        <v>8086753.0800000001</v>
      </c>
    </row>
    <row r="2809" spans="1:7">
      <c r="A2809" t="s">
        <v>2904</v>
      </c>
      <c r="B2809" s="6">
        <v>45717</v>
      </c>
      <c r="C2809" s="6" t="str">
        <f>TEXT(Table3[[#This Row],[transaction_date]], "yyyy-mm")</f>
        <v>2025-03</v>
      </c>
      <c r="D2809" t="s">
        <v>77</v>
      </c>
      <c r="E2809" t="s">
        <v>3636</v>
      </c>
      <c r="F2809" t="s">
        <v>3611</v>
      </c>
      <c r="G2809" s="1">
        <v>1266815.42</v>
      </c>
    </row>
    <row r="2810" spans="1:7">
      <c r="A2810" t="s">
        <v>2905</v>
      </c>
      <c r="B2810" s="6">
        <v>45778</v>
      </c>
      <c r="C2810" s="6" t="str">
        <f>TEXT(Table3[[#This Row],[transaction_date]], "yyyy-mm")</f>
        <v>2025-05</v>
      </c>
      <c r="D2810" t="s">
        <v>79</v>
      </c>
      <c r="E2810" t="s">
        <v>3636</v>
      </c>
      <c r="F2810" t="s">
        <v>3605</v>
      </c>
      <c r="G2810" s="1">
        <v>2949147.97</v>
      </c>
    </row>
    <row r="2811" spans="1:7">
      <c r="A2811" t="s">
        <v>2906</v>
      </c>
      <c r="B2811" s="6">
        <v>45842</v>
      </c>
      <c r="C2811" s="6" t="str">
        <f>TEXT(Table3[[#This Row],[transaction_date]], "yyyy-mm")</f>
        <v>2025-07</v>
      </c>
      <c r="D2811" t="s">
        <v>95</v>
      </c>
      <c r="E2811" t="s">
        <v>3637</v>
      </c>
      <c r="F2811" t="s">
        <v>3616</v>
      </c>
      <c r="G2811" s="1">
        <v>13325634.050000001</v>
      </c>
    </row>
    <row r="2812" spans="1:7">
      <c r="A2812" t="s">
        <v>2907</v>
      </c>
      <c r="B2812" s="6">
        <v>45718</v>
      </c>
      <c r="C2812" s="6" t="str">
        <f>TEXT(Table3[[#This Row],[transaction_date]], "yyyy-mm")</f>
        <v>2025-03</v>
      </c>
      <c r="D2812" t="s">
        <v>76</v>
      </c>
      <c r="E2812" t="s">
        <v>3637</v>
      </c>
      <c r="F2812" t="s">
        <v>3620</v>
      </c>
      <c r="G2812" s="1">
        <v>2399855.27</v>
      </c>
    </row>
    <row r="2813" spans="1:7">
      <c r="A2813" t="s">
        <v>2908</v>
      </c>
      <c r="B2813" s="6">
        <v>45709</v>
      </c>
      <c r="C2813" s="6" t="str">
        <f>TEXT(Table3[[#This Row],[transaction_date]], "yyyy-mm")</f>
        <v>2025-02</v>
      </c>
      <c r="D2813" t="s">
        <v>73</v>
      </c>
      <c r="E2813" t="s">
        <v>3637</v>
      </c>
      <c r="F2813" t="s">
        <v>3620</v>
      </c>
      <c r="G2813" s="1">
        <v>626160.55000000005</v>
      </c>
    </row>
    <row r="2814" spans="1:7">
      <c r="A2814" t="s">
        <v>2909</v>
      </c>
      <c r="B2814" s="6">
        <v>45842</v>
      </c>
      <c r="C2814" s="6" t="str">
        <f>TEXT(Table3[[#This Row],[transaction_date]], "yyyy-mm")</f>
        <v>2025-07</v>
      </c>
      <c r="D2814" t="s">
        <v>76</v>
      </c>
      <c r="E2814" t="s">
        <v>3637</v>
      </c>
      <c r="F2814" t="s">
        <v>3615</v>
      </c>
      <c r="G2814" s="1">
        <v>7867719.5099999998</v>
      </c>
    </row>
    <row r="2815" spans="1:7">
      <c r="A2815" t="s">
        <v>2910</v>
      </c>
      <c r="B2815" s="6">
        <v>45790</v>
      </c>
      <c r="C2815" s="6" t="str">
        <f>TEXT(Table3[[#This Row],[transaction_date]], "yyyy-mm")</f>
        <v>2025-05</v>
      </c>
      <c r="D2815" t="s">
        <v>74</v>
      </c>
      <c r="E2815" t="s">
        <v>3636</v>
      </c>
      <c r="F2815" t="s">
        <v>3610</v>
      </c>
      <c r="G2815" s="1">
        <v>359154.03</v>
      </c>
    </row>
    <row r="2816" spans="1:7">
      <c r="A2816" t="s">
        <v>2911</v>
      </c>
      <c r="B2816" s="6">
        <v>45941</v>
      </c>
      <c r="C2816" s="6" t="str">
        <f>TEXT(Table3[[#This Row],[transaction_date]], "yyyy-mm")</f>
        <v>2025-10</v>
      </c>
      <c r="D2816" t="s">
        <v>84</v>
      </c>
      <c r="E2816" t="s">
        <v>3636</v>
      </c>
      <c r="F2816" t="s">
        <v>3613</v>
      </c>
      <c r="G2816" s="1">
        <v>24421073.170000002</v>
      </c>
    </row>
    <row r="2817" spans="1:7">
      <c r="A2817" t="s">
        <v>2912</v>
      </c>
      <c r="B2817" s="6">
        <v>45907</v>
      </c>
      <c r="C2817" s="6" t="str">
        <f>TEXT(Table3[[#This Row],[transaction_date]], "yyyy-mm")</f>
        <v>2025-09</v>
      </c>
      <c r="D2817" t="s">
        <v>78</v>
      </c>
      <c r="E2817" t="s">
        <v>3637</v>
      </c>
      <c r="F2817" t="s">
        <v>3614</v>
      </c>
      <c r="G2817" s="1">
        <v>9080359.2599999998</v>
      </c>
    </row>
    <row r="2818" spans="1:7">
      <c r="A2818" t="s">
        <v>2913</v>
      </c>
      <c r="B2818" s="6">
        <v>45688</v>
      </c>
      <c r="C2818" s="6" t="str">
        <f>TEXT(Table3[[#This Row],[transaction_date]], "yyyy-mm")</f>
        <v>2025-01</v>
      </c>
      <c r="D2818" t="s">
        <v>82</v>
      </c>
      <c r="E2818" t="s">
        <v>3636</v>
      </c>
      <c r="F2818" t="s">
        <v>3606</v>
      </c>
      <c r="G2818" s="1">
        <v>1260897.98</v>
      </c>
    </row>
    <row r="2819" spans="1:7">
      <c r="A2819" t="s">
        <v>2914</v>
      </c>
      <c r="B2819" s="6">
        <v>45719</v>
      </c>
      <c r="C2819" s="6" t="str">
        <f>TEXT(Table3[[#This Row],[transaction_date]], "yyyy-mm")</f>
        <v>2025-03</v>
      </c>
      <c r="D2819" t="s">
        <v>93</v>
      </c>
      <c r="E2819" t="s">
        <v>3636</v>
      </c>
      <c r="F2819" t="s">
        <v>3608</v>
      </c>
      <c r="G2819" s="1">
        <v>5127370.8</v>
      </c>
    </row>
    <row r="2820" spans="1:7">
      <c r="A2820" t="s">
        <v>2915</v>
      </c>
      <c r="B2820" s="6">
        <v>45764</v>
      </c>
      <c r="C2820" s="6" t="str">
        <f>TEXT(Table3[[#This Row],[transaction_date]], "yyyy-mm")</f>
        <v>2025-04</v>
      </c>
      <c r="D2820" t="s">
        <v>73</v>
      </c>
      <c r="E2820" t="s">
        <v>3637</v>
      </c>
      <c r="F2820" t="s">
        <v>3619</v>
      </c>
      <c r="G2820" s="1">
        <v>2236390.4500000002</v>
      </c>
    </row>
    <row r="2821" spans="1:7">
      <c r="A2821" t="s">
        <v>2916</v>
      </c>
      <c r="B2821" s="6">
        <v>45766</v>
      </c>
      <c r="C2821" s="6" t="str">
        <f>TEXT(Table3[[#This Row],[transaction_date]], "yyyy-mm")</f>
        <v>2025-04</v>
      </c>
      <c r="D2821" t="s">
        <v>75</v>
      </c>
      <c r="E2821" t="s">
        <v>3636</v>
      </c>
      <c r="F2821" t="s">
        <v>3612</v>
      </c>
      <c r="G2821" s="1">
        <v>5448428.0499999998</v>
      </c>
    </row>
    <row r="2822" spans="1:7">
      <c r="A2822" t="s">
        <v>2917</v>
      </c>
      <c r="B2822" s="6">
        <v>45833</v>
      </c>
      <c r="C2822" s="6" t="str">
        <f>TEXT(Table3[[#This Row],[transaction_date]], "yyyy-mm")</f>
        <v>2025-06</v>
      </c>
      <c r="D2822" t="s">
        <v>89</v>
      </c>
      <c r="E2822" t="s">
        <v>3637</v>
      </c>
      <c r="F2822" t="s">
        <v>3620</v>
      </c>
      <c r="G2822" s="1">
        <v>18641.78</v>
      </c>
    </row>
    <row r="2823" spans="1:7">
      <c r="A2823" t="s">
        <v>2918</v>
      </c>
      <c r="B2823" s="6">
        <v>45738</v>
      </c>
      <c r="C2823" s="6" t="str">
        <f>TEXT(Table3[[#This Row],[transaction_date]], "yyyy-mm")</f>
        <v>2025-03</v>
      </c>
      <c r="D2823" t="s">
        <v>82</v>
      </c>
      <c r="E2823" t="s">
        <v>3637</v>
      </c>
      <c r="F2823" t="s">
        <v>3616</v>
      </c>
      <c r="G2823" s="1">
        <v>10285000.210000001</v>
      </c>
    </row>
    <row r="2824" spans="1:7">
      <c r="A2824" t="s">
        <v>2919</v>
      </c>
      <c r="B2824" s="6">
        <v>45838</v>
      </c>
      <c r="C2824" s="6" t="str">
        <f>TEXT(Table3[[#This Row],[transaction_date]], "yyyy-mm")</f>
        <v>2025-06</v>
      </c>
      <c r="D2824" t="s">
        <v>84</v>
      </c>
      <c r="E2824" t="s">
        <v>3636</v>
      </c>
      <c r="F2824" t="s">
        <v>3608</v>
      </c>
      <c r="G2824" s="1">
        <v>10691477.800000001</v>
      </c>
    </row>
    <row r="2825" spans="1:7">
      <c r="A2825" t="s">
        <v>2920</v>
      </c>
      <c r="B2825" s="6">
        <v>45823</v>
      </c>
      <c r="C2825" s="6" t="str">
        <f>TEXT(Table3[[#This Row],[transaction_date]], "yyyy-mm")</f>
        <v>2025-06</v>
      </c>
      <c r="D2825" t="s">
        <v>82</v>
      </c>
      <c r="E2825" t="s">
        <v>3637</v>
      </c>
      <c r="F2825" t="s">
        <v>3620</v>
      </c>
      <c r="G2825" s="1">
        <v>1565883.17</v>
      </c>
    </row>
    <row r="2826" spans="1:7">
      <c r="A2826" t="s">
        <v>2921</v>
      </c>
      <c r="B2826" s="6">
        <v>45856</v>
      </c>
      <c r="C2826" s="6" t="str">
        <f>TEXT(Table3[[#This Row],[transaction_date]], "yyyy-mm")</f>
        <v>2025-07</v>
      </c>
      <c r="D2826" t="s">
        <v>90</v>
      </c>
      <c r="E2826" t="s">
        <v>3637</v>
      </c>
      <c r="F2826" t="s">
        <v>3617</v>
      </c>
      <c r="G2826" s="1">
        <v>2348862.7000000002</v>
      </c>
    </row>
    <row r="2827" spans="1:7">
      <c r="A2827" t="s">
        <v>2922</v>
      </c>
      <c r="B2827" s="6">
        <v>45816</v>
      </c>
      <c r="C2827" s="6" t="str">
        <f>TEXT(Table3[[#This Row],[transaction_date]], "yyyy-mm")</f>
        <v>2025-06</v>
      </c>
      <c r="D2827" t="s">
        <v>82</v>
      </c>
      <c r="E2827" t="s">
        <v>3636</v>
      </c>
      <c r="F2827" t="s">
        <v>3607</v>
      </c>
      <c r="G2827" s="1">
        <v>10202841.810000001</v>
      </c>
    </row>
    <row r="2828" spans="1:7">
      <c r="A2828" t="s">
        <v>2923</v>
      </c>
      <c r="B2828" s="6">
        <v>45967</v>
      </c>
      <c r="C2828" s="6" t="str">
        <f>TEXT(Table3[[#This Row],[transaction_date]], "yyyy-mm")</f>
        <v>2025-11</v>
      </c>
      <c r="D2828" t="s">
        <v>85</v>
      </c>
      <c r="E2828" t="s">
        <v>3636</v>
      </c>
      <c r="F2828" t="s">
        <v>3611</v>
      </c>
      <c r="G2828" s="1">
        <v>1442545.18</v>
      </c>
    </row>
    <row r="2829" spans="1:7">
      <c r="A2829" t="s">
        <v>2924</v>
      </c>
      <c r="B2829" s="6">
        <v>45801</v>
      </c>
      <c r="C2829" s="6" t="str">
        <f>TEXT(Table3[[#This Row],[transaction_date]], "yyyy-mm")</f>
        <v>2025-05</v>
      </c>
      <c r="D2829" t="s">
        <v>3597</v>
      </c>
      <c r="E2829" t="s">
        <v>3636</v>
      </c>
      <c r="F2829" t="s">
        <v>3607</v>
      </c>
      <c r="G2829" s="1">
        <v>2280209.0499999998</v>
      </c>
    </row>
    <row r="2830" spans="1:7">
      <c r="A2830" t="s">
        <v>2925</v>
      </c>
      <c r="B2830" s="6">
        <v>45938</v>
      </c>
      <c r="C2830" s="6" t="str">
        <f>TEXT(Table3[[#This Row],[transaction_date]], "yyyy-mm")</f>
        <v>2025-10</v>
      </c>
      <c r="D2830" t="s">
        <v>89</v>
      </c>
      <c r="E2830" t="s">
        <v>3637</v>
      </c>
      <c r="F2830" t="s">
        <v>3614</v>
      </c>
      <c r="G2830" s="1">
        <v>1002761.64</v>
      </c>
    </row>
    <row r="2831" spans="1:7">
      <c r="A2831" t="s">
        <v>2926</v>
      </c>
      <c r="B2831" s="6">
        <v>45876</v>
      </c>
      <c r="C2831" s="6" t="str">
        <f>TEXT(Table3[[#This Row],[transaction_date]], "yyyy-mm")</f>
        <v>2025-08</v>
      </c>
      <c r="D2831" t="s">
        <v>77</v>
      </c>
      <c r="E2831" t="s">
        <v>3637</v>
      </c>
      <c r="F2831" t="s">
        <v>3619</v>
      </c>
      <c r="G2831" s="1">
        <v>22442538.289999999</v>
      </c>
    </row>
    <row r="2832" spans="1:7">
      <c r="A2832" t="s">
        <v>2927</v>
      </c>
      <c r="B2832" s="6">
        <v>45918</v>
      </c>
      <c r="C2832" s="6" t="str">
        <f>TEXT(Table3[[#This Row],[transaction_date]], "yyyy-mm")</f>
        <v>2025-09</v>
      </c>
      <c r="D2832" t="s">
        <v>93</v>
      </c>
      <c r="E2832" t="s">
        <v>3636</v>
      </c>
      <c r="F2832" t="s">
        <v>3610</v>
      </c>
      <c r="G2832" s="1">
        <v>3841319.64</v>
      </c>
    </row>
    <row r="2833" spans="1:7">
      <c r="A2833" t="s">
        <v>2928</v>
      </c>
      <c r="B2833" s="6">
        <v>46007</v>
      </c>
      <c r="C2833" s="6" t="str">
        <f>TEXT(Table3[[#This Row],[transaction_date]], "yyyy-mm")</f>
        <v>2025-12</v>
      </c>
      <c r="D2833" t="s">
        <v>80</v>
      </c>
      <c r="E2833" t="s">
        <v>3636</v>
      </c>
      <c r="F2833" t="s">
        <v>3611</v>
      </c>
      <c r="G2833" s="1">
        <v>1329434.57</v>
      </c>
    </row>
    <row r="2834" spans="1:7">
      <c r="A2834" t="s">
        <v>2929</v>
      </c>
      <c r="B2834" s="6">
        <v>45669</v>
      </c>
      <c r="C2834" s="6" t="str">
        <f>TEXT(Table3[[#This Row],[transaction_date]], "yyyy-mm")</f>
        <v>2025-01</v>
      </c>
      <c r="D2834" t="s">
        <v>75</v>
      </c>
      <c r="E2834" t="s">
        <v>3637</v>
      </c>
      <c r="F2834" t="s">
        <v>3618</v>
      </c>
      <c r="G2834" s="1">
        <v>253116.84</v>
      </c>
    </row>
    <row r="2835" spans="1:7">
      <c r="A2835" t="s">
        <v>2930</v>
      </c>
      <c r="B2835" s="6">
        <v>45981</v>
      </c>
      <c r="C2835" s="6" t="str">
        <f>TEXT(Table3[[#This Row],[transaction_date]], "yyyy-mm")</f>
        <v>2025-11</v>
      </c>
      <c r="D2835" t="s">
        <v>84</v>
      </c>
      <c r="E2835" t="s">
        <v>3636</v>
      </c>
      <c r="F2835" t="s">
        <v>3610</v>
      </c>
      <c r="G2835" s="1">
        <v>5096529.1399999997</v>
      </c>
    </row>
    <row r="2836" spans="1:7">
      <c r="A2836" t="s">
        <v>2931</v>
      </c>
      <c r="B2836" s="6">
        <v>45903</v>
      </c>
      <c r="C2836" s="6" t="str">
        <f>TEXT(Table3[[#This Row],[transaction_date]], "yyyy-mm")</f>
        <v>2025-09</v>
      </c>
      <c r="D2836" t="s">
        <v>93</v>
      </c>
      <c r="E2836" t="s">
        <v>3637</v>
      </c>
      <c r="F2836" t="s">
        <v>3623</v>
      </c>
      <c r="G2836" s="1">
        <v>11106649.609999999</v>
      </c>
    </row>
    <row r="2837" spans="1:7">
      <c r="A2837" t="s">
        <v>2932</v>
      </c>
      <c r="B2837" s="6">
        <v>45848</v>
      </c>
      <c r="C2837" s="6" t="str">
        <f>TEXT(Table3[[#This Row],[transaction_date]], "yyyy-mm")</f>
        <v>2025-07</v>
      </c>
      <c r="D2837" t="s">
        <v>84</v>
      </c>
      <c r="E2837" t="s">
        <v>3637</v>
      </c>
      <c r="F2837" t="s">
        <v>3621</v>
      </c>
      <c r="G2837" s="1">
        <v>13076058.369999999</v>
      </c>
    </row>
    <row r="2838" spans="1:7">
      <c r="A2838" t="s">
        <v>2933</v>
      </c>
      <c r="B2838" s="6">
        <v>46004</v>
      </c>
      <c r="C2838" s="6" t="str">
        <f>TEXT(Table3[[#This Row],[transaction_date]], "yyyy-mm")</f>
        <v>2025-12</v>
      </c>
      <c r="D2838" t="s">
        <v>74</v>
      </c>
      <c r="E2838" t="s">
        <v>3636</v>
      </c>
      <c r="F2838" t="s">
        <v>3612</v>
      </c>
      <c r="G2838" s="1">
        <v>523468.42</v>
      </c>
    </row>
    <row r="2839" spans="1:7">
      <c r="A2839" t="s">
        <v>2934</v>
      </c>
      <c r="B2839" s="6">
        <v>45706</v>
      </c>
      <c r="C2839" s="6" t="str">
        <f>TEXT(Table3[[#This Row],[transaction_date]], "yyyy-mm")</f>
        <v>2025-02</v>
      </c>
      <c r="D2839" t="s">
        <v>78</v>
      </c>
      <c r="E2839" t="s">
        <v>3636</v>
      </c>
      <c r="F2839" t="s">
        <v>3612</v>
      </c>
      <c r="G2839" s="1">
        <v>11387392.390000001</v>
      </c>
    </row>
    <row r="2840" spans="1:7">
      <c r="A2840" t="s">
        <v>2935</v>
      </c>
      <c r="B2840" s="6">
        <v>45817</v>
      </c>
      <c r="C2840" s="6" t="str">
        <f>TEXT(Table3[[#This Row],[transaction_date]], "yyyy-mm")</f>
        <v>2025-06</v>
      </c>
      <c r="D2840" t="s">
        <v>93</v>
      </c>
      <c r="E2840" t="s">
        <v>3637</v>
      </c>
      <c r="F2840" t="s">
        <v>3615</v>
      </c>
      <c r="G2840" s="1">
        <v>565041.65</v>
      </c>
    </row>
    <row r="2841" spans="1:7">
      <c r="A2841" t="s">
        <v>2936</v>
      </c>
      <c r="B2841" s="6">
        <v>45999</v>
      </c>
      <c r="C2841" s="6" t="str">
        <f>TEXT(Table3[[#This Row],[transaction_date]], "yyyy-mm")</f>
        <v>2025-12</v>
      </c>
      <c r="D2841" t="s">
        <v>77</v>
      </c>
      <c r="E2841" t="s">
        <v>3637</v>
      </c>
      <c r="F2841" t="s">
        <v>3618</v>
      </c>
      <c r="G2841" s="1">
        <v>4310610.33</v>
      </c>
    </row>
    <row r="2842" spans="1:7">
      <c r="A2842" t="s">
        <v>2937</v>
      </c>
      <c r="B2842" s="6">
        <v>45659</v>
      </c>
      <c r="C2842" s="6" t="str">
        <f>TEXT(Table3[[#This Row],[transaction_date]], "yyyy-mm")</f>
        <v>2025-01</v>
      </c>
      <c r="D2842" t="s">
        <v>90</v>
      </c>
      <c r="E2842" t="s">
        <v>3636</v>
      </c>
      <c r="F2842" t="s">
        <v>3610</v>
      </c>
      <c r="G2842" s="1">
        <v>13784685.380000001</v>
      </c>
    </row>
    <row r="2843" spans="1:7">
      <c r="A2843" t="s">
        <v>2938</v>
      </c>
      <c r="B2843" s="6">
        <v>45708</v>
      </c>
      <c r="C2843" s="6" t="str">
        <f>TEXT(Table3[[#This Row],[transaction_date]], "yyyy-mm")</f>
        <v>2025-02</v>
      </c>
      <c r="D2843" t="s">
        <v>85</v>
      </c>
      <c r="E2843" t="s">
        <v>3636</v>
      </c>
      <c r="F2843" t="s">
        <v>3612</v>
      </c>
      <c r="G2843" s="1">
        <v>679575.15</v>
      </c>
    </row>
    <row r="2844" spans="1:7">
      <c r="A2844" t="s">
        <v>2939</v>
      </c>
      <c r="B2844" s="6">
        <v>45780</v>
      </c>
      <c r="C2844" s="6" t="str">
        <f>TEXT(Table3[[#This Row],[transaction_date]], "yyyy-mm")</f>
        <v>2025-05</v>
      </c>
      <c r="D2844" t="s">
        <v>74</v>
      </c>
      <c r="E2844" t="s">
        <v>3636</v>
      </c>
      <c r="F2844" t="s">
        <v>3610</v>
      </c>
      <c r="G2844" s="1">
        <v>204828.57</v>
      </c>
    </row>
    <row r="2845" spans="1:7">
      <c r="A2845" t="s">
        <v>2940</v>
      </c>
      <c r="B2845" s="6">
        <v>45989</v>
      </c>
      <c r="C2845" s="6" t="str">
        <f>TEXT(Table3[[#This Row],[transaction_date]], "yyyy-mm")</f>
        <v>2025-11</v>
      </c>
      <c r="D2845" t="s">
        <v>73</v>
      </c>
      <c r="E2845" t="s">
        <v>3636</v>
      </c>
      <c r="F2845" t="s">
        <v>3613</v>
      </c>
      <c r="G2845" s="1">
        <v>1425887.5</v>
      </c>
    </row>
    <row r="2846" spans="1:7">
      <c r="A2846" t="s">
        <v>2941</v>
      </c>
      <c r="B2846" s="6">
        <v>45907</v>
      </c>
      <c r="C2846" s="6" t="str">
        <f>TEXT(Table3[[#This Row],[transaction_date]], "yyyy-mm")</f>
        <v>2025-09</v>
      </c>
      <c r="D2846" t="s">
        <v>85</v>
      </c>
      <c r="E2846" t="s">
        <v>3636</v>
      </c>
      <c r="F2846" t="s">
        <v>3606</v>
      </c>
      <c r="G2846" s="1">
        <v>1454859.56</v>
      </c>
    </row>
    <row r="2847" spans="1:7">
      <c r="A2847" t="s">
        <v>2942</v>
      </c>
      <c r="B2847" s="6">
        <v>45946</v>
      </c>
      <c r="C2847" s="6" t="str">
        <f>TEXT(Table3[[#This Row],[transaction_date]], "yyyy-mm")</f>
        <v>2025-10</v>
      </c>
      <c r="D2847" t="s">
        <v>73</v>
      </c>
      <c r="E2847" t="s">
        <v>3636</v>
      </c>
      <c r="F2847" t="s">
        <v>3609</v>
      </c>
      <c r="G2847" s="1">
        <v>15600685.720000001</v>
      </c>
    </row>
    <row r="2848" spans="1:7">
      <c r="A2848" t="s">
        <v>2943</v>
      </c>
      <c r="B2848" s="6">
        <v>45951</v>
      </c>
      <c r="C2848" s="6" t="str">
        <f>TEXT(Table3[[#This Row],[transaction_date]], "yyyy-mm")</f>
        <v>2025-10</v>
      </c>
      <c r="D2848" t="s">
        <v>90</v>
      </c>
      <c r="E2848" t="s">
        <v>3636</v>
      </c>
      <c r="F2848" t="s">
        <v>3612</v>
      </c>
      <c r="G2848" s="1">
        <v>2649177.92</v>
      </c>
    </row>
    <row r="2849" spans="1:7">
      <c r="A2849" t="s">
        <v>2944</v>
      </c>
      <c r="B2849" s="6">
        <v>45702</v>
      </c>
      <c r="C2849" s="6" t="str">
        <f>TEXT(Table3[[#This Row],[transaction_date]], "yyyy-mm")</f>
        <v>2025-02</v>
      </c>
      <c r="D2849" t="s">
        <v>3597</v>
      </c>
      <c r="E2849" t="s">
        <v>3636</v>
      </c>
      <c r="F2849" t="s">
        <v>3613</v>
      </c>
      <c r="G2849" s="1">
        <v>11129124.42</v>
      </c>
    </row>
    <row r="2850" spans="1:7">
      <c r="A2850" t="s">
        <v>2945</v>
      </c>
      <c r="B2850" s="6">
        <v>46016</v>
      </c>
      <c r="C2850" s="6" t="str">
        <f>TEXT(Table3[[#This Row],[transaction_date]], "yyyy-mm")</f>
        <v>2025-12</v>
      </c>
      <c r="D2850" t="s">
        <v>89</v>
      </c>
      <c r="E2850" t="s">
        <v>3637</v>
      </c>
      <c r="F2850" t="s">
        <v>3623</v>
      </c>
      <c r="G2850" s="1">
        <v>679750.04</v>
      </c>
    </row>
    <row r="2851" spans="1:7">
      <c r="A2851" t="s">
        <v>2946</v>
      </c>
      <c r="B2851" s="6">
        <v>45843</v>
      </c>
      <c r="C2851" s="6" t="str">
        <f>TEXT(Table3[[#This Row],[transaction_date]], "yyyy-mm")</f>
        <v>2025-07</v>
      </c>
      <c r="D2851" t="s">
        <v>79</v>
      </c>
      <c r="E2851" t="s">
        <v>3636</v>
      </c>
      <c r="F2851" t="s">
        <v>3606</v>
      </c>
      <c r="G2851" s="1">
        <v>7809811.2199999997</v>
      </c>
    </row>
    <row r="2852" spans="1:7">
      <c r="A2852" t="s">
        <v>2947</v>
      </c>
      <c r="B2852" s="6">
        <v>45755</v>
      </c>
      <c r="C2852" s="6" t="str">
        <f>TEXT(Table3[[#This Row],[transaction_date]], "yyyy-mm")</f>
        <v>2025-04</v>
      </c>
      <c r="D2852" t="s">
        <v>73</v>
      </c>
      <c r="E2852" t="s">
        <v>3637</v>
      </c>
      <c r="F2852" t="s">
        <v>3616</v>
      </c>
      <c r="G2852" s="1">
        <v>2022143.64</v>
      </c>
    </row>
    <row r="2853" spans="1:7">
      <c r="A2853" t="s">
        <v>2948</v>
      </c>
      <c r="B2853" s="6">
        <v>45909</v>
      </c>
      <c r="C2853" s="6" t="str">
        <f>TEXT(Table3[[#This Row],[transaction_date]], "yyyy-mm")</f>
        <v>2025-09</v>
      </c>
      <c r="D2853" t="s">
        <v>93</v>
      </c>
      <c r="E2853" t="s">
        <v>3637</v>
      </c>
      <c r="F2853" t="s">
        <v>3615</v>
      </c>
      <c r="G2853" s="1">
        <v>1413530.67</v>
      </c>
    </row>
    <row r="2854" spans="1:7">
      <c r="A2854" t="s">
        <v>2949</v>
      </c>
      <c r="B2854" s="6">
        <v>45689</v>
      </c>
      <c r="C2854" s="6" t="str">
        <f>TEXT(Table3[[#This Row],[transaction_date]], "yyyy-mm")</f>
        <v>2025-02</v>
      </c>
      <c r="D2854" t="s">
        <v>79</v>
      </c>
      <c r="E2854" t="s">
        <v>3636</v>
      </c>
      <c r="F2854" t="s">
        <v>3605</v>
      </c>
      <c r="G2854" s="1">
        <v>2188614.52</v>
      </c>
    </row>
    <row r="2855" spans="1:7">
      <c r="A2855" t="s">
        <v>2950</v>
      </c>
      <c r="B2855" s="6">
        <v>45873</v>
      </c>
      <c r="C2855" s="6" t="str">
        <f>TEXT(Table3[[#This Row],[transaction_date]], "yyyy-mm")</f>
        <v>2025-08</v>
      </c>
      <c r="D2855" t="s">
        <v>79</v>
      </c>
      <c r="E2855" t="s">
        <v>3637</v>
      </c>
      <c r="F2855" t="s">
        <v>3620</v>
      </c>
      <c r="G2855" s="1">
        <v>2681264.2799999998</v>
      </c>
    </row>
    <row r="2856" spans="1:7">
      <c r="A2856" t="s">
        <v>2951</v>
      </c>
      <c r="B2856" s="6">
        <v>45918</v>
      </c>
      <c r="C2856" s="6" t="str">
        <f>TEXT(Table3[[#This Row],[transaction_date]], "yyyy-mm")</f>
        <v>2025-09</v>
      </c>
      <c r="D2856" t="s">
        <v>73</v>
      </c>
      <c r="E2856" t="s">
        <v>3636</v>
      </c>
      <c r="F2856" t="s">
        <v>3605</v>
      </c>
      <c r="G2856" s="1">
        <v>626267.80000000005</v>
      </c>
    </row>
    <row r="2857" spans="1:7">
      <c r="A2857" t="s">
        <v>2952</v>
      </c>
      <c r="B2857" s="6">
        <v>45683</v>
      </c>
      <c r="C2857" s="6" t="str">
        <f>TEXT(Table3[[#This Row],[transaction_date]], "yyyy-mm")</f>
        <v>2025-01</v>
      </c>
      <c r="D2857" t="s">
        <v>75</v>
      </c>
      <c r="E2857" t="s">
        <v>3636</v>
      </c>
      <c r="F2857" t="s">
        <v>3609</v>
      </c>
      <c r="G2857" s="1">
        <v>268664.48</v>
      </c>
    </row>
    <row r="2858" spans="1:7">
      <c r="A2858" t="s">
        <v>2953</v>
      </c>
      <c r="B2858" s="6">
        <v>45738</v>
      </c>
      <c r="C2858" s="6" t="str">
        <f>TEXT(Table3[[#This Row],[transaction_date]], "yyyy-mm")</f>
        <v>2025-03</v>
      </c>
      <c r="D2858" t="s">
        <v>82</v>
      </c>
      <c r="E2858" t="s">
        <v>3636</v>
      </c>
      <c r="F2858" t="s">
        <v>3609</v>
      </c>
      <c r="G2858" s="1">
        <v>7087687.79</v>
      </c>
    </row>
    <row r="2859" spans="1:7">
      <c r="A2859" t="s">
        <v>2954</v>
      </c>
      <c r="B2859" s="6">
        <v>45877</v>
      </c>
      <c r="C2859" s="6" t="str">
        <f>TEXT(Table3[[#This Row],[transaction_date]], "yyyy-mm")</f>
        <v>2025-08</v>
      </c>
      <c r="D2859" t="s">
        <v>76</v>
      </c>
      <c r="E2859" t="s">
        <v>3637</v>
      </c>
      <c r="F2859" t="s">
        <v>3619</v>
      </c>
      <c r="G2859" s="1">
        <v>496423.25</v>
      </c>
    </row>
    <row r="2860" spans="1:7">
      <c r="A2860" t="s">
        <v>2955</v>
      </c>
      <c r="B2860" s="6">
        <v>45868</v>
      </c>
      <c r="C2860" s="6" t="str">
        <f>TEXT(Table3[[#This Row],[transaction_date]], "yyyy-mm")</f>
        <v>2025-07</v>
      </c>
      <c r="D2860" t="s">
        <v>73</v>
      </c>
      <c r="E2860" t="s">
        <v>3636</v>
      </c>
      <c r="F2860" t="s">
        <v>3605</v>
      </c>
      <c r="G2860" s="1">
        <v>1408144.92</v>
      </c>
    </row>
    <row r="2861" spans="1:7">
      <c r="A2861" t="s">
        <v>2956</v>
      </c>
      <c r="B2861" s="6">
        <v>45722</v>
      </c>
      <c r="C2861" s="6" t="str">
        <f>TEXT(Table3[[#This Row],[transaction_date]], "yyyy-mm")</f>
        <v>2025-03</v>
      </c>
      <c r="D2861" t="s">
        <v>77</v>
      </c>
      <c r="E2861" t="s">
        <v>3636</v>
      </c>
      <c r="F2861" t="s">
        <v>3610</v>
      </c>
      <c r="G2861" s="1">
        <v>5513948.8399999999</v>
      </c>
    </row>
    <row r="2862" spans="1:7">
      <c r="A2862" t="s">
        <v>2957</v>
      </c>
      <c r="B2862" s="6">
        <v>45694</v>
      </c>
      <c r="C2862" s="6" t="str">
        <f>TEXT(Table3[[#This Row],[transaction_date]], "yyyy-mm")</f>
        <v>2025-02</v>
      </c>
      <c r="D2862" t="s">
        <v>73</v>
      </c>
      <c r="E2862" t="s">
        <v>3636</v>
      </c>
      <c r="F2862" t="s">
        <v>3604</v>
      </c>
      <c r="G2862" s="1">
        <v>429775.47</v>
      </c>
    </row>
    <row r="2863" spans="1:7">
      <c r="A2863" t="s">
        <v>2958</v>
      </c>
      <c r="B2863" s="6">
        <v>45873</v>
      </c>
      <c r="C2863" s="6" t="str">
        <f>TEXT(Table3[[#This Row],[transaction_date]], "yyyy-mm")</f>
        <v>2025-08</v>
      </c>
      <c r="D2863" t="s">
        <v>76</v>
      </c>
      <c r="E2863" t="s">
        <v>3637</v>
      </c>
      <c r="F2863" t="s">
        <v>3621</v>
      </c>
      <c r="G2863" s="1">
        <v>1617709.4</v>
      </c>
    </row>
    <row r="2864" spans="1:7">
      <c r="A2864" t="s">
        <v>2959</v>
      </c>
      <c r="B2864" s="6">
        <v>45726</v>
      </c>
      <c r="C2864" s="6" t="str">
        <f>TEXT(Table3[[#This Row],[transaction_date]], "yyyy-mm")</f>
        <v>2025-03</v>
      </c>
      <c r="D2864" t="s">
        <v>74</v>
      </c>
      <c r="E2864" t="s">
        <v>3636</v>
      </c>
      <c r="F2864" t="s">
        <v>3611</v>
      </c>
      <c r="G2864" s="1">
        <v>1392384.33</v>
      </c>
    </row>
    <row r="2865" spans="1:7">
      <c r="A2865" t="s">
        <v>2960</v>
      </c>
      <c r="B2865" s="6">
        <v>45748</v>
      </c>
      <c r="C2865" s="6" t="str">
        <f>TEXT(Table3[[#This Row],[transaction_date]], "yyyy-mm")</f>
        <v>2025-04</v>
      </c>
      <c r="D2865" t="s">
        <v>82</v>
      </c>
      <c r="E2865" t="s">
        <v>3637</v>
      </c>
      <c r="F2865" t="s">
        <v>3623</v>
      </c>
      <c r="G2865" s="1">
        <v>16630792.859999999</v>
      </c>
    </row>
    <row r="2866" spans="1:7">
      <c r="A2866" t="s">
        <v>2961</v>
      </c>
      <c r="B2866" s="6">
        <v>45668</v>
      </c>
      <c r="C2866" s="6" t="str">
        <f>TEXT(Table3[[#This Row],[transaction_date]], "yyyy-mm")</f>
        <v>2025-01</v>
      </c>
      <c r="D2866" t="s">
        <v>75</v>
      </c>
      <c r="E2866" t="s">
        <v>3636</v>
      </c>
      <c r="F2866" t="s">
        <v>3605</v>
      </c>
      <c r="G2866" s="1">
        <v>1226676.03</v>
      </c>
    </row>
    <row r="2867" spans="1:7">
      <c r="A2867" t="s">
        <v>2962</v>
      </c>
      <c r="B2867" s="6">
        <v>45681</v>
      </c>
      <c r="C2867" s="6" t="str">
        <f>TEXT(Table3[[#This Row],[transaction_date]], "yyyy-mm")</f>
        <v>2025-01</v>
      </c>
      <c r="D2867" t="s">
        <v>82</v>
      </c>
      <c r="E2867" t="s">
        <v>3637</v>
      </c>
      <c r="F2867" t="s">
        <v>3616</v>
      </c>
      <c r="G2867" s="1">
        <v>19500835.010000002</v>
      </c>
    </row>
    <row r="2868" spans="1:7">
      <c r="A2868" t="s">
        <v>2963</v>
      </c>
      <c r="B2868" s="6">
        <v>45867</v>
      </c>
      <c r="C2868" s="6" t="str">
        <f>TEXT(Table3[[#This Row],[transaction_date]], "yyyy-mm")</f>
        <v>2025-07</v>
      </c>
      <c r="D2868" t="s">
        <v>85</v>
      </c>
      <c r="E2868" t="s">
        <v>3637</v>
      </c>
      <c r="F2868" t="s">
        <v>3621</v>
      </c>
      <c r="G2868" s="1">
        <v>1468671.35</v>
      </c>
    </row>
    <row r="2869" spans="1:7">
      <c r="A2869" t="s">
        <v>2964</v>
      </c>
      <c r="B2869" s="6">
        <v>45869</v>
      </c>
      <c r="C2869" s="6" t="str">
        <f>TEXT(Table3[[#This Row],[transaction_date]], "yyyy-mm")</f>
        <v>2025-07</v>
      </c>
      <c r="D2869" t="s">
        <v>78</v>
      </c>
      <c r="E2869" t="s">
        <v>3637</v>
      </c>
      <c r="F2869" t="s">
        <v>3620</v>
      </c>
      <c r="G2869" s="1">
        <v>2339413.86</v>
      </c>
    </row>
    <row r="2870" spans="1:7">
      <c r="A2870" t="s">
        <v>2965</v>
      </c>
      <c r="B2870" s="6">
        <v>45694</v>
      </c>
      <c r="C2870" s="6" t="str">
        <f>TEXT(Table3[[#This Row],[transaction_date]], "yyyy-mm")</f>
        <v>2025-02</v>
      </c>
      <c r="D2870" t="s">
        <v>82</v>
      </c>
      <c r="E2870" t="s">
        <v>3636</v>
      </c>
      <c r="F2870" t="s">
        <v>3611</v>
      </c>
      <c r="G2870" s="1">
        <v>14948790.560000001</v>
      </c>
    </row>
    <row r="2871" spans="1:7">
      <c r="A2871" t="s">
        <v>2966</v>
      </c>
      <c r="B2871" s="6">
        <v>45797</v>
      </c>
      <c r="C2871" s="6" t="str">
        <f>TEXT(Table3[[#This Row],[transaction_date]], "yyyy-mm")</f>
        <v>2025-05</v>
      </c>
      <c r="D2871" t="s">
        <v>76</v>
      </c>
      <c r="E2871" t="s">
        <v>3637</v>
      </c>
      <c r="F2871" t="s">
        <v>3619</v>
      </c>
      <c r="G2871" s="1">
        <v>4280008.55</v>
      </c>
    </row>
    <row r="2872" spans="1:7">
      <c r="A2872" t="s">
        <v>2967</v>
      </c>
      <c r="B2872" s="6">
        <v>45813</v>
      </c>
      <c r="C2872" s="6" t="str">
        <f>TEXT(Table3[[#This Row],[transaction_date]], "yyyy-mm")</f>
        <v>2025-06</v>
      </c>
      <c r="D2872" t="s">
        <v>73</v>
      </c>
      <c r="E2872" t="s">
        <v>3636</v>
      </c>
      <c r="F2872" t="s">
        <v>3611</v>
      </c>
      <c r="G2872" s="1">
        <v>47431.33</v>
      </c>
    </row>
    <row r="2873" spans="1:7">
      <c r="A2873" t="s">
        <v>2968</v>
      </c>
      <c r="B2873" s="6">
        <v>45690</v>
      </c>
      <c r="C2873" s="6" t="str">
        <f>TEXT(Table3[[#This Row],[transaction_date]], "yyyy-mm")</f>
        <v>2025-02</v>
      </c>
      <c r="D2873" t="s">
        <v>74</v>
      </c>
      <c r="E2873" t="s">
        <v>3636</v>
      </c>
      <c r="F2873" t="s">
        <v>3606</v>
      </c>
      <c r="G2873" s="1">
        <v>1175204.74</v>
      </c>
    </row>
    <row r="2874" spans="1:7">
      <c r="A2874" t="s">
        <v>2969</v>
      </c>
      <c r="B2874" s="6">
        <v>46009</v>
      </c>
      <c r="C2874" s="6" t="str">
        <f>TEXT(Table3[[#This Row],[transaction_date]], "yyyy-mm")</f>
        <v>2025-12</v>
      </c>
      <c r="D2874" t="s">
        <v>3597</v>
      </c>
      <c r="E2874" t="s">
        <v>3636</v>
      </c>
      <c r="F2874" t="s">
        <v>3604</v>
      </c>
      <c r="G2874" s="1">
        <v>1113885.3899999999</v>
      </c>
    </row>
    <row r="2875" spans="1:7">
      <c r="A2875" t="s">
        <v>2970</v>
      </c>
      <c r="B2875" s="6">
        <v>45790</v>
      </c>
      <c r="C2875" s="6" t="str">
        <f>TEXT(Table3[[#This Row],[transaction_date]], "yyyy-mm")</f>
        <v>2025-05</v>
      </c>
      <c r="D2875" t="s">
        <v>3597</v>
      </c>
      <c r="E2875" t="s">
        <v>3636</v>
      </c>
      <c r="F2875" t="s">
        <v>3604</v>
      </c>
      <c r="G2875" s="1">
        <v>2519754.13</v>
      </c>
    </row>
    <row r="2876" spans="1:7">
      <c r="A2876" t="s">
        <v>2971</v>
      </c>
      <c r="B2876" s="6">
        <v>45695</v>
      </c>
      <c r="C2876" s="6" t="str">
        <f>TEXT(Table3[[#This Row],[transaction_date]], "yyyy-mm")</f>
        <v>2025-02</v>
      </c>
      <c r="D2876" t="s">
        <v>79</v>
      </c>
      <c r="E2876" t="s">
        <v>3637</v>
      </c>
      <c r="F2876" t="s">
        <v>3614</v>
      </c>
      <c r="G2876" s="1">
        <v>3664350.22</v>
      </c>
    </row>
    <row r="2877" spans="1:7">
      <c r="A2877" t="s">
        <v>2972</v>
      </c>
      <c r="B2877" s="6">
        <v>45708</v>
      </c>
      <c r="C2877" s="6" t="str">
        <f>TEXT(Table3[[#This Row],[transaction_date]], "yyyy-mm")</f>
        <v>2025-02</v>
      </c>
      <c r="D2877" t="s">
        <v>73</v>
      </c>
      <c r="E2877" t="s">
        <v>3637</v>
      </c>
      <c r="F2877" t="s">
        <v>3615</v>
      </c>
      <c r="G2877" s="1">
        <v>334569.33</v>
      </c>
    </row>
    <row r="2878" spans="1:7">
      <c r="A2878" t="s">
        <v>2973</v>
      </c>
      <c r="B2878" s="6">
        <v>45829</v>
      </c>
      <c r="C2878" s="6" t="str">
        <f>TEXT(Table3[[#This Row],[transaction_date]], "yyyy-mm")</f>
        <v>2025-06</v>
      </c>
      <c r="D2878" t="s">
        <v>90</v>
      </c>
      <c r="E2878" t="s">
        <v>3636</v>
      </c>
      <c r="F2878" t="s">
        <v>3608</v>
      </c>
      <c r="G2878" s="1">
        <v>2337512.08</v>
      </c>
    </row>
    <row r="2879" spans="1:7">
      <c r="A2879" t="s">
        <v>2974</v>
      </c>
      <c r="B2879" s="6">
        <v>45742</v>
      </c>
      <c r="C2879" s="6" t="str">
        <f>TEXT(Table3[[#This Row],[transaction_date]], "yyyy-mm")</f>
        <v>2025-03</v>
      </c>
      <c r="D2879" t="s">
        <v>89</v>
      </c>
      <c r="E2879" t="s">
        <v>3637</v>
      </c>
      <c r="F2879" t="s">
        <v>3623</v>
      </c>
      <c r="G2879" s="1">
        <v>537759.21</v>
      </c>
    </row>
    <row r="2880" spans="1:7">
      <c r="A2880" t="s">
        <v>2975</v>
      </c>
      <c r="B2880" s="6">
        <v>46005</v>
      </c>
      <c r="C2880" s="6" t="str">
        <f>TEXT(Table3[[#This Row],[transaction_date]], "yyyy-mm")</f>
        <v>2025-12</v>
      </c>
      <c r="D2880" t="s">
        <v>89</v>
      </c>
      <c r="E2880" t="s">
        <v>3636</v>
      </c>
      <c r="F2880" t="s">
        <v>3610</v>
      </c>
      <c r="G2880" s="1">
        <v>3517468.19</v>
      </c>
    </row>
    <row r="2881" spans="1:7">
      <c r="A2881" t="s">
        <v>2976</v>
      </c>
      <c r="B2881" s="6">
        <v>45847</v>
      </c>
      <c r="C2881" s="6" t="str">
        <f>TEXT(Table3[[#This Row],[transaction_date]], "yyyy-mm")</f>
        <v>2025-07</v>
      </c>
      <c r="D2881" t="s">
        <v>73</v>
      </c>
      <c r="E2881" t="s">
        <v>3637</v>
      </c>
      <c r="F2881" t="s">
        <v>3623</v>
      </c>
      <c r="G2881" s="1">
        <v>1240550.1599999999</v>
      </c>
    </row>
    <row r="2882" spans="1:7">
      <c r="A2882" t="s">
        <v>2977</v>
      </c>
      <c r="B2882" s="6">
        <v>45725</v>
      </c>
      <c r="C2882" s="6" t="str">
        <f>TEXT(Table3[[#This Row],[transaction_date]], "yyyy-mm")</f>
        <v>2025-03</v>
      </c>
      <c r="D2882" t="s">
        <v>73</v>
      </c>
      <c r="E2882" t="s">
        <v>3636</v>
      </c>
      <c r="F2882" t="s">
        <v>3605</v>
      </c>
      <c r="G2882" s="1">
        <v>1212812.5</v>
      </c>
    </row>
    <row r="2883" spans="1:7">
      <c r="A2883" t="s">
        <v>2978</v>
      </c>
      <c r="B2883" s="6">
        <v>46007</v>
      </c>
      <c r="C2883" s="6" t="str">
        <f>TEXT(Table3[[#This Row],[transaction_date]], "yyyy-mm")</f>
        <v>2025-12</v>
      </c>
      <c r="D2883" t="s">
        <v>90</v>
      </c>
      <c r="E2883" t="s">
        <v>3637</v>
      </c>
      <c r="F2883" t="s">
        <v>3622</v>
      </c>
      <c r="G2883" s="1">
        <v>1238788.1100000001</v>
      </c>
    </row>
    <row r="2884" spans="1:7">
      <c r="A2884" t="s">
        <v>2979</v>
      </c>
      <c r="B2884" s="6">
        <v>45936</v>
      </c>
      <c r="C2884" s="6" t="str">
        <f>TEXT(Table3[[#This Row],[transaction_date]], "yyyy-mm")</f>
        <v>2025-10</v>
      </c>
      <c r="D2884" t="s">
        <v>74</v>
      </c>
      <c r="E2884" t="s">
        <v>3637</v>
      </c>
      <c r="F2884" t="s">
        <v>3621</v>
      </c>
      <c r="G2884" s="1">
        <v>390709.57</v>
      </c>
    </row>
    <row r="2885" spans="1:7">
      <c r="A2885" t="s">
        <v>2980</v>
      </c>
      <c r="B2885" s="6">
        <v>45827</v>
      </c>
      <c r="C2885" s="6" t="str">
        <f>TEXT(Table3[[#This Row],[transaction_date]], "yyyy-mm")</f>
        <v>2025-06</v>
      </c>
      <c r="D2885" t="s">
        <v>79</v>
      </c>
      <c r="E2885" t="s">
        <v>3636</v>
      </c>
      <c r="F2885" t="s">
        <v>3613</v>
      </c>
      <c r="G2885" s="1">
        <v>900692.38</v>
      </c>
    </row>
    <row r="2886" spans="1:7">
      <c r="A2886" t="s">
        <v>2981</v>
      </c>
      <c r="B2886" s="6">
        <v>45969</v>
      </c>
      <c r="C2886" s="6" t="str">
        <f>TEXT(Table3[[#This Row],[transaction_date]], "yyyy-mm")</f>
        <v>2025-11</v>
      </c>
      <c r="D2886" t="s">
        <v>78</v>
      </c>
      <c r="E2886" t="s">
        <v>3637</v>
      </c>
      <c r="F2886" t="s">
        <v>3621</v>
      </c>
      <c r="G2886" s="1">
        <v>3482273.01</v>
      </c>
    </row>
    <row r="2887" spans="1:7">
      <c r="A2887" t="s">
        <v>2982</v>
      </c>
      <c r="B2887" s="6">
        <v>45812</v>
      </c>
      <c r="C2887" s="6" t="str">
        <f>TEXT(Table3[[#This Row],[transaction_date]], "yyyy-mm")</f>
        <v>2025-06</v>
      </c>
      <c r="D2887" t="s">
        <v>93</v>
      </c>
      <c r="E2887" t="s">
        <v>3637</v>
      </c>
      <c r="F2887" t="s">
        <v>3615</v>
      </c>
      <c r="G2887" s="1">
        <v>2771721.55</v>
      </c>
    </row>
    <row r="2888" spans="1:7">
      <c r="A2888" t="s">
        <v>2983</v>
      </c>
      <c r="B2888" s="6">
        <v>45836</v>
      </c>
      <c r="C2888" s="6" t="str">
        <f>TEXT(Table3[[#This Row],[transaction_date]], "yyyy-mm")</f>
        <v>2025-06</v>
      </c>
      <c r="D2888" t="s">
        <v>90</v>
      </c>
      <c r="E2888" t="s">
        <v>3637</v>
      </c>
      <c r="F2888" t="s">
        <v>3619</v>
      </c>
      <c r="G2888" s="1">
        <v>7266179.7599999998</v>
      </c>
    </row>
    <row r="2889" spans="1:7">
      <c r="A2889" t="s">
        <v>2984</v>
      </c>
      <c r="B2889" s="6">
        <v>45825</v>
      </c>
      <c r="C2889" s="6" t="str">
        <f>TEXT(Table3[[#This Row],[transaction_date]], "yyyy-mm")</f>
        <v>2025-06</v>
      </c>
      <c r="D2889" t="s">
        <v>89</v>
      </c>
      <c r="E2889" t="s">
        <v>3636</v>
      </c>
      <c r="F2889" t="s">
        <v>3609</v>
      </c>
      <c r="G2889" s="1">
        <v>577911.46</v>
      </c>
    </row>
    <row r="2890" spans="1:7">
      <c r="A2890" t="s">
        <v>2985</v>
      </c>
      <c r="B2890" s="6">
        <v>45780</v>
      </c>
      <c r="C2890" s="6" t="str">
        <f>TEXT(Table3[[#This Row],[transaction_date]], "yyyy-mm")</f>
        <v>2025-05</v>
      </c>
      <c r="D2890" t="s">
        <v>3597</v>
      </c>
      <c r="E2890" t="s">
        <v>3636</v>
      </c>
      <c r="F2890" t="s">
        <v>3613</v>
      </c>
      <c r="G2890" s="1">
        <v>12734330.5</v>
      </c>
    </row>
    <row r="2891" spans="1:7">
      <c r="A2891" t="s">
        <v>2986</v>
      </c>
      <c r="B2891" s="6">
        <v>46017</v>
      </c>
      <c r="C2891" s="6" t="str">
        <f>TEXT(Table3[[#This Row],[transaction_date]], "yyyy-mm")</f>
        <v>2025-12</v>
      </c>
      <c r="D2891" t="s">
        <v>75</v>
      </c>
      <c r="E2891" t="s">
        <v>3637</v>
      </c>
      <c r="F2891" t="s">
        <v>3614</v>
      </c>
      <c r="G2891" s="1">
        <v>22314802.940000001</v>
      </c>
    </row>
    <row r="2892" spans="1:7">
      <c r="A2892" t="s">
        <v>2987</v>
      </c>
      <c r="B2892" s="6">
        <v>45788</v>
      </c>
      <c r="C2892" s="6" t="str">
        <f>TEXT(Table3[[#This Row],[transaction_date]], "yyyy-mm")</f>
        <v>2025-05</v>
      </c>
      <c r="D2892" t="s">
        <v>90</v>
      </c>
      <c r="E2892" t="s">
        <v>3636</v>
      </c>
      <c r="F2892" t="s">
        <v>3604</v>
      </c>
      <c r="G2892" s="1">
        <v>3499002.26</v>
      </c>
    </row>
    <row r="2893" spans="1:7">
      <c r="A2893" t="s">
        <v>2988</v>
      </c>
      <c r="B2893" s="6">
        <v>46019</v>
      </c>
      <c r="C2893" s="6" t="str">
        <f>TEXT(Table3[[#This Row],[transaction_date]], "yyyy-mm")</f>
        <v>2025-12</v>
      </c>
      <c r="D2893" t="s">
        <v>85</v>
      </c>
      <c r="E2893" t="s">
        <v>3636</v>
      </c>
      <c r="F2893" t="s">
        <v>3607</v>
      </c>
      <c r="G2893" s="1">
        <v>1765930.27</v>
      </c>
    </row>
    <row r="2894" spans="1:7">
      <c r="A2894" t="s">
        <v>2989</v>
      </c>
      <c r="B2894" s="6">
        <v>45804</v>
      </c>
      <c r="C2894" s="6" t="str">
        <f>TEXT(Table3[[#This Row],[transaction_date]], "yyyy-mm")</f>
        <v>2025-05</v>
      </c>
      <c r="D2894" t="s">
        <v>82</v>
      </c>
      <c r="E2894" t="s">
        <v>3636</v>
      </c>
      <c r="F2894" t="s">
        <v>3607</v>
      </c>
      <c r="G2894" s="1">
        <v>15598572.289999999</v>
      </c>
    </row>
    <row r="2895" spans="1:7">
      <c r="A2895" t="s">
        <v>2990</v>
      </c>
      <c r="B2895" s="6">
        <v>45906</v>
      </c>
      <c r="C2895" s="6" t="str">
        <f>TEXT(Table3[[#This Row],[transaction_date]], "yyyy-mm")</f>
        <v>2025-09</v>
      </c>
      <c r="D2895" t="s">
        <v>82</v>
      </c>
      <c r="E2895" t="s">
        <v>3636</v>
      </c>
      <c r="F2895" t="s">
        <v>3605</v>
      </c>
      <c r="G2895" s="1">
        <v>3155133.37</v>
      </c>
    </row>
    <row r="2896" spans="1:7">
      <c r="A2896" t="s">
        <v>2991</v>
      </c>
      <c r="B2896" s="6">
        <v>45683</v>
      </c>
      <c r="C2896" s="6" t="str">
        <f>TEXT(Table3[[#This Row],[transaction_date]], "yyyy-mm")</f>
        <v>2025-01</v>
      </c>
      <c r="D2896" t="s">
        <v>77</v>
      </c>
      <c r="E2896" t="s">
        <v>3636</v>
      </c>
      <c r="F2896" t="s">
        <v>3610</v>
      </c>
      <c r="G2896" s="1">
        <v>4030789.85</v>
      </c>
    </row>
    <row r="2897" spans="1:7">
      <c r="A2897" t="s">
        <v>2992</v>
      </c>
      <c r="B2897" s="6">
        <v>45802</v>
      </c>
      <c r="C2897" s="6" t="str">
        <f>TEXT(Table3[[#This Row],[transaction_date]], "yyyy-mm")</f>
        <v>2025-05</v>
      </c>
      <c r="D2897" t="s">
        <v>93</v>
      </c>
      <c r="E2897" t="s">
        <v>3636</v>
      </c>
      <c r="F2897" t="s">
        <v>3607</v>
      </c>
      <c r="G2897" s="1">
        <v>6355280.2800000003</v>
      </c>
    </row>
    <row r="2898" spans="1:7">
      <c r="A2898" t="s">
        <v>2993</v>
      </c>
      <c r="B2898" s="6">
        <v>45916</v>
      </c>
      <c r="C2898" s="6" t="str">
        <f>TEXT(Table3[[#This Row],[transaction_date]], "yyyy-mm")</f>
        <v>2025-09</v>
      </c>
      <c r="D2898" t="s">
        <v>3597</v>
      </c>
      <c r="E2898" t="s">
        <v>3636</v>
      </c>
      <c r="F2898" t="s">
        <v>3605</v>
      </c>
      <c r="G2898" s="1">
        <v>7213795.8200000003</v>
      </c>
    </row>
    <row r="2899" spans="1:7">
      <c r="A2899" t="s">
        <v>2994</v>
      </c>
      <c r="B2899" s="6">
        <v>45913</v>
      </c>
      <c r="C2899" s="6" t="str">
        <f>TEXT(Table3[[#This Row],[transaction_date]], "yyyy-mm")</f>
        <v>2025-09</v>
      </c>
      <c r="D2899" t="s">
        <v>79</v>
      </c>
      <c r="E2899" t="s">
        <v>3636</v>
      </c>
      <c r="F2899" t="s">
        <v>3613</v>
      </c>
      <c r="G2899" s="1">
        <v>864748.07</v>
      </c>
    </row>
    <row r="2900" spans="1:7">
      <c r="A2900" t="s">
        <v>2995</v>
      </c>
      <c r="B2900" s="6">
        <v>45759</v>
      </c>
      <c r="C2900" s="6" t="str">
        <f>TEXT(Table3[[#This Row],[transaction_date]], "yyyy-mm")</f>
        <v>2025-04</v>
      </c>
      <c r="D2900" t="s">
        <v>84</v>
      </c>
      <c r="E2900" t="s">
        <v>3637</v>
      </c>
      <c r="F2900" t="s">
        <v>3619</v>
      </c>
      <c r="G2900" s="1">
        <v>11219046.84</v>
      </c>
    </row>
    <row r="2901" spans="1:7">
      <c r="A2901" t="s">
        <v>2996</v>
      </c>
      <c r="B2901" s="6">
        <v>45838</v>
      </c>
      <c r="C2901" s="6" t="str">
        <f>TEXT(Table3[[#This Row],[transaction_date]], "yyyy-mm")</f>
        <v>2025-06</v>
      </c>
      <c r="D2901" t="s">
        <v>82</v>
      </c>
      <c r="E2901" t="s">
        <v>3637</v>
      </c>
      <c r="F2901" t="s">
        <v>3620</v>
      </c>
      <c r="G2901" s="1">
        <v>2755312.9</v>
      </c>
    </row>
    <row r="2902" spans="1:7">
      <c r="A2902" t="s">
        <v>2997</v>
      </c>
      <c r="B2902" s="6">
        <v>45934</v>
      </c>
      <c r="C2902" s="6" t="str">
        <f>TEXT(Table3[[#This Row],[transaction_date]], "yyyy-mm")</f>
        <v>2025-10</v>
      </c>
      <c r="D2902" t="s">
        <v>84</v>
      </c>
      <c r="E2902" t="s">
        <v>3636</v>
      </c>
      <c r="F2902" t="s">
        <v>3606</v>
      </c>
      <c r="G2902" s="1">
        <v>6943957.7400000002</v>
      </c>
    </row>
    <row r="2903" spans="1:7">
      <c r="A2903" t="s">
        <v>2998</v>
      </c>
      <c r="B2903" s="6">
        <v>45968</v>
      </c>
      <c r="C2903" s="6" t="str">
        <f>TEXT(Table3[[#This Row],[transaction_date]], "yyyy-mm")</f>
        <v>2025-11</v>
      </c>
      <c r="D2903" t="s">
        <v>74</v>
      </c>
      <c r="E2903" t="s">
        <v>3636</v>
      </c>
      <c r="F2903" t="s">
        <v>3610</v>
      </c>
      <c r="G2903" s="1">
        <v>278741.84999999998</v>
      </c>
    </row>
    <row r="2904" spans="1:7">
      <c r="A2904" t="s">
        <v>2999</v>
      </c>
      <c r="B2904" s="6">
        <v>46010</v>
      </c>
      <c r="C2904" s="6" t="str">
        <f>TEXT(Table3[[#This Row],[transaction_date]], "yyyy-mm")</f>
        <v>2025-12</v>
      </c>
      <c r="D2904" t="s">
        <v>75</v>
      </c>
      <c r="E2904" t="s">
        <v>3636</v>
      </c>
      <c r="F2904" t="s">
        <v>3605</v>
      </c>
      <c r="G2904" s="1">
        <v>9138441.6500000004</v>
      </c>
    </row>
    <row r="2905" spans="1:7">
      <c r="A2905" t="s">
        <v>3000</v>
      </c>
      <c r="B2905" s="6">
        <v>45784</v>
      </c>
      <c r="C2905" s="6" t="str">
        <f>TEXT(Table3[[#This Row],[transaction_date]], "yyyy-mm")</f>
        <v>2025-05</v>
      </c>
      <c r="D2905" t="s">
        <v>77</v>
      </c>
      <c r="E2905" t="s">
        <v>3636</v>
      </c>
      <c r="F2905" t="s">
        <v>3605</v>
      </c>
      <c r="G2905" s="1">
        <v>3783428.61</v>
      </c>
    </row>
    <row r="2906" spans="1:7">
      <c r="A2906" t="s">
        <v>3001</v>
      </c>
      <c r="B2906" s="6">
        <v>45903</v>
      </c>
      <c r="C2906" s="6" t="str">
        <f>TEXT(Table3[[#This Row],[transaction_date]], "yyyy-mm")</f>
        <v>2025-09</v>
      </c>
      <c r="D2906" t="s">
        <v>82</v>
      </c>
      <c r="E2906" t="s">
        <v>3637</v>
      </c>
      <c r="F2906" t="s">
        <v>3623</v>
      </c>
      <c r="G2906" s="1">
        <v>17493722.579999998</v>
      </c>
    </row>
    <row r="2907" spans="1:7">
      <c r="A2907" t="s">
        <v>3002</v>
      </c>
      <c r="B2907" s="6">
        <v>45949</v>
      </c>
      <c r="C2907" s="6" t="str">
        <f>TEXT(Table3[[#This Row],[transaction_date]], "yyyy-mm")</f>
        <v>2025-10</v>
      </c>
      <c r="D2907" t="s">
        <v>76</v>
      </c>
      <c r="E2907" t="s">
        <v>3636</v>
      </c>
      <c r="F2907" t="s">
        <v>3608</v>
      </c>
      <c r="G2907" s="1">
        <v>4009477.82</v>
      </c>
    </row>
    <row r="2908" spans="1:7">
      <c r="A2908" t="s">
        <v>3003</v>
      </c>
      <c r="B2908" s="6">
        <v>45747</v>
      </c>
      <c r="C2908" s="6" t="str">
        <f>TEXT(Table3[[#This Row],[transaction_date]], "yyyy-mm")</f>
        <v>2025-03</v>
      </c>
      <c r="D2908" t="s">
        <v>89</v>
      </c>
      <c r="E2908" t="s">
        <v>3636</v>
      </c>
      <c r="F2908" t="s">
        <v>3613</v>
      </c>
      <c r="G2908" s="1">
        <v>375131.92</v>
      </c>
    </row>
    <row r="2909" spans="1:7">
      <c r="A2909" t="s">
        <v>3004</v>
      </c>
      <c r="B2909" s="6">
        <v>45759</v>
      </c>
      <c r="C2909" s="6" t="str">
        <f>TEXT(Table3[[#This Row],[transaction_date]], "yyyy-mm")</f>
        <v>2025-04</v>
      </c>
      <c r="D2909" t="s">
        <v>76</v>
      </c>
      <c r="E2909" t="s">
        <v>3636</v>
      </c>
      <c r="F2909" t="s">
        <v>3611</v>
      </c>
      <c r="G2909" s="1">
        <v>9651453.2599999998</v>
      </c>
    </row>
    <row r="2910" spans="1:7">
      <c r="A2910" t="s">
        <v>3005</v>
      </c>
      <c r="B2910" s="6">
        <v>45964</v>
      </c>
      <c r="C2910" s="6" t="str">
        <f>TEXT(Table3[[#This Row],[transaction_date]], "yyyy-mm")</f>
        <v>2025-11</v>
      </c>
      <c r="D2910" t="s">
        <v>74</v>
      </c>
      <c r="E2910" t="s">
        <v>3636</v>
      </c>
      <c r="F2910" t="s">
        <v>3610</v>
      </c>
      <c r="G2910" s="1">
        <v>213135.08</v>
      </c>
    </row>
    <row r="2911" spans="1:7">
      <c r="A2911" t="s">
        <v>3006</v>
      </c>
      <c r="B2911" s="6">
        <v>45755</v>
      </c>
      <c r="C2911" s="6" t="str">
        <f>TEXT(Table3[[#This Row],[transaction_date]], "yyyy-mm")</f>
        <v>2025-04</v>
      </c>
      <c r="D2911" t="s">
        <v>73</v>
      </c>
      <c r="E2911" t="s">
        <v>3637</v>
      </c>
      <c r="F2911" t="s">
        <v>3622</v>
      </c>
      <c r="G2911" s="1">
        <v>3446368.92</v>
      </c>
    </row>
    <row r="2912" spans="1:7">
      <c r="A2912" t="s">
        <v>3007</v>
      </c>
      <c r="B2912" s="6">
        <v>45727</v>
      </c>
      <c r="C2912" s="6" t="str">
        <f>TEXT(Table3[[#This Row],[transaction_date]], "yyyy-mm")</f>
        <v>2025-03</v>
      </c>
      <c r="D2912" t="s">
        <v>89</v>
      </c>
      <c r="E2912" t="s">
        <v>3636</v>
      </c>
      <c r="F2912" t="s">
        <v>3611</v>
      </c>
      <c r="G2912" s="1">
        <v>2419249.4</v>
      </c>
    </row>
    <row r="2913" spans="1:7">
      <c r="A2913" t="s">
        <v>3008</v>
      </c>
      <c r="B2913" s="6">
        <v>45997</v>
      </c>
      <c r="C2913" s="6" t="str">
        <f>TEXT(Table3[[#This Row],[transaction_date]], "yyyy-mm")</f>
        <v>2025-12</v>
      </c>
      <c r="D2913" t="s">
        <v>75</v>
      </c>
      <c r="E2913" t="s">
        <v>3636</v>
      </c>
      <c r="F2913" t="s">
        <v>3608</v>
      </c>
      <c r="G2913" s="1">
        <v>15062709.49</v>
      </c>
    </row>
    <row r="2914" spans="1:7">
      <c r="A2914" t="s">
        <v>3009</v>
      </c>
      <c r="B2914" s="6">
        <v>45790</v>
      </c>
      <c r="C2914" s="6" t="str">
        <f>TEXT(Table3[[#This Row],[transaction_date]], "yyyy-mm")</f>
        <v>2025-05</v>
      </c>
      <c r="D2914" t="s">
        <v>80</v>
      </c>
      <c r="E2914" t="s">
        <v>3636</v>
      </c>
      <c r="F2914" t="s">
        <v>3611</v>
      </c>
      <c r="G2914" s="1">
        <v>2335846.75</v>
      </c>
    </row>
    <row r="2915" spans="1:7">
      <c r="A2915" t="s">
        <v>3010</v>
      </c>
      <c r="B2915" s="6">
        <v>45880</v>
      </c>
      <c r="C2915" s="6" t="str">
        <f>TEXT(Table3[[#This Row],[transaction_date]], "yyyy-mm")</f>
        <v>2025-08</v>
      </c>
      <c r="D2915" t="s">
        <v>75</v>
      </c>
      <c r="E2915" t="s">
        <v>3636</v>
      </c>
      <c r="F2915" t="s">
        <v>3604</v>
      </c>
      <c r="G2915" s="1">
        <v>16715286.85</v>
      </c>
    </row>
    <row r="2916" spans="1:7">
      <c r="A2916" t="s">
        <v>3011</v>
      </c>
      <c r="B2916" s="6">
        <v>45681</v>
      </c>
      <c r="C2916" s="6" t="str">
        <f>TEXT(Table3[[#This Row],[transaction_date]], "yyyy-mm")</f>
        <v>2025-01</v>
      </c>
      <c r="D2916" t="s">
        <v>3597</v>
      </c>
      <c r="E2916" t="s">
        <v>3636</v>
      </c>
      <c r="F2916" t="s">
        <v>3607</v>
      </c>
      <c r="G2916" s="1">
        <v>5057165.3499999996</v>
      </c>
    </row>
    <row r="2917" spans="1:7">
      <c r="A2917" t="s">
        <v>3012</v>
      </c>
      <c r="B2917" s="6">
        <v>45820</v>
      </c>
      <c r="C2917" s="6" t="str">
        <f>TEXT(Table3[[#This Row],[transaction_date]], "yyyy-mm")</f>
        <v>2025-06</v>
      </c>
      <c r="D2917" t="s">
        <v>78</v>
      </c>
      <c r="E2917" t="s">
        <v>3637</v>
      </c>
      <c r="F2917" t="s">
        <v>3620</v>
      </c>
      <c r="G2917" s="1">
        <v>1320651.8899999999</v>
      </c>
    </row>
    <row r="2918" spans="1:7">
      <c r="A2918" t="s">
        <v>3013</v>
      </c>
      <c r="B2918" s="6">
        <v>45898</v>
      </c>
      <c r="C2918" s="6" t="str">
        <f>TEXT(Table3[[#This Row],[transaction_date]], "yyyy-mm")</f>
        <v>2025-08</v>
      </c>
      <c r="D2918" t="s">
        <v>79</v>
      </c>
      <c r="E2918" t="s">
        <v>3636</v>
      </c>
      <c r="F2918" t="s">
        <v>3604</v>
      </c>
      <c r="G2918" s="1">
        <v>4661662.8099999996</v>
      </c>
    </row>
    <row r="2919" spans="1:7">
      <c r="A2919" t="s">
        <v>3014</v>
      </c>
      <c r="B2919" s="6">
        <v>45830</v>
      </c>
      <c r="C2919" s="6" t="str">
        <f>TEXT(Table3[[#This Row],[transaction_date]], "yyyy-mm")</f>
        <v>2025-06</v>
      </c>
      <c r="D2919" t="s">
        <v>75</v>
      </c>
      <c r="E2919" t="s">
        <v>3637</v>
      </c>
      <c r="F2919" t="s">
        <v>3618</v>
      </c>
      <c r="G2919" s="1">
        <v>9467.67</v>
      </c>
    </row>
    <row r="2920" spans="1:7">
      <c r="A2920" t="s">
        <v>3015</v>
      </c>
      <c r="B2920" s="6">
        <v>45976</v>
      </c>
      <c r="C2920" s="6" t="str">
        <f>TEXT(Table3[[#This Row],[transaction_date]], "yyyy-mm")</f>
        <v>2025-11</v>
      </c>
      <c r="D2920" t="s">
        <v>79</v>
      </c>
      <c r="E2920" t="s">
        <v>3637</v>
      </c>
      <c r="F2920" t="s">
        <v>3618</v>
      </c>
      <c r="G2920" s="1">
        <v>109962.54</v>
      </c>
    </row>
    <row r="2921" spans="1:7">
      <c r="A2921" t="s">
        <v>3016</v>
      </c>
      <c r="B2921" s="6">
        <v>45950</v>
      </c>
      <c r="C2921" s="6" t="str">
        <f>TEXT(Table3[[#This Row],[transaction_date]], "yyyy-mm")</f>
        <v>2025-10</v>
      </c>
      <c r="D2921" t="s">
        <v>73</v>
      </c>
      <c r="E2921" t="s">
        <v>3637</v>
      </c>
      <c r="F2921" t="s">
        <v>3623</v>
      </c>
      <c r="G2921" s="1">
        <v>7654181.4800000004</v>
      </c>
    </row>
    <row r="2922" spans="1:7">
      <c r="A2922" t="s">
        <v>3017</v>
      </c>
      <c r="B2922" s="6">
        <v>45931</v>
      </c>
      <c r="C2922" s="6" t="str">
        <f>TEXT(Table3[[#This Row],[transaction_date]], "yyyy-mm")</f>
        <v>2025-10</v>
      </c>
      <c r="D2922" t="s">
        <v>89</v>
      </c>
      <c r="E2922" t="s">
        <v>3636</v>
      </c>
      <c r="F2922" t="s">
        <v>3613</v>
      </c>
      <c r="G2922" s="1">
        <v>57957.49</v>
      </c>
    </row>
    <row r="2923" spans="1:7">
      <c r="A2923" t="s">
        <v>3018</v>
      </c>
      <c r="B2923" s="6">
        <v>45727</v>
      </c>
      <c r="C2923" s="6" t="str">
        <f>TEXT(Table3[[#This Row],[transaction_date]], "yyyy-mm")</f>
        <v>2025-03</v>
      </c>
      <c r="D2923" t="s">
        <v>79</v>
      </c>
      <c r="E2923" t="s">
        <v>3636</v>
      </c>
      <c r="F2923" t="s">
        <v>3605</v>
      </c>
      <c r="G2923" s="1">
        <v>2389834.48</v>
      </c>
    </row>
    <row r="2924" spans="1:7">
      <c r="A2924" t="s">
        <v>3019</v>
      </c>
      <c r="B2924" s="6">
        <v>45895</v>
      </c>
      <c r="C2924" s="6" t="str">
        <f>TEXT(Table3[[#This Row],[transaction_date]], "yyyy-mm")</f>
        <v>2025-08</v>
      </c>
      <c r="D2924" t="s">
        <v>89</v>
      </c>
      <c r="E2924" t="s">
        <v>3636</v>
      </c>
      <c r="F2924" t="s">
        <v>3604</v>
      </c>
      <c r="G2924" s="1">
        <v>2604247.48</v>
      </c>
    </row>
    <row r="2925" spans="1:7">
      <c r="A2925" t="s">
        <v>3020</v>
      </c>
      <c r="B2925" s="6">
        <v>45930</v>
      </c>
      <c r="C2925" s="6" t="str">
        <f>TEXT(Table3[[#This Row],[transaction_date]], "yyyy-mm")</f>
        <v>2025-09</v>
      </c>
      <c r="D2925" t="s">
        <v>77</v>
      </c>
      <c r="E2925" t="s">
        <v>3637</v>
      </c>
      <c r="F2925" t="s">
        <v>3615</v>
      </c>
      <c r="G2925" s="1">
        <v>3140236.48</v>
      </c>
    </row>
    <row r="2926" spans="1:7">
      <c r="A2926" t="s">
        <v>3021</v>
      </c>
      <c r="B2926" s="6">
        <v>45666</v>
      </c>
      <c r="C2926" s="6" t="str">
        <f>TEXT(Table3[[#This Row],[transaction_date]], "yyyy-mm")</f>
        <v>2025-01</v>
      </c>
      <c r="D2926" t="s">
        <v>78</v>
      </c>
      <c r="E2926" t="s">
        <v>3636</v>
      </c>
      <c r="F2926" t="s">
        <v>3613</v>
      </c>
      <c r="G2926" s="1">
        <v>679860.62</v>
      </c>
    </row>
    <row r="2927" spans="1:7">
      <c r="A2927" t="s">
        <v>3022</v>
      </c>
      <c r="B2927" s="6">
        <v>45670</v>
      </c>
      <c r="C2927" s="6" t="str">
        <f>TEXT(Table3[[#This Row],[transaction_date]], "yyyy-mm")</f>
        <v>2025-01</v>
      </c>
      <c r="D2927" t="s">
        <v>75</v>
      </c>
      <c r="E2927" t="s">
        <v>3636</v>
      </c>
      <c r="F2927" t="s">
        <v>3605</v>
      </c>
      <c r="G2927" s="1">
        <v>18871284.030000001</v>
      </c>
    </row>
    <row r="2928" spans="1:7">
      <c r="A2928" t="s">
        <v>3023</v>
      </c>
      <c r="B2928" s="6">
        <v>45968</v>
      </c>
      <c r="C2928" s="6" t="str">
        <f>TEXT(Table3[[#This Row],[transaction_date]], "yyyy-mm")</f>
        <v>2025-11</v>
      </c>
      <c r="D2928" t="s">
        <v>82</v>
      </c>
      <c r="E2928" t="s">
        <v>3636</v>
      </c>
      <c r="F2928" t="s">
        <v>3613</v>
      </c>
      <c r="G2928" s="1">
        <v>3531254.37</v>
      </c>
    </row>
    <row r="2929" spans="1:7">
      <c r="A2929" t="s">
        <v>3024</v>
      </c>
      <c r="B2929" s="6">
        <v>45966</v>
      </c>
      <c r="C2929" s="6" t="str">
        <f>TEXT(Table3[[#This Row],[transaction_date]], "yyyy-mm")</f>
        <v>2025-11</v>
      </c>
      <c r="D2929" t="s">
        <v>93</v>
      </c>
      <c r="E2929" t="s">
        <v>3636</v>
      </c>
      <c r="F2929" t="s">
        <v>3609</v>
      </c>
      <c r="G2929" s="1">
        <v>5147450.13</v>
      </c>
    </row>
    <row r="2930" spans="1:7">
      <c r="A2930" t="s">
        <v>3025</v>
      </c>
      <c r="B2930" s="6">
        <v>45677</v>
      </c>
      <c r="C2930" s="6" t="str">
        <f>TEXT(Table3[[#This Row],[transaction_date]], "yyyy-mm")</f>
        <v>2025-01</v>
      </c>
      <c r="D2930" t="s">
        <v>80</v>
      </c>
      <c r="E2930" t="s">
        <v>3637</v>
      </c>
      <c r="F2930" t="s">
        <v>3623</v>
      </c>
      <c r="G2930" s="1">
        <v>226062.84</v>
      </c>
    </row>
    <row r="2931" spans="1:7">
      <c r="A2931" t="s">
        <v>3026</v>
      </c>
      <c r="B2931" s="6">
        <v>45685</v>
      </c>
      <c r="C2931" s="6" t="str">
        <f>TEXT(Table3[[#This Row],[transaction_date]], "yyyy-mm")</f>
        <v>2025-01</v>
      </c>
      <c r="D2931" t="s">
        <v>95</v>
      </c>
      <c r="E2931" t="s">
        <v>3637</v>
      </c>
      <c r="F2931" t="s">
        <v>3614</v>
      </c>
      <c r="G2931" s="1">
        <v>1312843.77</v>
      </c>
    </row>
    <row r="2932" spans="1:7">
      <c r="A2932" t="s">
        <v>3027</v>
      </c>
      <c r="B2932" s="6">
        <v>45837</v>
      </c>
      <c r="C2932" s="6" t="str">
        <f>TEXT(Table3[[#This Row],[transaction_date]], "yyyy-mm")</f>
        <v>2025-06</v>
      </c>
      <c r="D2932" t="s">
        <v>77</v>
      </c>
      <c r="E2932" t="s">
        <v>3637</v>
      </c>
      <c r="F2932" t="s">
        <v>3620</v>
      </c>
      <c r="G2932" s="1">
        <v>10366432.720000001</v>
      </c>
    </row>
    <row r="2933" spans="1:7">
      <c r="A2933" t="s">
        <v>3028</v>
      </c>
      <c r="B2933" s="6">
        <v>45673</v>
      </c>
      <c r="C2933" s="6" t="str">
        <f>TEXT(Table3[[#This Row],[transaction_date]], "yyyy-mm")</f>
        <v>2025-01</v>
      </c>
      <c r="D2933" t="s">
        <v>3597</v>
      </c>
      <c r="E2933" t="s">
        <v>3636</v>
      </c>
      <c r="F2933" t="s">
        <v>3604</v>
      </c>
      <c r="G2933" s="1">
        <v>12250663.779999999</v>
      </c>
    </row>
    <row r="2934" spans="1:7">
      <c r="A2934" t="s">
        <v>3029</v>
      </c>
      <c r="B2934" s="6">
        <v>45990</v>
      </c>
      <c r="C2934" s="6" t="str">
        <f>TEXT(Table3[[#This Row],[transaction_date]], "yyyy-mm")</f>
        <v>2025-11</v>
      </c>
      <c r="D2934" t="s">
        <v>89</v>
      </c>
      <c r="E2934" t="s">
        <v>3636</v>
      </c>
      <c r="F2934" t="s">
        <v>3610</v>
      </c>
      <c r="G2934" s="1">
        <v>826194.34</v>
      </c>
    </row>
    <row r="2935" spans="1:7">
      <c r="A2935" t="s">
        <v>3030</v>
      </c>
      <c r="B2935" s="6">
        <v>45797</v>
      </c>
      <c r="C2935" s="6" t="str">
        <f>TEXT(Table3[[#This Row],[transaction_date]], "yyyy-mm")</f>
        <v>2025-05</v>
      </c>
      <c r="D2935" t="s">
        <v>73</v>
      </c>
      <c r="E2935" t="s">
        <v>3637</v>
      </c>
      <c r="F2935" t="s">
        <v>3619</v>
      </c>
      <c r="G2935" s="1">
        <v>973245.32</v>
      </c>
    </row>
    <row r="2936" spans="1:7">
      <c r="A2936" t="s">
        <v>3031</v>
      </c>
      <c r="B2936" s="6">
        <v>45966</v>
      </c>
      <c r="C2936" s="6" t="str">
        <f>TEXT(Table3[[#This Row],[transaction_date]], "yyyy-mm")</f>
        <v>2025-11</v>
      </c>
      <c r="D2936" t="s">
        <v>75</v>
      </c>
      <c r="E2936" t="s">
        <v>3636</v>
      </c>
      <c r="F2936" t="s">
        <v>3604</v>
      </c>
      <c r="G2936" s="1">
        <v>21514216.73</v>
      </c>
    </row>
    <row r="2937" spans="1:7">
      <c r="A2937" t="s">
        <v>3032</v>
      </c>
      <c r="B2937" s="6">
        <v>45994</v>
      </c>
      <c r="C2937" s="6" t="str">
        <f>TEXT(Table3[[#This Row],[transaction_date]], "yyyy-mm")</f>
        <v>2025-12</v>
      </c>
      <c r="D2937" t="s">
        <v>74</v>
      </c>
      <c r="E2937" t="s">
        <v>3636</v>
      </c>
      <c r="F2937" t="s">
        <v>3607</v>
      </c>
      <c r="G2937" s="1">
        <v>67147.22</v>
      </c>
    </row>
    <row r="2938" spans="1:7">
      <c r="A2938" t="s">
        <v>3033</v>
      </c>
      <c r="B2938" s="6">
        <v>45700</v>
      </c>
      <c r="C2938" s="6" t="str">
        <f>TEXT(Table3[[#This Row],[transaction_date]], "yyyy-mm")</f>
        <v>2025-02</v>
      </c>
      <c r="D2938" t="s">
        <v>84</v>
      </c>
      <c r="E2938" t="s">
        <v>3637</v>
      </c>
      <c r="F2938" t="s">
        <v>3621</v>
      </c>
      <c r="G2938" s="1">
        <v>3524050.89</v>
      </c>
    </row>
    <row r="2939" spans="1:7">
      <c r="A2939" t="s">
        <v>3034</v>
      </c>
      <c r="B2939" s="6">
        <v>45848</v>
      </c>
      <c r="C2939" s="6" t="str">
        <f>TEXT(Table3[[#This Row],[transaction_date]], "yyyy-mm")</f>
        <v>2025-07</v>
      </c>
      <c r="D2939" t="s">
        <v>80</v>
      </c>
      <c r="E2939" t="s">
        <v>3636</v>
      </c>
      <c r="F2939" t="s">
        <v>3611</v>
      </c>
      <c r="G2939" s="1">
        <v>1584172</v>
      </c>
    </row>
    <row r="2940" spans="1:7">
      <c r="A2940" t="s">
        <v>3035</v>
      </c>
      <c r="B2940" s="6">
        <v>45902</v>
      </c>
      <c r="C2940" s="6" t="str">
        <f>TEXT(Table3[[#This Row],[transaction_date]], "yyyy-mm")</f>
        <v>2025-09</v>
      </c>
      <c r="D2940" t="s">
        <v>74</v>
      </c>
      <c r="E2940" t="s">
        <v>3636</v>
      </c>
      <c r="F2940" t="s">
        <v>3612</v>
      </c>
      <c r="G2940" s="1">
        <v>149669.19</v>
      </c>
    </row>
    <row r="2941" spans="1:7">
      <c r="A2941" t="s">
        <v>3036</v>
      </c>
      <c r="B2941" s="6">
        <v>45801</v>
      </c>
      <c r="C2941" s="6" t="str">
        <f>TEXT(Table3[[#This Row],[transaction_date]], "yyyy-mm")</f>
        <v>2025-05</v>
      </c>
      <c r="D2941" t="s">
        <v>3597</v>
      </c>
      <c r="E2941" t="s">
        <v>3636</v>
      </c>
      <c r="F2941" t="s">
        <v>3605</v>
      </c>
      <c r="G2941" s="1">
        <v>10711031.16</v>
      </c>
    </row>
    <row r="2942" spans="1:7">
      <c r="A2942" t="s">
        <v>3037</v>
      </c>
      <c r="B2942" s="6">
        <v>45980</v>
      </c>
      <c r="C2942" s="6" t="str">
        <f>TEXT(Table3[[#This Row],[transaction_date]], "yyyy-mm")</f>
        <v>2025-11</v>
      </c>
      <c r="D2942" t="s">
        <v>85</v>
      </c>
      <c r="E2942" t="s">
        <v>3637</v>
      </c>
      <c r="F2942" t="s">
        <v>3623</v>
      </c>
      <c r="G2942" s="1">
        <v>908409.2</v>
      </c>
    </row>
    <row r="2943" spans="1:7">
      <c r="A2943" t="s">
        <v>3038</v>
      </c>
      <c r="B2943" s="6">
        <v>45848</v>
      </c>
      <c r="C2943" s="6" t="str">
        <f>TEXT(Table3[[#This Row],[transaction_date]], "yyyy-mm")</f>
        <v>2025-07</v>
      </c>
      <c r="D2943" t="s">
        <v>76</v>
      </c>
      <c r="E2943" t="s">
        <v>3637</v>
      </c>
      <c r="F2943" t="s">
        <v>3618</v>
      </c>
      <c r="G2943" s="1">
        <v>14936593.18</v>
      </c>
    </row>
    <row r="2944" spans="1:7">
      <c r="A2944" t="s">
        <v>3039</v>
      </c>
      <c r="B2944" s="6">
        <v>45917</v>
      </c>
      <c r="C2944" s="6" t="str">
        <f>TEXT(Table3[[#This Row],[transaction_date]], "yyyy-mm")</f>
        <v>2025-09</v>
      </c>
      <c r="D2944" t="s">
        <v>90</v>
      </c>
      <c r="E2944" t="s">
        <v>3636</v>
      </c>
      <c r="F2944" t="s">
        <v>3608</v>
      </c>
      <c r="G2944" s="1">
        <v>2816015.76</v>
      </c>
    </row>
    <row r="2945" spans="1:7">
      <c r="A2945" t="s">
        <v>3040</v>
      </c>
      <c r="B2945" s="6">
        <v>45819</v>
      </c>
      <c r="C2945" s="6" t="str">
        <f>TEXT(Table3[[#This Row],[transaction_date]], "yyyy-mm")</f>
        <v>2025-06</v>
      </c>
      <c r="D2945" t="s">
        <v>78</v>
      </c>
      <c r="E2945" t="s">
        <v>3636</v>
      </c>
      <c r="F2945" t="s">
        <v>3608</v>
      </c>
      <c r="G2945" s="1">
        <v>1960970.43</v>
      </c>
    </row>
    <row r="2946" spans="1:7">
      <c r="A2946" t="s">
        <v>3041</v>
      </c>
      <c r="B2946" s="6">
        <v>45746</v>
      </c>
      <c r="C2946" s="6" t="str">
        <f>TEXT(Table3[[#This Row],[transaction_date]], "yyyy-mm")</f>
        <v>2025-03</v>
      </c>
      <c r="D2946" t="s">
        <v>79</v>
      </c>
      <c r="E2946" t="s">
        <v>3637</v>
      </c>
      <c r="F2946" t="s">
        <v>3622</v>
      </c>
      <c r="G2946" s="1">
        <v>1707304.01</v>
      </c>
    </row>
    <row r="2947" spans="1:7">
      <c r="A2947" t="s">
        <v>3042</v>
      </c>
      <c r="B2947" s="6">
        <v>45855</v>
      </c>
      <c r="C2947" s="6" t="str">
        <f>TEXT(Table3[[#This Row],[transaction_date]], "yyyy-mm")</f>
        <v>2025-07</v>
      </c>
      <c r="D2947" t="s">
        <v>89</v>
      </c>
      <c r="E2947" t="s">
        <v>3637</v>
      </c>
      <c r="F2947" t="s">
        <v>3618</v>
      </c>
      <c r="G2947" s="1">
        <v>2374422.2400000002</v>
      </c>
    </row>
    <row r="2948" spans="1:7">
      <c r="A2948" t="s">
        <v>3043</v>
      </c>
      <c r="B2948" s="6">
        <v>45798</v>
      </c>
      <c r="C2948" s="6" t="str">
        <f>TEXT(Table3[[#This Row],[transaction_date]], "yyyy-mm")</f>
        <v>2025-05</v>
      </c>
      <c r="D2948" t="s">
        <v>79</v>
      </c>
      <c r="E2948" t="s">
        <v>3636</v>
      </c>
      <c r="F2948" t="s">
        <v>3604</v>
      </c>
      <c r="G2948" s="1">
        <v>3872459</v>
      </c>
    </row>
    <row r="2949" spans="1:7">
      <c r="A2949" t="s">
        <v>3044</v>
      </c>
      <c r="B2949" s="6">
        <v>45824</v>
      </c>
      <c r="C2949" s="6" t="str">
        <f>TEXT(Table3[[#This Row],[transaction_date]], "yyyy-mm")</f>
        <v>2025-06</v>
      </c>
      <c r="D2949" t="s">
        <v>74</v>
      </c>
      <c r="E2949" t="s">
        <v>3637</v>
      </c>
      <c r="F2949" t="s">
        <v>3620</v>
      </c>
      <c r="G2949" s="1">
        <v>1615115.38</v>
      </c>
    </row>
    <row r="2950" spans="1:7">
      <c r="A2950" t="s">
        <v>3045</v>
      </c>
      <c r="B2950" s="6">
        <v>45952</v>
      </c>
      <c r="C2950" s="6" t="str">
        <f>TEXT(Table3[[#This Row],[transaction_date]], "yyyy-mm")</f>
        <v>2025-10</v>
      </c>
      <c r="D2950" t="s">
        <v>75</v>
      </c>
      <c r="E2950" t="s">
        <v>3636</v>
      </c>
      <c r="F2950" t="s">
        <v>3609</v>
      </c>
      <c r="G2950" s="1">
        <v>295600.40999999997</v>
      </c>
    </row>
    <row r="2951" spans="1:7">
      <c r="A2951" t="s">
        <v>3046</v>
      </c>
      <c r="B2951" s="6">
        <v>45699</v>
      </c>
      <c r="C2951" s="6" t="str">
        <f>TEXT(Table3[[#This Row],[transaction_date]], "yyyy-mm")</f>
        <v>2025-02</v>
      </c>
      <c r="D2951" t="s">
        <v>73</v>
      </c>
      <c r="E2951" t="s">
        <v>3636</v>
      </c>
      <c r="F2951" t="s">
        <v>3607</v>
      </c>
      <c r="G2951" s="1">
        <v>850640</v>
      </c>
    </row>
    <row r="2952" spans="1:7">
      <c r="A2952" t="s">
        <v>3047</v>
      </c>
      <c r="B2952" s="6">
        <v>45939</v>
      </c>
      <c r="C2952" s="6" t="str">
        <f>TEXT(Table3[[#This Row],[transaction_date]], "yyyy-mm")</f>
        <v>2025-10</v>
      </c>
      <c r="D2952" t="s">
        <v>77</v>
      </c>
      <c r="E2952" t="s">
        <v>3636</v>
      </c>
      <c r="F2952" t="s">
        <v>3609</v>
      </c>
      <c r="G2952" s="1">
        <v>16994.43</v>
      </c>
    </row>
    <row r="2953" spans="1:7">
      <c r="A2953" t="s">
        <v>3048</v>
      </c>
      <c r="B2953" s="6">
        <v>45678</v>
      </c>
      <c r="C2953" s="6" t="str">
        <f>TEXT(Table3[[#This Row],[transaction_date]], "yyyy-mm")</f>
        <v>2025-01</v>
      </c>
      <c r="D2953" t="s">
        <v>73</v>
      </c>
      <c r="E2953" t="s">
        <v>3636</v>
      </c>
      <c r="F2953" t="s">
        <v>3605</v>
      </c>
      <c r="G2953" s="1">
        <v>968374.94</v>
      </c>
    </row>
    <row r="2954" spans="1:7">
      <c r="A2954" t="s">
        <v>3049</v>
      </c>
      <c r="B2954" s="6">
        <v>45876</v>
      </c>
      <c r="C2954" s="6" t="str">
        <f>TEXT(Table3[[#This Row],[transaction_date]], "yyyy-mm")</f>
        <v>2025-08</v>
      </c>
      <c r="D2954" t="s">
        <v>73</v>
      </c>
      <c r="E2954" t="s">
        <v>3637</v>
      </c>
      <c r="F2954" t="s">
        <v>3623</v>
      </c>
      <c r="G2954" s="1">
        <v>4228539.88</v>
      </c>
    </row>
    <row r="2955" spans="1:7">
      <c r="A2955" t="s">
        <v>3050</v>
      </c>
      <c r="B2955" s="6">
        <v>46004</v>
      </c>
      <c r="C2955" s="6" t="str">
        <f>TEXT(Table3[[#This Row],[transaction_date]], "yyyy-mm")</f>
        <v>2025-12</v>
      </c>
      <c r="D2955" t="s">
        <v>3597</v>
      </c>
      <c r="E2955" t="s">
        <v>3636</v>
      </c>
      <c r="F2955" t="s">
        <v>3613</v>
      </c>
      <c r="G2955" s="1">
        <v>13526589.5</v>
      </c>
    </row>
    <row r="2956" spans="1:7">
      <c r="A2956" t="s">
        <v>3051</v>
      </c>
      <c r="B2956" s="6">
        <v>45662</v>
      </c>
      <c r="C2956" s="6" t="str">
        <f>TEXT(Table3[[#This Row],[transaction_date]], "yyyy-mm")</f>
        <v>2025-01</v>
      </c>
      <c r="D2956" t="s">
        <v>84</v>
      </c>
      <c r="E2956" t="s">
        <v>3637</v>
      </c>
      <c r="F2956" t="s">
        <v>3616</v>
      </c>
      <c r="G2956" s="1">
        <v>8710235.1699999999</v>
      </c>
    </row>
    <row r="2957" spans="1:7">
      <c r="A2957" t="s">
        <v>3052</v>
      </c>
      <c r="B2957" s="6">
        <v>46020</v>
      </c>
      <c r="C2957" s="6" t="str">
        <f>TEXT(Table3[[#This Row],[transaction_date]], "yyyy-mm")</f>
        <v>2025-12</v>
      </c>
      <c r="D2957" t="s">
        <v>76</v>
      </c>
      <c r="E2957" t="s">
        <v>3636</v>
      </c>
      <c r="F2957" t="s">
        <v>3608</v>
      </c>
      <c r="G2957" s="1">
        <v>2203306.0699999998</v>
      </c>
    </row>
    <row r="2958" spans="1:7">
      <c r="A2958" t="s">
        <v>3053</v>
      </c>
      <c r="B2958" s="6">
        <v>45921</v>
      </c>
      <c r="C2958" s="6" t="str">
        <f>TEXT(Table3[[#This Row],[transaction_date]], "yyyy-mm")</f>
        <v>2025-09</v>
      </c>
      <c r="D2958" t="s">
        <v>79</v>
      </c>
      <c r="E2958" t="s">
        <v>3636</v>
      </c>
      <c r="F2958" t="s">
        <v>3604</v>
      </c>
      <c r="G2958" s="1">
        <v>548374.81999999995</v>
      </c>
    </row>
    <row r="2959" spans="1:7">
      <c r="A2959" t="s">
        <v>3054</v>
      </c>
      <c r="B2959" s="6">
        <v>45862</v>
      </c>
      <c r="C2959" s="6" t="str">
        <f>TEXT(Table3[[#This Row],[transaction_date]], "yyyy-mm")</f>
        <v>2025-07</v>
      </c>
      <c r="D2959" t="s">
        <v>78</v>
      </c>
      <c r="E2959" t="s">
        <v>3636</v>
      </c>
      <c r="F2959" t="s">
        <v>3610</v>
      </c>
      <c r="G2959" s="1">
        <v>2586427.84</v>
      </c>
    </row>
    <row r="2960" spans="1:7">
      <c r="A2960" t="s">
        <v>3055</v>
      </c>
      <c r="B2960" s="6">
        <v>45836</v>
      </c>
      <c r="C2960" s="6" t="str">
        <f>TEXT(Table3[[#This Row],[transaction_date]], "yyyy-mm")</f>
        <v>2025-06</v>
      </c>
      <c r="D2960" t="s">
        <v>80</v>
      </c>
      <c r="E2960" t="s">
        <v>3636</v>
      </c>
      <c r="F2960" t="s">
        <v>3609</v>
      </c>
      <c r="G2960" s="1">
        <v>3666786.31</v>
      </c>
    </row>
    <row r="2961" spans="1:7">
      <c r="A2961" t="s">
        <v>3056</v>
      </c>
      <c r="B2961" s="6">
        <v>45913</v>
      </c>
      <c r="C2961" s="6" t="str">
        <f>TEXT(Table3[[#This Row],[transaction_date]], "yyyy-mm")</f>
        <v>2025-09</v>
      </c>
      <c r="D2961" t="s">
        <v>93</v>
      </c>
      <c r="E2961" t="s">
        <v>3636</v>
      </c>
      <c r="F2961" t="s">
        <v>3607</v>
      </c>
      <c r="G2961" s="1">
        <v>13857913.890000001</v>
      </c>
    </row>
    <row r="2962" spans="1:7">
      <c r="A2962" t="s">
        <v>3057</v>
      </c>
      <c r="B2962" s="6">
        <v>45710</v>
      </c>
      <c r="C2962" s="6" t="str">
        <f>TEXT(Table3[[#This Row],[transaction_date]], "yyyy-mm")</f>
        <v>2025-02</v>
      </c>
      <c r="D2962" t="s">
        <v>74</v>
      </c>
      <c r="E2962" t="s">
        <v>3636</v>
      </c>
      <c r="F2962" t="s">
        <v>3607</v>
      </c>
      <c r="G2962" s="1">
        <v>207073.39</v>
      </c>
    </row>
    <row r="2963" spans="1:7">
      <c r="A2963" t="s">
        <v>3058</v>
      </c>
      <c r="B2963" s="6">
        <v>45924</v>
      </c>
      <c r="C2963" s="6" t="str">
        <f>TEXT(Table3[[#This Row],[transaction_date]], "yyyy-mm")</f>
        <v>2025-09</v>
      </c>
      <c r="D2963" t="s">
        <v>95</v>
      </c>
      <c r="E2963" t="s">
        <v>3636</v>
      </c>
      <c r="F2963" t="s">
        <v>3604</v>
      </c>
      <c r="G2963" s="1">
        <v>109045.68</v>
      </c>
    </row>
    <row r="2964" spans="1:7">
      <c r="A2964" t="s">
        <v>3059</v>
      </c>
      <c r="B2964" s="6">
        <v>45735</v>
      </c>
      <c r="C2964" s="6" t="str">
        <f>TEXT(Table3[[#This Row],[transaction_date]], "yyyy-mm")</f>
        <v>2025-03</v>
      </c>
      <c r="D2964" t="s">
        <v>95</v>
      </c>
      <c r="E2964" t="s">
        <v>3637</v>
      </c>
      <c r="F2964" t="s">
        <v>3620</v>
      </c>
      <c r="G2964" s="1">
        <v>918538.54</v>
      </c>
    </row>
    <row r="2965" spans="1:7">
      <c r="A2965" t="s">
        <v>3060</v>
      </c>
      <c r="B2965" s="6">
        <v>45781</v>
      </c>
      <c r="C2965" s="6" t="str">
        <f>TEXT(Table3[[#This Row],[transaction_date]], "yyyy-mm")</f>
        <v>2025-05</v>
      </c>
      <c r="D2965" t="s">
        <v>93</v>
      </c>
      <c r="E2965" t="s">
        <v>3636</v>
      </c>
      <c r="F2965" t="s">
        <v>3611</v>
      </c>
      <c r="G2965" s="1">
        <v>4145576.18</v>
      </c>
    </row>
    <row r="2966" spans="1:7">
      <c r="A2966" t="s">
        <v>3061</v>
      </c>
      <c r="B2966" s="6">
        <v>45688</v>
      </c>
      <c r="C2966" s="6" t="str">
        <f>TEXT(Table3[[#This Row],[transaction_date]], "yyyy-mm")</f>
        <v>2025-01</v>
      </c>
      <c r="D2966" t="s">
        <v>73</v>
      </c>
      <c r="E2966" t="s">
        <v>3637</v>
      </c>
      <c r="F2966" t="s">
        <v>3614</v>
      </c>
      <c r="G2966" s="1">
        <v>10293253.619999999</v>
      </c>
    </row>
    <row r="2967" spans="1:7">
      <c r="A2967" t="s">
        <v>3062</v>
      </c>
      <c r="B2967" s="6">
        <v>45805</v>
      </c>
      <c r="C2967" s="6" t="str">
        <f>TEXT(Table3[[#This Row],[transaction_date]], "yyyy-mm")</f>
        <v>2025-05</v>
      </c>
      <c r="D2967" t="s">
        <v>73</v>
      </c>
      <c r="E2967" t="s">
        <v>3636</v>
      </c>
      <c r="F2967" t="s">
        <v>3610</v>
      </c>
      <c r="G2967" s="1">
        <v>5076826.59</v>
      </c>
    </row>
    <row r="2968" spans="1:7">
      <c r="A2968" t="s">
        <v>3063</v>
      </c>
      <c r="B2968" s="6">
        <v>45681</v>
      </c>
      <c r="C2968" s="6" t="str">
        <f>TEXT(Table3[[#This Row],[transaction_date]], "yyyy-mm")</f>
        <v>2025-01</v>
      </c>
      <c r="D2968" t="s">
        <v>89</v>
      </c>
      <c r="E2968" t="s">
        <v>3636</v>
      </c>
      <c r="F2968" t="s">
        <v>3610</v>
      </c>
      <c r="G2968" s="1">
        <v>3594782.74</v>
      </c>
    </row>
    <row r="2969" spans="1:7">
      <c r="A2969" t="s">
        <v>3064</v>
      </c>
      <c r="B2969" s="6">
        <v>45798</v>
      </c>
      <c r="C2969" s="6" t="str">
        <f>TEXT(Table3[[#This Row],[transaction_date]], "yyyy-mm")</f>
        <v>2025-05</v>
      </c>
      <c r="D2969" t="s">
        <v>78</v>
      </c>
      <c r="E2969" t="s">
        <v>3637</v>
      </c>
      <c r="F2969" t="s">
        <v>3621</v>
      </c>
      <c r="G2969" s="1">
        <v>4497149.5199999996</v>
      </c>
    </row>
    <row r="2970" spans="1:7">
      <c r="A2970" t="s">
        <v>3065</v>
      </c>
      <c r="B2970" s="6">
        <v>45874</v>
      </c>
      <c r="C2970" s="6" t="str">
        <f>TEXT(Table3[[#This Row],[transaction_date]], "yyyy-mm")</f>
        <v>2025-08</v>
      </c>
      <c r="D2970" t="s">
        <v>80</v>
      </c>
      <c r="E2970" t="s">
        <v>3637</v>
      </c>
      <c r="F2970" t="s">
        <v>3623</v>
      </c>
      <c r="G2970" s="1">
        <v>1523755.9</v>
      </c>
    </row>
    <row r="2971" spans="1:7">
      <c r="A2971" t="s">
        <v>3066</v>
      </c>
      <c r="B2971" s="6">
        <v>45712</v>
      </c>
      <c r="C2971" s="6" t="str">
        <f>TEXT(Table3[[#This Row],[transaction_date]], "yyyy-mm")</f>
        <v>2025-02</v>
      </c>
      <c r="D2971" t="s">
        <v>90</v>
      </c>
      <c r="E2971" t="s">
        <v>3636</v>
      </c>
      <c r="F2971" t="s">
        <v>3609</v>
      </c>
      <c r="G2971" s="1">
        <v>27603725.57</v>
      </c>
    </row>
    <row r="2972" spans="1:7">
      <c r="A2972" t="s">
        <v>3067</v>
      </c>
      <c r="B2972" s="6">
        <v>45923</v>
      </c>
      <c r="C2972" s="6" t="str">
        <f>TEXT(Table3[[#This Row],[transaction_date]], "yyyy-mm")</f>
        <v>2025-09</v>
      </c>
      <c r="D2972" t="s">
        <v>3597</v>
      </c>
      <c r="E2972" t="s">
        <v>3637</v>
      </c>
      <c r="F2972" t="s">
        <v>3621</v>
      </c>
      <c r="G2972" s="1">
        <v>3107461.73</v>
      </c>
    </row>
    <row r="2973" spans="1:7">
      <c r="A2973" t="s">
        <v>3068</v>
      </c>
      <c r="B2973" s="6">
        <v>45852</v>
      </c>
      <c r="C2973" s="6" t="str">
        <f>TEXT(Table3[[#This Row],[transaction_date]], "yyyy-mm")</f>
        <v>2025-07</v>
      </c>
      <c r="D2973" t="s">
        <v>73</v>
      </c>
      <c r="E2973" t="s">
        <v>3636</v>
      </c>
      <c r="F2973" t="s">
        <v>3609</v>
      </c>
      <c r="G2973" s="1">
        <v>14206380.060000001</v>
      </c>
    </row>
    <row r="2974" spans="1:7">
      <c r="A2974" t="s">
        <v>3069</v>
      </c>
      <c r="B2974" s="6">
        <v>45755</v>
      </c>
      <c r="C2974" s="6" t="str">
        <f>TEXT(Table3[[#This Row],[transaction_date]], "yyyy-mm")</f>
        <v>2025-04</v>
      </c>
      <c r="D2974" t="s">
        <v>74</v>
      </c>
      <c r="E2974" t="s">
        <v>3637</v>
      </c>
      <c r="F2974" t="s">
        <v>3620</v>
      </c>
      <c r="G2974" s="1">
        <v>111352.52</v>
      </c>
    </row>
    <row r="2975" spans="1:7">
      <c r="A2975" t="s">
        <v>3070</v>
      </c>
      <c r="B2975" s="6">
        <v>45844</v>
      </c>
      <c r="C2975" s="6" t="str">
        <f>TEXT(Table3[[#This Row],[transaction_date]], "yyyy-mm")</f>
        <v>2025-07</v>
      </c>
      <c r="D2975" t="s">
        <v>75</v>
      </c>
      <c r="E2975" t="s">
        <v>3636</v>
      </c>
      <c r="F2975" t="s">
        <v>3605</v>
      </c>
      <c r="G2975" s="1">
        <v>12210795.25</v>
      </c>
    </row>
    <row r="2976" spans="1:7">
      <c r="A2976" t="s">
        <v>3071</v>
      </c>
      <c r="B2976" s="6">
        <v>45737</v>
      </c>
      <c r="C2976" s="6" t="str">
        <f>TEXT(Table3[[#This Row],[transaction_date]], "yyyy-mm")</f>
        <v>2025-03</v>
      </c>
      <c r="D2976" t="s">
        <v>77</v>
      </c>
      <c r="E2976" t="s">
        <v>3636</v>
      </c>
      <c r="F2976" t="s">
        <v>3606</v>
      </c>
      <c r="G2976" s="1">
        <v>124938.39</v>
      </c>
    </row>
    <row r="2977" spans="1:7">
      <c r="A2977" t="s">
        <v>3072</v>
      </c>
      <c r="B2977" s="6">
        <v>45889</v>
      </c>
      <c r="C2977" s="6" t="str">
        <f>TEXT(Table3[[#This Row],[transaction_date]], "yyyy-mm")</f>
        <v>2025-08</v>
      </c>
      <c r="D2977" t="s">
        <v>73</v>
      </c>
      <c r="E2977" t="s">
        <v>3637</v>
      </c>
      <c r="F2977" t="s">
        <v>3617</v>
      </c>
      <c r="G2977" s="1">
        <v>893345.22</v>
      </c>
    </row>
    <row r="2978" spans="1:7">
      <c r="A2978" t="s">
        <v>3073</v>
      </c>
      <c r="B2978" s="6">
        <v>45888</v>
      </c>
      <c r="C2978" s="6" t="str">
        <f>TEXT(Table3[[#This Row],[transaction_date]], "yyyy-mm")</f>
        <v>2025-08</v>
      </c>
      <c r="D2978" t="s">
        <v>79</v>
      </c>
      <c r="E2978" t="s">
        <v>3637</v>
      </c>
      <c r="F2978" t="s">
        <v>3617</v>
      </c>
      <c r="G2978" s="1">
        <v>2984371.81</v>
      </c>
    </row>
    <row r="2979" spans="1:7">
      <c r="A2979" t="s">
        <v>3074</v>
      </c>
      <c r="B2979" s="6">
        <v>45870</v>
      </c>
      <c r="C2979" s="6" t="str">
        <f>TEXT(Table3[[#This Row],[transaction_date]], "yyyy-mm")</f>
        <v>2025-08</v>
      </c>
      <c r="D2979" t="s">
        <v>89</v>
      </c>
      <c r="E2979" t="s">
        <v>3637</v>
      </c>
      <c r="F2979" t="s">
        <v>3616</v>
      </c>
      <c r="G2979" s="1">
        <v>3833917.52</v>
      </c>
    </row>
    <row r="2980" spans="1:7">
      <c r="A2980" t="s">
        <v>3075</v>
      </c>
      <c r="B2980" s="6">
        <v>46005</v>
      </c>
      <c r="C2980" s="6" t="str">
        <f>TEXT(Table3[[#This Row],[transaction_date]], "yyyy-mm")</f>
        <v>2025-12</v>
      </c>
      <c r="D2980" t="s">
        <v>73</v>
      </c>
      <c r="E2980" t="s">
        <v>3637</v>
      </c>
      <c r="F2980" t="s">
        <v>3618</v>
      </c>
      <c r="G2980" s="1">
        <v>1153226.54</v>
      </c>
    </row>
    <row r="2981" spans="1:7">
      <c r="A2981" t="s">
        <v>3076</v>
      </c>
      <c r="B2981" s="6">
        <v>45879</v>
      </c>
      <c r="C2981" s="6" t="str">
        <f>TEXT(Table3[[#This Row],[transaction_date]], "yyyy-mm")</f>
        <v>2025-08</v>
      </c>
      <c r="D2981" t="s">
        <v>90</v>
      </c>
      <c r="E2981" t="s">
        <v>3636</v>
      </c>
      <c r="F2981" t="s">
        <v>3608</v>
      </c>
      <c r="G2981" s="1">
        <v>21550560.98</v>
      </c>
    </row>
    <row r="2982" spans="1:7">
      <c r="A2982" t="s">
        <v>3077</v>
      </c>
      <c r="B2982" s="6">
        <v>45806</v>
      </c>
      <c r="C2982" s="6" t="str">
        <f>TEXT(Table3[[#This Row],[transaction_date]], "yyyy-mm")</f>
        <v>2025-05</v>
      </c>
      <c r="D2982" t="s">
        <v>95</v>
      </c>
      <c r="E2982" t="s">
        <v>3636</v>
      </c>
      <c r="F2982" t="s">
        <v>3610</v>
      </c>
      <c r="G2982" s="1">
        <v>657520.53</v>
      </c>
    </row>
    <row r="2983" spans="1:7">
      <c r="A2983" t="s">
        <v>3078</v>
      </c>
      <c r="B2983" s="6">
        <v>45691</v>
      </c>
      <c r="C2983" s="6" t="str">
        <f>TEXT(Table3[[#This Row],[transaction_date]], "yyyy-mm")</f>
        <v>2025-02</v>
      </c>
      <c r="D2983" t="s">
        <v>78</v>
      </c>
      <c r="E2983" t="s">
        <v>3636</v>
      </c>
      <c r="F2983" t="s">
        <v>3604</v>
      </c>
      <c r="G2983" s="1">
        <v>4047020.02</v>
      </c>
    </row>
    <row r="2984" spans="1:7">
      <c r="A2984" t="s">
        <v>3079</v>
      </c>
      <c r="B2984" s="6">
        <v>45779</v>
      </c>
      <c r="C2984" s="6" t="str">
        <f>TEXT(Table3[[#This Row],[transaction_date]], "yyyy-mm")</f>
        <v>2025-05</v>
      </c>
      <c r="D2984" t="s">
        <v>80</v>
      </c>
      <c r="E2984" t="s">
        <v>3637</v>
      </c>
      <c r="F2984" t="s">
        <v>3623</v>
      </c>
      <c r="G2984" s="1">
        <v>1299767.03</v>
      </c>
    </row>
    <row r="2985" spans="1:7">
      <c r="A2985" t="s">
        <v>3080</v>
      </c>
      <c r="B2985" s="6">
        <v>45718</v>
      </c>
      <c r="C2985" s="6" t="str">
        <f>TEXT(Table3[[#This Row],[transaction_date]], "yyyy-mm")</f>
        <v>2025-03</v>
      </c>
      <c r="D2985" t="s">
        <v>85</v>
      </c>
      <c r="E2985" t="s">
        <v>3637</v>
      </c>
      <c r="F2985" t="s">
        <v>3623</v>
      </c>
      <c r="G2985" s="1">
        <v>133669.9</v>
      </c>
    </row>
    <row r="2986" spans="1:7">
      <c r="A2986" t="s">
        <v>3081</v>
      </c>
      <c r="B2986" s="6">
        <v>45753</v>
      </c>
      <c r="C2986" s="6" t="str">
        <f>TEXT(Table3[[#This Row],[transaction_date]], "yyyy-mm")</f>
        <v>2025-04</v>
      </c>
      <c r="D2986" t="s">
        <v>73</v>
      </c>
      <c r="E2986" t="s">
        <v>3636</v>
      </c>
      <c r="F2986" t="s">
        <v>3604</v>
      </c>
      <c r="G2986" s="1">
        <v>13444770.199999999</v>
      </c>
    </row>
    <row r="2987" spans="1:7">
      <c r="A2987" t="s">
        <v>3082</v>
      </c>
      <c r="B2987" s="6">
        <v>45697</v>
      </c>
      <c r="C2987" s="6" t="str">
        <f>TEXT(Table3[[#This Row],[transaction_date]], "yyyy-mm")</f>
        <v>2025-02</v>
      </c>
      <c r="D2987" t="s">
        <v>79</v>
      </c>
      <c r="E2987" t="s">
        <v>3636</v>
      </c>
      <c r="F2987" t="s">
        <v>3612</v>
      </c>
      <c r="G2987" s="1">
        <v>3997065.94</v>
      </c>
    </row>
    <row r="2988" spans="1:7">
      <c r="A2988" t="s">
        <v>3083</v>
      </c>
      <c r="B2988" s="6">
        <v>45806</v>
      </c>
      <c r="C2988" s="6" t="str">
        <f>TEXT(Table3[[#This Row],[transaction_date]], "yyyy-mm")</f>
        <v>2025-05</v>
      </c>
      <c r="D2988" t="s">
        <v>79</v>
      </c>
      <c r="E2988" t="s">
        <v>3636</v>
      </c>
      <c r="F2988" t="s">
        <v>3612</v>
      </c>
      <c r="G2988" s="1">
        <v>2137123.5</v>
      </c>
    </row>
    <row r="2989" spans="1:7">
      <c r="A2989" t="s">
        <v>3084</v>
      </c>
      <c r="B2989" s="6">
        <v>45808</v>
      </c>
      <c r="C2989" s="6" t="str">
        <f>TEXT(Table3[[#This Row],[transaction_date]], "yyyy-mm")</f>
        <v>2025-05</v>
      </c>
      <c r="D2989" t="s">
        <v>89</v>
      </c>
      <c r="E2989" t="s">
        <v>3636</v>
      </c>
      <c r="F2989" t="s">
        <v>3611</v>
      </c>
      <c r="G2989" s="1">
        <v>3034722.84</v>
      </c>
    </row>
    <row r="2990" spans="1:7">
      <c r="A2990" t="s">
        <v>3085</v>
      </c>
      <c r="B2990" s="6">
        <v>46021</v>
      </c>
      <c r="C2990" s="6" t="str">
        <f>TEXT(Table3[[#This Row],[transaction_date]], "yyyy-mm")</f>
        <v>2025-12</v>
      </c>
      <c r="D2990" t="s">
        <v>82</v>
      </c>
      <c r="E2990" t="s">
        <v>3636</v>
      </c>
      <c r="F2990" t="s">
        <v>3607</v>
      </c>
      <c r="G2990" s="1">
        <v>14353484.6</v>
      </c>
    </row>
    <row r="2991" spans="1:7">
      <c r="A2991" t="s">
        <v>3086</v>
      </c>
      <c r="B2991" s="6">
        <v>45664</v>
      </c>
      <c r="C2991" s="6" t="str">
        <f>TEXT(Table3[[#This Row],[transaction_date]], "yyyy-mm")</f>
        <v>2025-01</v>
      </c>
      <c r="D2991" t="s">
        <v>95</v>
      </c>
      <c r="E2991" t="s">
        <v>3636</v>
      </c>
      <c r="F2991" t="s">
        <v>3610</v>
      </c>
      <c r="G2991" s="1">
        <v>520363.66</v>
      </c>
    </row>
    <row r="2992" spans="1:7">
      <c r="A2992" t="s">
        <v>3087</v>
      </c>
      <c r="B2992" s="6">
        <v>45747</v>
      </c>
      <c r="C2992" s="6" t="str">
        <f>TEXT(Table3[[#This Row],[transaction_date]], "yyyy-mm")</f>
        <v>2025-03</v>
      </c>
      <c r="D2992" t="s">
        <v>93</v>
      </c>
      <c r="E2992" t="s">
        <v>3636</v>
      </c>
      <c r="F2992" t="s">
        <v>3604</v>
      </c>
      <c r="G2992" s="1">
        <v>3299905.97</v>
      </c>
    </row>
    <row r="2993" spans="1:7">
      <c r="A2993" t="s">
        <v>3088</v>
      </c>
      <c r="B2993" s="6">
        <v>45830</v>
      </c>
      <c r="C2993" s="6" t="str">
        <f>TEXT(Table3[[#This Row],[transaction_date]], "yyyy-mm")</f>
        <v>2025-06</v>
      </c>
      <c r="D2993" t="s">
        <v>90</v>
      </c>
      <c r="E2993" t="s">
        <v>3636</v>
      </c>
      <c r="F2993" t="s">
        <v>3612</v>
      </c>
      <c r="G2993" s="1">
        <v>878099.25</v>
      </c>
    </row>
    <row r="2994" spans="1:7">
      <c r="A2994" t="s">
        <v>3089</v>
      </c>
      <c r="B2994" s="6">
        <v>45884</v>
      </c>
      <c r="C2994" s="6" t="str">
        <f>TEXT(Table3[[#This Row],[transaction_date]], "yyyy-mm")</f>
        <v>2025-08</v>
      </c>
      <c r="D2994" t="s">
        <v>84</v>
      </c>
      <c r="E2994" t="s">
        <v>3637</v>
      </c>
      <c r="F2994" t="s">
        <v>3621</v>
      </c>
      <c r="G2994" s="1">
        <v>537622.72</v>
      </c>
    </row>
    <row r="2995" spans="1:7">
      <c r="A2995" t="s">
        <v>3090</v>
      </c>
      <c r="B2995" s="6">
        <v>45729</v>
      </c>
      <c r="C2995" s="6" t="str">
        <f>TEXT(Table3[[#This Row],[transaction_date]], "yyyy-mm")</f>
        <v>2025-03</v>
      </c>
      <c r="D2995" t="s">
        <v>95</v>
      </c>
      <c r="E2995" t="s">
        <v>3637</v>
      </c>
      <c r="F2995" t="s">
        <v>3616</v>
      </c>
      <c r="G2995" s="1">
        <v>7548471.6699999999</v>
      </c>
    </row>
    <row r="2996" spans="1:7">
      <c r="A2996" t="s">
        <v>3091</v>
      </c>
      <c r="B2996" s="6">
        <v>45690</v>
      </c>
      <c r="C2996" s="6" t="str">
        <f>TEXT(Table3[[#This Row],[transaction_date]], "yyyy-mm")</f>
        <v>2025-02</v>
      </c>
      <c r="D2996" t="s">
        <v>73</v>
      </c>
      <c r="E2996" t="s">
        <v>3637</v>
      </c>
      <c r="F2996" t="s">
        <v>3623</v>
      </c>
      <c r="G2996" s="1">
        <v>682431.99</v>
      </c>
    </row>
    <row r="2997" spans="1:7">
      <c r="A2997" t="s">
        <v>3092</v>
      </c>
      <c r="B2997" s="6">
        <v>45968</v>
      </c>
      <c r="C2997" s="6" t="str">
        <f>TEXT(Table3[[#This Row],[transaction_date]], "yyyy-mm")</f>
        <v>2025-11</v>
      </c>
      <c r="D2997" t="s">
        <v>76</v>
      </c>
      <c r="E2997" t="s">
        <v>3637</v>
      </c>
      <c r="F2997" t="s">
        <v>3619</v>
      </c>
      <c r="G2997" s="1">
        <v>2838568.4</v>
      </c>
    </row>
    <row r="2998" spans="1:7">
      <c r="A2998" t="s">
        <v>3093</v>
      </c>
      <c r="B2998" s="6">
        <v>45982</v>
      </c>
      <c r="C2998" s="6" t="str">
        <f>TEXT(Table3[[#This Row],[transaction_date]], "yyyy-mm")</f>
        <v>2025-11</v>
      </c>
      <c r="D2998" t="s">
        <v>3597</v>
      </c>
      <c r="E2998" t="s">
        <v>3636</v>
      </c>
      <c r="F2998" t="s">
        <v>3612</v>
      </c>
      <c r="G2998" s="1">
        <v>2259848.5299999998</v>
      </c>
    </row>
    <row r="2999" spans="1:7">
      <c r="A2999" t="s">
        <v>3094</v>
      </c>
      <c r="B2999" s="6">
        <v>45741</v>
      </c>
      <c r="C2999" s="6" t="str">
        <f>TEXT(Table3[[#This Row],[transaction_date]], "yyyy-mm")</f>
        <v>2025-03</v>
      </c>
      <c r="D2999" t="s">
        <v>73</v>
      </c>
      <c r="E2999" t="s">
        <v>3636</v>
      </c>
      <c r="F2999" t="s">
        <v>3604</v>
      </c>
      <c r="G2999" s="1">
        <v>15263443.470000001</v>
      </c>
    </row>
    <row r="3000" spans="1:7">
      <c r="A3000" t="s">
        <v>3095</v>
      </c>
      <c r="B3000" s="6">
        <v>45743</v>
      </c>
      <c r="C3000" s="6" t="str">
        <f>TEXT(Table3[[#This Row],[transaction_date]], "yyyy-mm")</f>
        <v>2025-03</v>
      </c>
      <c r="D3000" t="s">
        <v>73</v>
      </c>
      <c r="E3000" t="s">
        <v>3637</v>
      </c>
      <c r="F3000" t="s">
        <v>3620</v>
      </c>
      <c r="G3000" s="1">
        <v>1155084.08</v>
      </c>
    </row>
    <row r="3001" spans="1:7">
      <c r="A3001" t="s">
        <v>3096</v>
      </c>
      <c r="B3001" s="6">
        <v>46017</v>
      </c>
      <c r="C3001" s="6" t="str">
        <f>TEXT(Table3[[#This Row],[transaction_date]], "yyyy-mm")</f>
        <v>2025-12</v>
      </c>
      <c r="D3001" t="s">
        <v>79</v>
      </c>
      <c r="E3001" t="s">
        <v>3636</v>
      </c>
      <c r="F3001" t="s">
        <v>3604</v>
      </c>
      <c r="G3001" s="1">
        <v>5247571.46</v>
      </c>
    </row>
    <row r="3002" spans="1:7">
      <c r="A3002" t="s">
        <v>3097</v>
      </c>
      <c r="B3002" s="6">
        <v>46011</v>
      </c>
      <c r="C3002" s="6" t="str">
        <f>TEXT(Table3[[#This Row],[transaction_date]], "yyyy-mm")</f>
        <v>2025-12</v>
      </c>
      <c r="D3002" t="s">
        <v>73</v>
      </c>
      <c r="E3002" t="s">
        <v>3636</v>
      </c>
      <c r="F3002" t="s">
        <v>3611</v>
      </c>
      <c r="G3002" s="1">
        <v>10336108.130000001</v>
      </c>
    </row>
    <row r="3003" spans="1:7">
      <c r="A3003" t="s">
        <v>3098</v>
      </c>
      <c r="B3003" s="6">
        <v>45815</v>
      </c>
      <c r="C3003" s="6" t="str">
        <f>TEXT(Table3[[#This Row],[transaction_date]], "yyyy-mm")</f>
        <v>2025-06</v>
      </c>
      <c r="D3003" t="s">
        <v>78</v>
      </c>
      <c r="E3003" t="s">
        <v>3636</v>
      </c>
      <c r="F3003" t="s">
        <v>3610</v>
      </c>
      <c r="G3003" s="1">
        <v>1399177.14</v>
      </c>
    </row>
    <row r="3004" spans="1:7">
      <c r="A3004" t="s">
        <v>3099</v>
      </c>
      <c r="B3004" s="6">
        <v>45745</v>
      </c>
      <c r="C3004" s="6" t="str">
        <f>TEXT(Table3[[#This Row],[transaction_date]], "yyyy-mm")</f>
        <v>2025-03</v>
      </c>
      <c r="D3004" t="s">
        <v>76</v>
      </c>
      <c r="E3004" t="s">
        <v>3636</v>
      </c>
      <c r="F3004" t="s">
        <v>3613</v>
      </c>
      <c r="G3004" s="1">
        <v>565008.57999999996</v>
      </c>
    </row>
    <row r="3005" spans="1:7">
      <c r="A3005" t="s">
        <v>3100</v>
      </c>
      <c r="B3005" s="6">
        <v>45724</v>
      </c>
      <c r="C3005" s="6" t="str">
        <f>TEXT(Table3[[#This Row],[transaction_date]], "yyyy-mm")</f>
        <v>2025-03</v>
      </c>
      <c r="D3005" t="s">
        <v>74</v>
      </c>
      <c r="E3005" t="s">
        <v>3637</v>
      </c>
      <c r="F3005" t="s">
        <v>3620</v>
      </c>
      <c r="G3005" s="1">
        <v>1543672.5</v>
      </c>
    </row>
    <row r="3006" spans="1:7">
      <c r="A3006" t="s">
        <v>3101</v>
      </c>
      <c r="B3006" s="6">
        <v>45884</v>
      </c>
      <c r="C3006" s="6" t="str">
        <f>TEXT(Table3[[#This Row],[transaction_date]], "yyyy-mm")</f>
        <v>2025-08</v>
      </c>
      <c r="D3006" t="s">
        <v>85</v>
      </c>
      <c r="E3006" t="s">
        <v>3636</v>
      </c>
      <c r="F3006" t="s">
        <v>3604</v>
      </c>
      <c r="G3006" s="1">
        <v>4406963.2</v>
      </c>
    </row>
    <row r="3007" spans="1:7">
      <c r="A3007" t="s">
        <v>3102</v>
      </c>
      <c r="B3007" s="6">
        <v>45800</v>
      </c>
      <c r="C3007" s="6" t="str">
        <f>TEXT(Table3[[#This Row],[transaction_date]], "yyyy-mm")</f>
        <v>2025-05</v>
      </c>
      <c r="D3007" t="s">
        <v>79</v>
      </c>
      <c r="E3007" t="s">
        <v>3636</v>
      </c>
      <c r="F3007" t="s">
        <v>3606</v>
      </c>
      <c r="G3007" s="1">
        <v>4849063.51</v>
      </c>
    </row>
    <row r="3008" spans="1:7">
      <c r="A3008" t="s">
        <v>3103</v>
      </c>
      <c r="B3008" s="6">
        <v>45678</v>
      </c>
      <c r="C3008" s="6" t="str">
        <f>TEXT(Table3[[#This Row],[transaction_date]], "yyyy-mm")</f>
        <v>2025-01</v>
      </c>
      <c r="D3008" t="s">
        <v>73</v>
      </c>
      <c r="E3008" t="s">
        <v>3636</v>
      </c>
      <c r="F3008" t="s">
        <v>3610</v>
      </c>
      <c r="G3008" s="1">
        <v>384551.64</v>
      </c>
    </row>
    <row r="3009" spans="1:7">
      <c r="A3009" t="s">
        <v>3104</v>
      </c>
      <c r="B3009" s="6">
        <v>45831</v>
      </c>
      <c r="C3009" s="6" t="str">
        <f>TEXT(Table3[[#This Row],[transaction_date]], "yyyy-mm")</f>
        <v>2025-06</v>
      </c>
      <c r="D3009" t="s">
        <v>73</v>
      </c>
      <c r="E3009" t="s">
        <v>3637</v>
      </c>
      <c r="F3009" t="s">
        <v>3619</v>
      </c>
      <c r="G3009" s="1">
        <v>955487.93</v>
      </c>
    </row>
    <row r="3010" spans="1:7">
      <c r="A3010" t="s">
        <v>3105</v>
      </c>
      <c r="B3010" s="6">
        <v>45895</v>
      </c>
      <c r="C3010" s="6" t="str">
        <f>TEXT(Table3[[#This Row],[transaction_date]], "yyyy-mm")</f>
        <v>2025-08</v>
      </c>
      <c r="D3010" t="s">
        <v>80</v>
      </c>
      <c r="E3010" t="s">
        <v>3637</v>
      </c>
      <c r="F3010" t="s">
        <v>3614</v>
      </c>
      <c r="G3010" s="1">
        <v>1211688.46</v>
      </c>
    </row>
    <row r="3011" spans="1:7">
      <c r="A3011" t="s">
        <v>3106</v>
      </c>
      <c r="B3011" s="6">
        <v>45776</v>
      </c>
      <c r="C3011" s="6" t="str">
        <f>TEXT(Table3[[#This Row],[transaction_date]], "yyyy-mm")</f>
        <v>2025-04</v>
      </c>
      <c r="D3011" t="s">
        <v>85</v>
      </c>
      <c r="E3011" t="s">
        <v>3637</v>
      </c>
      <c r="F3011" t="s">
        <v>3619</v>
      </c>
      <c r="G3011" s="1">
        <v>2310716.36</v>
      </c>
    </row>
    <row r="3012" spans="1:7">
      <c r="A3012" t="s">
        <v>3107</v>
      </c>
      <c r="B3012" s="6">
        <v>45946</v>
      </c>
      <c r="C3012" s="6" t="str">
        <f>TEXT(Table3[[#This Row],[transaction_date]], "yyyy-mm")</f>
        <v>2025-10</v>
      </c>
      <c r="D3012" t="s">
        <v>77</v>
      </c>
      <c r="E3012" t="s">
        <v>3637</v>
      </c>
      <c r="F3012" t="s">
        <v>3618</v>
      </c>
      <c r="G3012" s="1">
        <v>11357176.4</v>
      </c>
    </row>
    <row r="3013" spans="1:7">
      <c r="A3013" t="s">
        <v>3108</v>
      </c>
      <c r="B3013" s="6">
        <v>45963</v>
      </c>
      <c r="C3013" s="6" t="str">
        <f>TEXT(Table3[[#This Row],[transaction_date]], "yyyy-mm")</f>
        <v>2025-11</v>
      </c>
      <c r="D3013" t="s">
        <v>73</v>
      </c>
      <c r="E3013" t="s">
        <v>3637</v>
      </c>
      <c r="F3013" t="s">
        <v>3617</v>
      </c>
      <c r="G3013" s="1">
        <v>1861397.45</v>
      </c>
    </row>
    <row r="3014" spans="1:7">
      <c r="A3014" t="s">
        <v>3109</v>
      </c>
      <c r="B3014" s="6">
        <v>45848</v>
      </c>
      <c r="C3014" s="6" t="str">
        <f>TEXT(Table3[[#This Row],[transaction_date]], "yyyy-mm")</f>
        <v>2025-07</v>
      </c>
      <c r="D3014" t="s">
        <v>84</v>
      </c>
      <c r="E3014" t="s">
        <v>3636</v>
      </c>
      <c r="F3014" t="s">
        <v>3606</v>
      </c>
      <c r="G3014" s="1">
        <v>17276673.149999999</v>
      </c>
    </row>
    <row r="3015" spans="1:7">
      <c r="A3015" t="s">
        <v>3110</v>
      </c>
      <c r="B3015" s="6">
        <v>45878</v>
      </c>
      <c r="C3015" s="6" t="str">
        <f>TEXT(Table3[[#This Row],[transaction_date]], "yyyy-mm")</f>
        <v>2025-08</v>
      </c>
      <c r="D3015" t="s">
        <v>84</v>
      </c>
      <c r="E3015" t="s">
        <v>3637</v>
      </c>
      <c r="F3015" t="s">
        <v>3619</v>
      </c>
      <c r="G3015" s="1">
        <v>1785766.57</v>
      </c>
    </row>
    <row r="3016" spans="1:7">
      <c r="A3016" t="s">
        <v>3111</v>
      </c>
      <c r="B3016" s="6">
        <v>45906</v>
      </c>
      <c r="C3016" s="6" t="str">
        <f>TEXT(Table3[[#This Row],[transaction_date]], "yyyy-mm")</f>
        <v>2025-09</v>
      </c>
      <c r="D3016" t="s">
        <v>85</v>
      </c>
      <c r="E3016" t="s">
        <v>3636</v>
      </c>
      <c r="F3016" t="s">
        <v>3607</v>
      </c>
      <c r="G3016" s="1">
        <v>2612079.4500000002</v>
      </c>
    </row>
    <row r="3017" spans="1:7">
      <c r="A3017" t="s">
        <v>3112</v>
      </c>
      <c r="B3017" s="6">
        <v>45703</v>
      </c>
      <c r="C3017" s="6" t="str">
        <f>TEXT(Table3[[#This Row],[transaction_date]], "yyyy-mm")</f>
        <v>2025-02</v>
      </c>
      <c r="D3017" t="s">
        <v>73</v>
      </c>
      <c r="E3017" t="s">
        <v>3636</v>
      </c>
      <c r="F3017" t="s">
        <v>3610</v>
      </c>
      <c r="G3017" s="1">
        <v>3604813.72</v>
      </c>
    </row>
    <row r="3018" spans="1:7">
      <c r="A3018" t="s">
        <v>3113</v>
      </c>
      <c r="B3018" s="6">
        <v>45791</v>
      </c>
      <c r="C3018" s="6" t="str">
        <f>TEXT(Table3[[#This Row],[transaction_date]], "yyyy-mm")</f>
        <v>2025-05</v>
      </c>
      <c r="D3018" t="s">
        <v>75</v>
      </c>
      <c r="E3018" t="s">
        <v>3637</v>
      </c>
      <c r="F3018" t="s">
        <v>3617</v>
      </c>
      <c r="G3018" s="1">
        <v>2479195.0499999998</v>
      </c>
    </row>
    <row r="3019" spans="1:7">
      <c r="A3019" t="s">
        <v>3114</v>
      </c>
      <c r="B3019" s="6">
        <v>45715</v>
      </c>
      <c r="C3019" s="6" t="str">
        <f>TEXT(Table3[[#This Row],[transaction_date]], "yyyy-mm")</f>
        <v>2025-02</v>
      </c>
      <c r="D3019" t="s">
        <v>78</v>
      </c>
      <c r="E3019" t="s">
        <v>3637</v>
      </c>
      <c r="F3019" t="s">
        <v>3622</v>
      </c>
      <c r="G3019" s="1">
        <v>3355795.75</v>
      </c>
    </row>
    <row r="3020" spans="1:7">
      <c r="A3020" t="s">
        <v>3115</v>
      </c>
      <c r="B3020" s="6">
        <v>45827</v>
      </c>
      <c r="C3020" s="6" t="str">
        <f>TEXT(Table3[[#This Row],[transaction_date]], "yyyy-mm")</f>
        <v>2025-06</v>
      </c>
      <c r="D3020" t="s">
        <v>79</v>
      </c>
      <c r="E3020" t="s">
        <v>3637</v>
      </c>
      <c r="F3020" t="s">
        <v>3619</v>
      </c>
      <c r="G3020" s="1">
        <v>2168803.11</v>
      </c>
    </row>
    <row r="3021" spans="1:7">
      <c r="A3021" t="s">
        <v>3116</v>
      </c>
      <c r="B3021" s="6">
        <v>45896</v>
      </c>
      <c r="C3021" s="6" t="str">
        <f>TEXT(Table3[[#This Row],[transaction_date]], "yyyy-mm")</f>
        <v>2025-08</v>
      </c>
      <c r="D3021" t="s">
        <v>89</v>
      </c>
      <c r="E3021" t="s">
        <v>3637</v>
      </c>
      <c r="F3021" t="s">
        <v>3617</v>
      </c>
      <c r="G3021" s="1">
        <v>259910.85</v>
      </c>
    </row>
    <row r="3022" spans="1:7">
      <c r="A3022" t="s">
        <v>3117</v>
      </c>
      <c r="B3022" s="6">
        <v>45883</v>
      </c>
      <c r="C3022" s="6" t="str">
        <f>TEXT(Table3[[#This Row],[transaction_date]], "yyyy-mm")</f>
        <v>2025-08</v>
      </c>
      <c r="D3022" t="s">
        <v>89</v>
      </c>
      <c r="E3022" t="s">
        <v>3637</v>
      </c>
      <c r="F3022" t="s">
        <v>3623</v>
      </c>
      <c r="G3022" s="1">
        <v>716578.96</v>
      </c>
    </row>
    <row r="3023" spans="1:7">
      <c r="A3023" t="s">
        <v>3118</v>
      </c>
      <c r="B3023" s="6">
        <v>45708</v>
      </c>
      <c r="C3023" s="6" t="str">
        <f>TEXT(Table3[[#This Row],[transaction_date]], "yyyy-mm")</f>
        <v>2025-02</v>
      </c>
      <c r="D3023" t="s">
        <v>77</v>
      </c>
      <c r="E3023" t="s">
        <v>3636</v>
      </c>
      <c r="F3023" t="s">
        <v>3606</v>
      </c>
      <c r="G3023" s="1">
        <v>272832.92</v>
      </c>
    </row>
    <row r="3024" spans="1:7">
      <c r="A3024" t="s">
        <v>3119</v>
      </c>
      <c r="B3024" s="6">
        <v>45939</v>
      </c>
      <c r="C3024" s="6" t="str">
        <f>TEXT(Table3[[#This Row],[transaction_date]], "yyyy-mm")</f>
        <v>2025-10</v>
      </c>
      <c r="D3024" t="s">
        <v>89</v>
      </c>
      <c r="E3024" t="s">
        <v>3637</v>
      </c>
      <c r="F3024" t="s">
        <v>3616</v>
      </c>
      <c r="G3024" s="1">
        <v>5255323.67</v>
      </c>
    </row>
    <row r="3025" spans="1:7">
      <c r="A3025" t="s">
        <v>3120</v>
      </c>
      <c r="B3025" s="6">
        <v>45961</v>
      </c>
      <c r="C3025" s="6" t="str">
        <f>TEXT(Table3[[#This Row],[transaction_date]], "yyyy-mm")</f>
        <v>2025-10</v>
      </c>
      <c r="D3025" t="s">
        <v>78</v>
      </c>
      <c r="E3025" t="s">
        <v>3636</v>
      </c>
      <c r="F3025" t="s">
        <v>3612</v>
      </c>
      <c r="G3025" s="1">
        <v>2924820.3</v>
      </c>
    </row>
    <row r="3026" spans="1:7">
      <c r="A3026" t="s">
        <v>3121</v>
      </c>
      <c r="B3026" s="6">
        <v>45717</v>
      </c>
      <c r="C3026" s="6" t="str">
        <f>TEXT(Table3[[#This Row],[transaction_date]], "yyyy-mm")</f>
        <v>2025-03</v>
      </c>
      <c r="D3026" t="s">
        <v>93</v>
      </c>
      <c r="E3026" t="s">
        <v>3637</v>
      </c>
      <c r="F3026" t="s">
        <v>3620</v>
      </c>
      <c r="G3026" s="1">
        <v>266774.87</v>
      </c>
    </row>
    <row r="3027" spans="1:7">
      <c r="A3027" t="s">
        <v>3122</v>
      </c>
      <c r="B3027" s="6">
        <v>45720</v>
      </c>
      <c r="C3027" s="6" t="str">
        <f>TEXT(Table3[[#This Row],[transaction_date]], "yyyy-mm")</f>
        <v>2025-03</v>
      </c>
      <c r="D3027" t="s">
        <v>82</v>
      </c>
      <c r="E3027" t="s">
        <v>3636</v>
      </c>
      <c r="F3027" t="s">
        <v>3609</v>
      </c>
      <c r="G3027" s="1">
        <v>6493914.3899999997</v>
      </c>
    </row>
    <row r="3028" spans="1:7">
      <c r="A3028" t="s">
        <v>3123</v>
      </c>
      <c r="B3028" s="6">
        <v>45715</v>
      </c>
      <c r="C3028" s="6" t="str">
        <f>TEXT(Table3[[#This Row],[transaction_date]], "yyyy-mm")</f>
        <v>2025-02</v>
      </c>
      <c r="D3028" t="s">
        <v>95</v>
      </c>
      <c r="E3028" t="s">
        <v>3637</v>
      </c>
      <c r="F3028" t="s">
        <v>3622</v>
      </c>
      <c r="G3028" s="1">
        <v>7192786.3300000001</v>
      </c>
    </row>
    <row r="3029" spans="1:7">
      <c r="A3029" t="s">
        <v>3124</v>
      </c>
      <c r="B3029" s="6">
        <v>45808</v>
      </c>
      <c r="C3029" s="6" t="str">
        <f>TEXT(Table3[[#This Row],[transaction_date]], "yyyy-mm")</f>
        <v>2025-05</v>
      </c>
      <c r="D3029" t="s">
        <v>89</v>
      </c>
      <c r="E3029" t="s">
        <v>3636</v>
      </c>
      <c r="F3029" t="s">
        <v>3613</v>
      </c>
      <c r="G3029" s="1">
        <v>99482.23</v>
      </c>
    </row>
    <row r="3030" spans="1:7">
      <c r="A3030" t="s">
        <v>3125</v>
      </c>
      <c r="B3030" s="6">
        <v>45766</v>
      </c>
      <c r="C3030" s="6" t="str">
        <f>TEXT(Table3[[#This Row],[transaction_date]], "yyyy-mm")</f>
        <v>2025-04</v>
      </c>
      <c r="D3030" t="s">
        <v>76</v>
      </c>
      <c r="E3030" t="s">
        <v>3637</v>
      </c>
      <c r="F3030" t="s">
        <v>3615</v>
      </c>
      <c r="G3030" s="1">
        <v>26398550.600000001</v>
      </c>
    </row>
    <row r="3031" spans="1:7">
      <c r="A3031" t="s">
        <v>3126</v>
      </c>
      <c r="B3031" s="6">
        <v>45870</v>
      </c>
      <c r="C3031" s="6" t="str">
        <f>TEXT(Table3[[#This Row],[transaction_date]], "yyyy-mm")</f>
        <v>2025-08</v>
      </c>
      <c r="D3031" t="s">
        <v>82</v>
      </c>
      <c r="E3031" t="s">
        <v>3637</v>
      </c>
      <c r="F3031" t="s">
        <v>3620</v>
      </c>
      <c r="G3031" s="1">
        <v>4679109.0199999996</v>
      </c>
    </row>
    <row r="3032" spans="1:7">
      <c r="A3032" t="s">
        <v>3127</v>
      </c>
      <c r="B3032" s="6">
        <v>45662</v>
      </c>
      <c r="C3032" s="6" t="str">
        <f>TEXT(Table3[[#This Row],[transaction_date]], "yyyy-mm")</f>
        <v>2025-01</v>
      </c>
      <c r="D3032" t="s">
        <v>3597</v>
      </c>
      <c r="E3032" t="s">
        <v>3636</v>
      </c>
      <c r="F3032" t="s">
        <v>3607</v>
      </c>
      <c r="G3032" s="1">
        <v>6189908.8899999997</v>
      </c>
    </row>
    <row r="3033" spans="1:7">
      <c r="A3033" t="s">
        <v>3128</v>
      </c>
      <c r="B3033" s="6">
        <v>45949</v>
      </c>
      <c r="C3033" s="6" t="str">
        <f>TEXT(Table3[[#This Row],[transaction_date]], "yyyy-mm")</f>
        <v>2025-10</v>
      </c>
      <c r="D3033" t="s">
        <v>85</v>
      </c>
      <c r="E3033" t="s">
        <v>3636</v>
      </c>
      <c r="F3033" t="s">
        <v>3604</v>
      </c>
      <c r="G3033" s="1">
        <v>1085549.81</v>
      </c>
    </row>
    <row r="3034" spans="1:7">
      <c r="A3034" t="s">
        <v>3129</v>
      </c>
      <c r="B3034" s="6">
        <v>45988</v>
      </c>
      <c r="C3034" s="6" t="str">
        <f>TEXT(Table3[[#This Row],[transaction_date]], "yyyy-mm")</f>
        <v>2025-11</v>
      </c>
      <c r="D3034" t="s">
        <v>80</v>
      </c>
      <c r="E3034" t="s">
        <v>3637</v>
      </c>
      <c r="F3034" t="s">
        <v>3620</v>
      </c>
      <c r="G3034" s="1">
        <v>3390551.41</v>
      </c>
    </row>
    <row r="3035" spans="1:7">
      <c r="A3035" t="s">
        <v>3130</v>
      </c>
      <c r="B3035" s="6">
        <v>45723</v>
      </c>
      <c r="C3035" s="6" t="str">
        <f>TEXT(Table3[[#This Row],[transaction_date]], "yyyy-mm")</f>
        <v>2025-03</v>
      </c>
      <c r="D3035" t="s">
        <v>73</v>
      </c>
      <c r="E3035" t="s">
        <v>3637</v>
      </c>
      <c r="F3035" t="s">
        <v>3619</v>
      </c>
      <c r="G3035" s="1">
        <v>2728770.1</v>
      </c>
    </row>
    <row r="3036" spans="1:7">
      <c r="A3036" t="s">
        <v>3131</v>
      </c>
      <c r="B3036" s="6">
        <v>45986</v>
      </c>
      <c r="C3036" s="6" t="str">
        <f>TEXT(Table3[[#This Row],[transaction_date]], "yyyy-mm")</f>
        <v>2025-11</v>
      </c>
      <c r="D3036" t="s">
        <v>75</v>
      </c>
      <c r="E3036" t="s">
        <v>3637</v>
      </c>
      <c r="F3036" t="s">
        <v>3615</v>
      </c>
      <c r="G3036" s="1">
        <v>15338223.49</v>
      </c>
    </row>
    <row r="3037" spans="1:7">
      <c r="A3037" t="s">
        <v>3132</v>
      </c>
      <c r="B3037" s="6">
        <v>45950</v>
      </c>
      <c r="C3037" s="6" t="str">
        <f>TEXT(Table3[[#This Row],[transaction_date]], "yyyy-mm")</f>
        <v>2025-10</v>
      </c>
      <c r="D3037" t="s">
        <v>90</v>
      </c>
      <c r="E3037" t="s">
        <v>3637</v>
      </c>
      <c r="F3037" t="s">
        <v>3623</v>
      </c>
      <c r="G3037" s="1">
        <v>33062236.960000001</v>
      </c>
    </row>
    <row r="3038" spans="1:7">
      <c r="A3038" t="s">
        <v>3133</v>
      </c>
      <c r="B3038" s="6">
        <v>45730</v>
      </c>
      <c r="C3038" s="6" t="str">
        <f>TEXT(Table3[[#This Row],[transaction_date]], "yyyy-mm")</f>
        <v>2025-03</v>
      </c>
      <c r="D3038" t="s">
        <v>84</v>
      </c>
      <c r="E3038" t="s">
        <v>3636</v>
      </c>
      <c r="F3038" t="s">
        <v>3605</v>
      </c>
      <c r="G3038" s="1">
        <v>61711.01</v>
      </c>
    </row>
    <row r="3039" spans="1:7">
      <c r="A3039" t="s">
        <v>3134</v>
      </c>
      <c r="B3039" s="6">
        <v>45919</v>
      </c>
      <c r="C3039" s="6" t="str">
        <f>TEXT(Table3[[#This Row],[transaction_date]], "yyyy-mm")</f>
        <v>2025-09</v>
      </c>
      <c r="D3039" t="s">
        <v>75</v>
      </c>
      <c r="E3039" t="s">
        <v>3636</v>
      </c>
      <c r="F3039" t="s">
        <v>3604</v>
      </c>
      <c r="G3039" s="1">
        <v>20918317.899999999</v>
      </c>
    </row>
    <row r="3040" spans="1:7">
      <c r="A3040" t="s">
        <v>3135</v>
      </c>
      <c r="B3040" s="6">
        <v>45836</v>
      </c>
      <c r="C3040" s="6" t="str">
        <f>TEXT(Table3[[#This Row],[transaction_date]], "yyyy-mm")</f>
        <v>2025-06</v>
      </c>
      <c r="D3040" t="s">
        <v>76</v>
      </c>
      <c r="E3040" t="s">
        <v>3637</v>
      </c>
      <c r="F3040" t="s">
        <v>3621</v>
      </c>
      <c r="G3040" s="1">
        <v>1554743.46</v>
      </c>
    </row>
    <row r="3041" spans="1:7">
      <c r="A3041" t="s">
        <v>3136</v>
      </c>
      <c r="B3041" s="6">
        <v>45748</v>
      </c>
      <c r="C3041" s="6" t="str">
        <f>TEXT(Table3[[#This Row],[transaction_date]], "yyyy-mm")</f>
        <v>2025-04</v>
      </c>
      <c r="D3041" t="s">
        <v>80</v>
      </c>
      <c r="E3041" t="s">
        <v>3637</v>
      </c>
      <c r="F3041" t="s">
        <v>3623</v>
      </c>
      <c r="G3041" s="1">
        <v>307295.56</v>
      </c>
    </row>
    <row r="3042" spans="1:7">
      <c r="A3042" t="s">
        <v>3137</v>
      </c>
      <c r="B3042" s="6">
        <v>45866</v>
      </c>
      <c r="C3042" s="6" t="str">
        <f>TEXT(Table3[[#This Row],[transaction_date]], "yyyy-mm")</f>
        <v>2025-07</v>
      </c>
      <c r="D3042" t="s">
        <v>89</v>
      </c>
      <c r="E3042" t="s">
        <v>3637</v>
      </c>
      <c r="F3042" t="s">
        <v>3614</v>
      </c>
      <c r="G3042" s="1">
        <v>1768831.24</v>
      </c>
    </row>
    <row r="3043" spans="1:7">
      <c r="A3043" t="s">
        <v>3138</v>
      </c>
      <c r="B3043" s="6">
        <v>45945</v>
      </c>
      <c r="C3043" s="6" t="str">
        <f>TEXT(Table3[[#This Row],[transaction_date]], "yyyy-mm")</f>
        <v>2025-10</v>
      </c>
      <c r="D3043" t="s">
        <v>89</v>
      </c>
      <c r="E3043" t="s">
        <v>3637</v>
      </c>
      <c r="F3043" t="s">
        <v>3623</v>
      </c>
      <c r="G3043" s="1">
        <v>732920.47</v>
      </c>
    </row>
    <row r="3044" spans="1:7">
      <c r="A3044" t="s">
        <v>3139</v>
      </c>
      <c r="B3044" s="6">
        <v>45743</v>
      </c>
      <c r="C3044" s="6" t="str">
        <f>TEXT(Table3[[#This Row],[transaction_date]], "yyyy-mm")</f>
        <v>2025-03</v>
      </c>
      <c r="D3044" t="s">
        <v>76</v>
      </c>
      <c r="E3044" t="s">
        <v>3636</v>
      </c>
      <c r="F3044" t="s">
        <v>3611</v>
      </c>
      <c r="G3044" s="1">
        <v>3233787.5</v>
      </c>
    </row>
    <row r="3045" spans="1:7">
      <c r="A3045" t="s">
        <v>3140</v>
      </c>
      <c r="B3045" s="6">
        <v>45886</v>
      </c>
      <c r="C3045" s="6" t="str">
        <f>TEXT(Table3[[#This Row],[transaction_date]], "yyyy-mm")</f>
        <v>2025-08</v>
      </c>
      <c r="D3045" t="s">
        <v>95</v>
      </c>
      <c r="E3045" t="s">
        <v>3636</v>
      </c>
      <c r="F3045" t="s">
        <v>3606</v>
      </c>
      <c r="G3045" s="1">
        <v>8988990.0899999999</v>
      </c>
    </row>
    <row r="3046" spans="1:7">
      <c r="A3046" t="s">
        <v>3141</v>
      </c>
      <c r="B3046" s="6">
        <v>45812</v>
      </c>
      <c r="C3046" s="6" t="str">
        <f>TEXT(Table3[[#This Row],[transaction_date]], "yyyy-mm")</f>
        <v>2025-06</v>
      </c>
      <c r="D3046" t="s">
        <v>73</v>
      </c>
      <c r="E3046" t="s">
        <v>3636</v>
      </c>
      <c r="F3046" t="s">
        <v>3613</v>
      </c>
      <c r="G3046" s="1">
        <v>665768.12</v>
      </c>
    </row>
    <row r="3047" spans="1:7">
      <c r="A3047" t="s">
        <v>3142</v>
      </c>
      <c r="B3047" s="6">
        <v>45853</v>
      </c>
      <c r="C3047" s="6" t="str">
        <f>TEXT(Table3[[#This Row],[transaction_date]], "yyyy-mm")</f>
        <v>2025-07</v>
      </c>
      <c r="D3047" t="s">
        <v>93</v>
      </c>
      <c r="E3047" t="s">
        <v>3636</v>
      </c>
      <c r="F3047" t="s">
        <v>3604</v>
      </c>
      <c r="G3047" s="1">
        <v>239862.54</v>
      </c>
    </row>
    <row r="3048" spans="1:7">
      <c r="A3048" t="s">
        <v>3143</v>
      </c>
      <c r="B3048" s="6">
        <v>45902</v>
      </c>
      <c r="C3048" s="6" t="str">
        <f>TEXT(Table3[[#This Row],[transaction_date]], "yyyy-mm")</f>
        <v>2025-09</v>
      </c>
      <c r="D3048" t="s">
        <v>76</v>
      </c>
      <c r="E3048" t="s">
        <v>3637</v>
      </c>
      <c r="F3048" t="s">
        <v>3620</v>
      </c>
      <c r="G3048" s="1">
        <v>337513.16</v>
      </c>
    </row>
    <row r="3049" spans="1:7">
      <c r="A3049" t="s">
        <v>3144</v>
      </c>
      <c r="B3049" s="6">
        <v>45737</v>
      </c>
      <c r="C3049" s="6" t="str">
        <f>TEXT(Table3[[#This Row],[transaction_date]], "yyyy-mm")</f>
        <v>2025-03</v>
      </c>
      <c r="D3049" t="s">
        <v>85</v>
      </c>
      <c r="E3049" t="s">
        <v>3637</v>
      </c>
      <c r="F3049" t="s">
        <v>3623</v>
      </c>
      <c r="G3049" s="1">
        <v>639377.51</v>
      </c>
    </row>
    <row r="3050" spans="1:7">
      <c r="A3050" t="s">
        <v>3145</v>
      </c>
      <c r="B3050" s="6">
        <v>45837</v>
      </c>
      <c r="C3050" s="6" t="str">
        <f>TEXT(Table3[[#This Row],[transaction_date]], "yyyy-mm")</f>
        <v>2025-06</v>
      </c>
      <c r="D3050" t="s">
        <v>73</v>
      </c>
      <c r="E3050" t="s">
        <v>3636</v>
      </c>
      <c r="F3050" t="s">
        <v>3607</v>
      </c>
      <c r="G3050" s="1">
        <v>1006012.81</v>
      </c>
    </row>
    <row r="3051" spans="1:7">
      <c r="A3051" t="s">
        <v>3146</v>
      </c>
      <c r="B3051" s="6">
        <v>45778</v>
      </c>
      <c r="C3051" s="6" t="str">
        <f>TEXT(Table3[[#This Row],[transaction_date]], "yyyy-mm")</f>
        <v>2025-05</v>
      </c>
      <c r="D3051" t="s">
        <v>84</v>
      </c>
      <c r="E3051" t="s">
        <v>3636</v>
      </c>
      <c r="F3051" t="s">
        <v>3610</v>
      </c>
      <c r="G3051" s="1">
        <v>27277594.050000001</v>
      </c>
    </row>
    <row r="3052" spans="1:7">
      <c r="A3052" t="s">
        <v>3147</v>
      </c>
      <c r="B3052" s="6">
        <v>45842</v>
      </c>
      <c r="C3052" s="6" t="str">
        <f>TEXT(Table3[[#This Row],[transaction_date]], "yyyy-mm")</f>
        <v>2025-07</v>
      </c>
      <c r="D3052" t="s">
        <v>74</v>
      </c>
      <c r="E3052" t="s">
        <v>3637</v>
      </c>
      <c r="F3052" t="s">
        <v>3618</v>
      </c>
      <c r="G3052" s="1">
        <v>413807.77</v>
      </c>
    </row>
    <row r="3053" spans="1:7">
      <c r="A3053" t="s">
        <v>3148</v>
      </c>
      <c r="B3053" s="6">
        <v>45685</v>
      </c>
      <c r="C3053" s="6" t="str">
        <f>TEXT(Table3[[#This Row],[transaction_date]], "yyyy-mm")</f>
        <v>2025-01</v>
      </c>
      <c r="D3053" t="s">
        <v>90</v>
      </c>
      <c r="E3053" t="s">
        <v>3636</v>
      </c>
      <c r="F3053" t="s">
        <v>3604</v>
      </c>
      <c r="G3053" s="1">
        <v>2408880.0499999998</v>
      </c>
    </row>
    <row r="3054" spans="1:7">
      <c r="A3054" t="s">
        <v>3149</v>
      </c>
      <c r="B3054" s="6">
        <v>45756</v>
      </c>
      <c r="C3054" s="6" t="str">
        <f>TEXT(Table3[[#This Row],[transaction_date]], "yyyy-mm")</f>
        <v>2025-04</v>
      </c>
      <c r="D3054" t="s">
        <v>79</v>
      </c>
      <c r="E3054" t="s">
        <v>3636</v>
      </c>
      <c r="F3054" t="s">
        <v>3606</v>
      </c>
      <c r="G3054" s="1">
        <v>7441018.0700000003</v>
      </c>
    </row>
    <row r="3055" spans="1:7">
      <c r="A3055" t="s">
        <v>3150</v>
      </c>
      <c r="B3055" s="6">
        <v>45959</v>
      </c>
      <c r="C3055" s="6" t="str">
        <f>TEXT(Table3[[#This Row],[transaction_date]], "yyyy-mm")</f>
        <v>2025-10</v>
      </c>
      <c r="D3055" t="s">
        <v>79</v>
      </c>
      <c r="E3055" t="s">
        <v>3637</v>
      </c>
      <c r="F3055" t="s">
        <v>3614</v>
      </c>
      <c r="G3055" s="1">
        <v>3222391.04</v>
      </c>
    </row>
    <row r="3056" spans="1:7">
      <c r="A3056" t="s">
        <v>3151</v>
      </c>
      <c r="B3056" s="6">
        <v>45748</v>
      </c>
      <c r="C3056" s="6" t="str">
        <f>TEXT(Table3[[#This Row],[transaction_date]], "yyyy-mm")</f>
        <v>2025-04</v>
      </c>
      <c r="D3056" t="s">
        <v>84</v>
      </c>
      <c r="E3056" t="s">
        <v>3637</v>
      </c>
      <c r="F3056" t="s">
        <v>3621</v>
      </c>
      <c r="G3056" s="1">
        <v>12931904.41</v>
      </c>
    </row>
    <row r="3057" spans="1:7">
      <c r="A3057" t="s">
        <v>3152</v>
      </c>
      <c r="B3057" s="6">
        <v>45929</v>
      </c>
      <c r="C3057" s="6" t="str">
        <f>TEXT(Table3[[#This Row],[transaction_date]], "yyyy-mm")</f>
        <v>2025-09</v>
      </c>
      <c r="D3057" t="s">
        <v>89</v>
      </c>
      <c r="E3057" t="s">
        <v>3637</v>
      </c>
      <c r="F3057" t="s">
        <v>3616</v>
      </c>
      <c r="G3057" s="1">
        <v>3994708.09</v>
      </c>
    </row>
    <row r="3058" spans="1:7">
      <c r="A3058" t="s">
        <v>3153</v>
      </c>
      <c r="B3058" s="6">
        <v>45724</v>
      </c>
      <c r="C3058" s="6" t="str">
        <f>TEXT(Table3[[#This Row],[transaction_date]], "yyyy-mm")</f>
        <v>2025-03</v>
      </c>
      <c r="D3058" t="s">
        <v>82</v>
      </c>
      <c r="E3058" t="s">
        <v>3637</v>
      </c>
      <c r="F3058" t="s">
        <v>3622</v>
      </c>
      <c r="G3058" s="1">
        <v>10118892.789999999</v>
      </c>
    </row>
    <row r="3059" spans="1:7">
      <c r="A3059" t="s">
        <v>3154</v>
      </c>
      <c r="B3059" s="6">
        <v>46022</v>
      </c>
      <c r="C3059" s="6" t="str">
        <f>TEXT(Table3[[#This Row],[transaction_date]], "yyyy-mm")</f>
        <v>2025-12</v>
      </c>
      <c r="D3059" t="s">
        <v>90</v>
      </c>
      <c r="E3059" t="s">
        <v>3636</v>
      </c>
      <c r="F3059" t="s">
        <v>3612</v>
      </c>
      <c r="G3059" s="1">
        <v>3401069.41</v>
      </c>
    </row>
    <row r="3060" spans="1:7">
      <c r="A3060" t="s">
        <v>3155</v>
      </c>
      <c r="B3060" s="6">
        <v>45881</v>
      </c>
      <c r="C3060" s="6" t="str">
        <f>TEXT(Table3[[#This Row],[transaction_date]], "yyyy-mm")</f>
        <v>2025-08</v>
      </c>
      <c r="D3060" t="s">
        <v>3597</v>
      </c>
      <c r="E3060" t="s">
        <v>3636</v>
      </c>
      <c r="F3060" t="s">
        <v>3606</v>
      </c>
      <c r="G3060" s="1">
        <v>1874644.69</v>
      </c>
    </row>
    <row r="3061" spans="1:7">
      <c r="A3061" t="s">
        <v>3156</v>
      </c>
      <c r="B3061" s="6">
        <v>45872</v>
      </c>
      <c r="C3061" s="6" t="str">
        <f>TEXT(Table3[[#This Row],[transaction_date]], "yyyy-mm")</f>
        <v>2025-08</v>
      </c>
      <c r="D3061" t="s">
        <v>79</v>
      </c>
      <c r="E3061" t="s">
        <v>3637</v>
      </c>
      <c r="F3061" t="s">
        <v>3623</v>
      </c>
      <c r="G3061" s="1">
        <v>2673830.7799999998</v>
      </c>
    </row>
    <row r="3062" spans="1:7">
      <c r="A3062" t="s">
        <v>3157</v>
      </c>
      <c r="B3062" s="6">
        <v>45687</v>
      </c>
      <c r="C3062" s="6" t="str">
        <f>TEXT(Table3[[#This Row],[transaction_date]], "yyyy-mm")</f>
        <v>2025-01</v>
      </c>
      <c r="D3062" t="s">
        <v>85</v>
      </c>
      <c r="E3062" t="s">
        <v>3636</v>
      </c>
      <c r="F3062" t="s">
        <v>3612</v>
      </c>
      <c r="G3062" s="1">
        <v>115431.32</v>
      </c>
    </row>
    <row r="3063" spans="1:7">
      <c r="A3063" t="s">
        <v>3158</v>
      </c>
      <c r="B3063" s="6">
        <v>45949</v>
      </c>
      <c r="C3063" s="6" t="str">
        <f>TEXT(Table3[[#This Row],[transaction_date]], "yyyy-mm")</f>
        <v>2025-10</v>
      </c>
      <c r="D3063" t="s">
        <v>73</v>
      </c>
      <c r="E3063" t="s">
        <v>3637</v>
      </c>
      <c r="F3063" t="s">
        <v>3619</v>
      </c>
      <c r="G3063" s="1">
        <v>4656459.0599999996</v>
      </c>
    </row>
    <row r="3064" spans="1:7">
      <c r="A3064" t="s">
        <v>3159</v>
      </c>
      <c r="B3064" s="6">
        <v>45728</v>
      </c>
      <c r="C3064" s="6" t="str">
        <f>TEXT(Table3[[#This Row],[transaction_date]], "yyyy-mm")</f>
        <v>2025-03</v>
      </c>
      <c r="D3064" t="s">
        <v>93</v>
      </c>
      <c r="E3064" t="s">
        <v>3636</v>
      </c>
      <c r="F3064" t="s">
        <v>3610</v>
      </c>
      <c r="G3064" s="1">
        <v>3111336.45</v>
      </c>
    </row>
    <row r="3065" spans="1:7">
      <c r="A3065" t="s">
        <v>3160</v>
      </c>
      <c r="B3065" s="6">
        <v>45921</v>
      </c>
      <c r="C3065" s="6" t="str">
        <f>TEXT(Table3[[#This Row],[transaction_date]], "yyyy-mm")</f>
        <v>2025-09</v>
      </c>
      <c r="D3065" t="s">
        <v>85</v>
      </c>
      <c r="E3065" t="s">
        <v>3637</v>
      </c>
      <c r="F3065" t="s">
        <v>3614</v>
      </c>
      <c r="G3065" s="1">
        <v>3665284.45</v>
      </c>
    </row>
    <row r="3066" spans="1:7">
      <c r="A3066" t="s">
        <v>3161</v>
      </c>
      <c r="B3066" s="6">
        <v>46009</v>
      </c>
      <c r="C3066" s="6" t="str">
        <f>TEXT(Table3[[#This Row],[transaction_date]], "yyyy-mm")</f>
        <v>2025-12</v>
      </c>
      <c r="D3066" t="s">
        <v>73</v>
      </c>
      <c r="E3066" t="s">
        <v>3637</v>
      </c>
      <c r="F3066" t="s">
        <v>3621</v>
      </c>
      <c r="G3066" s="1">
        <v>484290.54</v>
      </c>
    </row>
    <row r="3067" spans="1:7">
      <c r="A3067" t="s">
        <v>3162</v>
      </c>
      <c r="B3067" s="6">
        <v>45975</v>
      </c>
      <c r="C3067" s="6" t="str">
        <f>TEXT(Table3[[#This Row],[transaction_date]], "yyyy-mm")</f>
        <v>2025-11</v>
      </c>
      <c r="D3067" t="s">
        <v>84</v>
      </c>
      <c r="E3067" t="s">
        <v>3636</v>
      </c>
      <c r="F3067" t="s">
        <v>3613</v>
      </c>
      <c r="G3067" s="1">
        <v>2271661.56</v>
      </c>
    </row>
    <row r="3068" spans="1:7">
      <c r="A3068" t="s">
        <v>3163</v>
      </c>
      <c r="B3068" s="6">
        <v>45711</v>
      </c>
      <c r="C3068" s="6" t="str">
        <f>TEXT(Table3[[#This Row],[transaction_date]], "yyyy-mm")</f>
        <v>2025-02</v>
      </c>
      <c r="D3068" t="s">
        <v>79</v>
      </c>
      <c r="E3068" t="s">
        <v>3637</v>
      </c>
      <c r="F3068" t="s">
        <v>3619</v>
      </c>
      <c r="G3068" s="1">
        <v>2138785.88</v>
      </c>
    </row>
    <row r="3069" spans="1:7">
      <c r="A3069" t="s">
        <v>3164</v>
      </c>
      <c r="B3069" s="6">
        <v>45844</v>
      </c>
      <c r="C3069" s="6" t="str">
        <f>TEXT(Table3[[#This Row],[transaction_date]], "yyyy-mm")</f>
        <v>2025-07</v>
      </c>
      <c r="D3069" t="s">
        <v>85</v>
      </c>
      <c r="E3069" t="s">
        <v>3637</v>
      </c>
      <c r="F3069" t="s">
        <v>3614</v>
      </c>
      <c r="G3069" s="1">
        <v>335978.58</v>
      </c>
    </row>
    <row r="3070" spans="1:7">
      <c r="A3070" t="s">
        <v>3165</v>
      </c>
      <c r="B3070" s="6">
        <v>45892</v>
      </c>
      <c r="C3070" s="6" t="str">
        <f>TEXT(Table3[[#This Row],[transaction_date]], "yyyy-mm")</f>
        <v>2025-08</v>
      </c>
      <c r="D3070" t="s">
        <v>74</v>
      </c>
      <c r="E3070" t="s">
        <v>3637</v>
      </c>
      <c r="F3070" t="s">
        <v>3620</v>
      </c>
      <c r="G3070" s="1">
        <v>648343.98</v>
      </c>
    </row>
    <row r="3071" spans="1:7">
      <c r="A3071" t="s">
        <v>3166</v>
      </c>
      <c r="B3071" s="6">
        <v>45879</v>
      </c>
      <c r="C3071" s="6" t="str">
        <f>TEXT(Table3[[#This Row],[transaction_date]], "yyyy-mm")</f>
        <v>2025-08</v>
      </c>
      <c r="D3071" t="s">
        <v>84</v>
      </c>
      <c r="E3071" t="s">
        <v>3637</v>
      </c>
      <c r="F3071" t="s">
        <v>3615</v>
      </c>
      <c r="G3071" s="1">
        <v>5772953.6299999999</v>
      </c>
    </row>
    <row r="3072" spans="1:7">
      <c r="A3072" t="s">
        <v>3167</v>
      </c>
      <c r="B3072" s="6">
        <v>45659</v>
      </c>
      <c r="C3072" s="6" t="str">
        <f>TEXT(Table3[[#This Row],[transaction_date]], "yyyy-mm")</f>
        <v>2025-01</v>
      </c>
      <c r="D3072" t="s">
        <v>85</v>
      </c>
      <c r="E3072" t="s">
        <v>3636</v>
      </c>
      <c r="F3072" t="s">
        <v>3613</v>
      </c>
      <c r="G3072" s="1">
        <v>2583011.59</v>
      </c>
    </row>
    <row r="3073" spans="1:7">
      <c r="A3073" t="s">
        <v>3168</v>
      </c>
      <c r="B3073" s="6">
        <v>45901</v>
      </c>
      <c r="C3073" s="6" t="str">
        <f>TEXT(Table3[[#This Row],[transaction_date]], "yyyy-mm")</f>
        <v>2025-09</v>
      </c>
      <c r="D3073" t="s">
        <v>75</v>
      </c>
      <c r="E3073" t="s">
        <v>3636</v>
      </c>
      <c r="F3073" t="s">
        <v>3613</v>
      </c>
      <c r="G3073" s="1">
        <v>7893538.9199999999</v>
      </c>
    </row>
    <row r="3074" spans="1:7">
      <c r="A3074" t="s">
        <v>3169</v>
      </c>
      <c r="B3074" s="6">
        <v>45809</v>
      </c>
      <c r="C3074" s="6" t="str">
        <f>TEXT(Table3[[#This Row],[transaction_date]], "yyyy-mm")</f>
        <v>2025-06</v>
      </c>
      <c r="D3074" t="s">
        <v>75</v>
      </c>
      <c r="E3074" t="s">
        <v>3636</v>
      </c>
      <c r="F3074" t="s">
        <v>3612</v>
      </c>
      <c r="G3074" s="1">
        <v>6457566.6100000003</v>
      </c>
    </row>
    <row r="3075" spans="1:7">
      <c r="A3075" t="s">
        <v>3170</v>
      </c>
      <c r="B3075" s="6">
        <v>45672</v>
      </c>
      <c r="C3075" s="6" t="str">
        <f>TEXT(Table3[[#This Row],[transaction_date]], "yyyy-mm")</f>
        <v>2025-01</v>
      </c>
      <c r="D3075" t="s">
        <v>74</v>
      </c>
      <c r="E3075" t="s">
        <v>3637</v>
      </c>
      <c r="F3075" t="s">
        <v>3618</v>
      </c>
      <c r="G3075" s="1">
        <v>179392.63</v>
      </c>
    </row>
    <row r="3076" spans="1:7">
      <c r="A3076" t="s">
        <v>3171</v>
      </c>
      <c r="B3076" s="6">
        <v>45785</v>
      </c>
      <c r="C3076" s="6" t="str">
        <f>TEXT(Table3[[#This Row],[transaction_date]], "yyyy-mm")</f>
        <v>2025-05</v>
      </c>
      <c r="D3076" t="s">
        <v>75</v>
      </c>
      <c r="E3076" t="s">
        <v>3637</v>
      </c>
      <c r="F3076" t="s">
        <v>3614</v>
      </c>
      <c r="G3076" s="1">
        <v>23614876.32</v>
      </c>
    </row>
    <row r="3077" spans="1:7">
      <c r="A3077" t="s">
        <v>3172</v>
      </c>
      <c r="B3077" s="6">
        <v>45726</v>
      </c>
      <c r="C3077" s="6" t="str">
        <f>TEXT(Table3[[#This Row],[transaction_date]], "yyyy-mm")</f>
        <v>2025-03</v>
      </c>
      <c r="D3077" t="s">
        <v>80</v>
      </c>
      <c r="E3077" t="s">
        <v>3636</v>
      </c>
      <c r="F3077" t="s">
        <v>3607</v>
      </c>
      <c r="G3077" s="1">
        <v>4472044.04</v>
      </c>
    </row>
    <row r="3078" spans="1:7">
      <c r="A3078" t="s">
        <v>3173</v>
      </c>
      <c r="B3078" s="6">
        <v>45960</v>
      </c>
      <c r="C3078" s="6" t="str">
        <f>TEXT(Table3[[#This Row],[transaction_date]], "yyyy-mm")</f>
        <v>2025-10</v>
      </c>
      <c r="D3078" t="s">
        <v>95</v>
      </c>
      <c r="E3078" t="s">
        <v>3636</v>
      </c>
      <c r="F3078" t="s">
        <v>3606</v>
      </c>
      <c r="G3078" s="1">
        <v>5625650.5700000003</v>
      </c>
    </row>
    <row r="3079" spans="1:7">
      <c r="A3079" t="s">
        <v>3174</v>
      </c>
      <c r="B3079" s="6">
        <v>45932</v>
      </c>
      <c r="C3079" s="6" t="str">
        <f>TEXT(Table3[[#This Row],[transaction_date]], "yyyy-mm")</f>
        <v>2025-10</v>
      </c>
      <c r="D3079" t="s">
        <v>75</v>
      </c>
      <c r="E3079" t="s">
        <v>3636</v>
      </c>
      <c r="F3079" t="s">
        <v>3608</v>
      </c>
      <c r="G3079" s="1">
        <v>9169213.9199999999</v>
      </c>
    </row>
    <row r="3080" spans="1:7">
      <c r="A3080" t="s">
        <v>3175</v>
      </c>
      <c r="B3080" s="6">
        <v>45667</v>
      </c>
      <c r="C3080" s="6" t="str">
        <f>TEXT(Table3[[#This Row],[transaction_date]], "yyyy-mm")</f>
        <v>2025-01</v>
      </c>
      <c r="D3080" t="s">
        <v>79</v>
      </c>
      <c r="E3080" t="s">
        <v>3637</v>
      </c>
      <c r="F3080" t="s">
        <v>3620</v>
      </c>
      <c r="G3080" s="1">
        <v>3798930.74</v>
      </c>
    </row>
    <row r="3081" spans="1:7">
      <c r="A3081" t="s">
        <v>3176</v>
      </c>
      <c r="B3081" s="6">
        <v>45711</v>
      </c>
      <c r="C3081" s="6" t="str">
        <f>TEXT(Table3[[#This Row],[transaction_date]], "yyyy-mm")</f>
        <v>2025-02</v>
      </c>
      <c r="D3081" t="s">
        <v>73</v>
      </c>
      <c r="E3081" t="s">
        <v>3636</v>
      </c>
      <c r="F3081" t="s">
        <v>3607</v>
      </c>
      <c r="G3081" s="1">
        <v>1013620.93</v>
      </c>
    </row>
    <row r="3082" spans="1:7">
      <c r="A3082" t="s">
        <v>3177</v>
      </c>
      <c r="B3082" s="6">
        <v>45750</v>
      </c>
      <c r="C3082" s="6" t="str">
        <f>TEXT(Table3[[#This Row],[transaction_date]], "yyyy-mm")</f>
        <v>2025-04</v>
      </c>
      <c r="D3082" t="s">
        <v>90</v>
      </c>
      <c r="E3082" t="s">
        <v>3637</v>
      </c>
      <c r="F3082" t="s">
        <v>3615</v>
      </c>
      <c r="G3082" s="1">
        <v>5692575.5300000003</v>
      </c>
    </row>
    <row r="3083" spans="1:7">
      <c r="A3083" t="s">
        <v>3178</v>
      </c>
      <c r="B3083" s="6">
        <v>45743</v>
      </c>
      <c r="C3083" s="6" t="str">
        <f>TEXT(Table3[[#This Row],[transaction_date]], "yyyy-mm")</f>
        <v>2025-03</v>
      </c>
      <c r="D3083" t="s">
        <v>85</v>
      </c>
      <c r="E3083" t="s">
        <v>3636</v>
      </c>
      <c r="F3083" t="s">
        <v>3612</v>
      </c>
      <c r="G3083" s="1">
        <v>31135.8</v>
      </c>
    </row>
    <row r="3084" spans="1:7">
      <c r="A3084" t="s">
        <v>3179</v>
      </c>
      <c r="B3084" s="6">
        <v>45860</v>
      </c>
      <c r="C3084" s="6" t="str">
        <f>TEXT(Table3[[#This Row],[transaction_date]], "yyyy-mm")</f>
        <v>2025-07</v>
      </c>
      <c r="D3084" t="s">
        <v>75</v>
      </c>
      <c r="E3084" t="s">
        <v>3636</v>
      </c>
      <c r="F3084" t="s">
        <v>3612</v>
      </c>
      <c r="G3084" s="1">
        <v>6433800.4299999997</v>
      </c>
    </row>
    <row r="3085" spans="1:7">
      <c r="A3085" t="s">
        <v>3180</v>
      </c>
      <c r="B3085" s="6">
        <v>45939</v>
      </c>
      <c r="C3085" s="6" t="str">
        <f>TEXT(Table3[[#This Row],[transaction_date]], "yyyy-mm")</f>
        <v>2025-10</v>
      </c>
      <c r="D3085" t="s">
        <v>74</v>
      </c>
      <c r="E3085" t="s">
        <v>3636</v>
      </c>
      <c r="F3085" t="s">
        <v>3610</v>
      </c>
      <c r="G3085" s="1">
        <v>560538.11</v>
      </c>
    </row>
    <row r="3086" spans="1:7">
      <c r="A3086" t="s">
        <v>3181</v>
      </c>
      <c r="B3086" s="6">
        <v>45732</v>
      </c>
      <c r="C3086" s="6" t="str">
        <f>TEXT(Table3[[#This Row],[transaction_date]], "yyyy-mm")</f>
        <v>2025-03</v>
      </c>
      <c r="D3086" t="s">
        <v>73</v>
      </c>
      <c r="E3086" t="s">
        <v>3636</v>
      </c>
      <c r="F3086" t="s">
        <v>3609</v>
      </c>
      <c r="G3086" s="1">
        <v>14067514.609999999</v>
      </c>
    </row>
    <row r="3087" spans="1:7">
      <c r="A3087" t="s">
        <v>3182</v>
      </c>
      <c r="B3087" s="6">
        <v>45665</v>
      </c>
      <c r="C3087" s="6" t="str">
        <f>TEXT(Table3[[#This Row],[transaction_date]], "yyyy-mm")</f>
        <v>2025-01</v>
      </c>
      <c r="D3087" t="s">
        <v>74</v>
      </c>
      <c r="E3087" t="s">
        <v>3637</v>
      </c>
      <c r="F3087" t="s">
        <v>3621</v>
      </c>
      <c r="G3087" s="1">
        <v>497304</v>
      </c>
    </row>
    <row r="3088" spans="1:7">
      <c r="A3088" t="s">
        <v>3183</v>
      </c>
      <c r="B3088" s="6">
        <v>45689</v>
      </c>
      <c r="C3088" s="6" t="str">
        <f>TEXT(Table3[[#This Row],[transaction_date]], "yyyy-mm")</f>
        <v>2025-02</v>
      </c>
      <c r="D3088" t="s">
        <v>82</v>
      </c>
      <c r="E3088" t="s">
        <v>3637</v>
      </c>
      <c r="F3088" t="s">
        <v>3622</v>
      </c>
      <c r="G3088" s="1">
        <v>14498111.35</v>
      </c>
    </row>
    <row r="3089" spans="1:7">
      <c r="A3089" t="s">
        <v>3184</v>
      </c>
      <c r="B3089" s="6">
        <v>45860</v>
      </c>
      <c r="C3089" s="6" t="str">
        <f>TEXT(Table3[[#This Row],[transaction_date]], "yyyy-mm")</f>
        <v>2025-07</v>
      </c>
      <c r="D3089" t="s">
        <v>85</v>
      </c>
      <c r="E3089" t="s">
        <v>3637</v>
      </c>
      <c r="F3089" t="s">
        <v>3618</v>
      </c>
      <c r="G3089" s="1">
        <v>3191777.16</v>
      </c>
    </row>
    <row r="3090" spans="1:7">
      <c r="A3090" t="s">
        <v>3185</v>
      </c>
      <c r="B3090" s="6">
        <v>45747</v>
      </c>
      <c r="C3090" s="6" t="str">
        <f>TEXT(Table3[[#This Row],[transaction_date]], "yyyy-mm")</f>
        <v>2025-03</v>
      </c>
      <c r="D3090" t="s">
        <v>78</v>
      </c>
      <c r="E3090" t="s">
        <v>3637</v>
      </c>
      <c r="F3090" t="s">
        <v>3615</v>
      </c>
      <c r="G3090" s="1">
        <v>4129072.9</v>
      </c>
    </row>
    <row r="3091" spans="1:7">
      <c r="A3091" t="s">
        <v>3186</v>
      </c>
      <c r="B3091" s="6">
        <v>45844</v>
      </c>
      <c r="C3091" s="6" t="str">
        <f>TEXT(Table3[[#This Row],[transaction_date]], "yyyy-mm")</f>
        <v>2025-07</v>
      </c>
      <c r="D3091" t="s">
        <v>85</v>
      </c>
      <c r="E3091" t="s">
        <v>3637</v>
      </c>
      <c r="F3091" t="s">
        <v>3616</v>
      </c>
      <c r="G3091" s="1">
        <v>2047349.8</v>
      </c>
    </row>
    <row r="3092" spans="1:7">
      <c r="A3092" t="s">
        <v>3187</v>
      </c>
      <c r="B3092" s="6">
        <v>45805</v>
      </c>
      <c r="C3092" s="6" t="str">
        <f>TEXT(Table3[[#This Row],[transaction_date]], "yyyy-mm")</f>
        <v>2025-05</v>
      </c>
      <c r="D3092" t="s">
        <v>74</v>
      </c>
      <c r="E3092" t="s">
        <v>3637</v>
      </c>
      <c r="F3092" t="s">
        <v>3618</v>
      </c>
      <c r="G3092" s="1">
        <v>135099.53</v>
      </c>
    </row>
    <row r="3093" spans="1:7">
      <c r="A3093" t="s">
        <v>3188</v>
      </c>
      <c r="B3093" s="6">
        <v>45862</v>
      </c>
      <c r="C3093" s="6" t="str">
        <f>TEXT(Table3[[#This Row],[transaction_date]], "yyyy-mm")</f>
        <v>2025-07</v>
      </c>
      <c r="D3093" t="s">
        <v>89</v>
      </c>
      <c r="E3093" t="s">
        <v>3637</v>
      </c>
      <c r="F3093" t="s">
        <v>3623</v>
      </c>
      <c r="G3093" s="1">
        <v>903666.78</v>
      </c>
    </row>
    <row r="3094" spans="1:7">
      <c r="A3094" t="s">
        <v>3189</v>
      </c>
      <c r="B3094" s="6">
        <v>45991</v>
      </c>
      <c r="C3094" s="6" t="str">
        <f>TEXT(Table3[[#This Row],[transaction_date]], "yyyy-mm")</f>
        <v>2025-11</v>
      </c>
      <c r="D3094" t="s">
        <v>84</v>
      </c>
      <c r="E3094" t="s">
        <v>3636</v>
      </c>
      <c r="F3094" t="s">
        <v>3604</v>
      </c>
      <c r="G3094" s="1">
        <v>3946307.48</v>
      </c>
    </row>
    <row r="3095" spans="1:7">
      <c r="A3095" t="s">
        <v>3190</v>
      </c>
      <c r="B3095" s="6">
        <v>45890</v>
      </c>
      <c r="C3095" s="6" t="str">
        <f>TEXT(Table3[[#This Row],[transaction_date]], "yyyy-mm")</f>
        <v>2025-08</v>
      </c>
      <c r="D3095" t="s">
        <v>95</v>
      </c>
      <c r="E3095" t="s">
        <v>3637</v>
      </c>
      <c r="F3095" t="s">
        <v>3622</v>
      </c>
      <c r="G3095" s="1">
        <v>1401154.96</v>
      </c>
    </row>
    <row r="3096" spans="1:7">
      <c r="A3096" t="s">
        <v>3191</v>
      </c>
      <c r="B3096" s="6">
        <v>45740</v>
      </c>
      <c r="C3096" s="6" t="str">
        <f>TEXT(Table3[[#This Row],[transaction_date]], "yyyy-mm")</f>
        <v>2025-03</v>
      </c>
      <c r="D3096" t="s">
        <v>85</v>
      </c>
      <c r="E3096" t="s">
        <v>3636</v>
      </c>
      <c r="F3096" t="s">
        <v>3604</v>
      </c>
      <c r="G3096" s="1">
        <v>1673386.98</v>
      </c>
    </row>
    <row r="3097" spans="1:7">
      <c r="A3097" t="s">
        <v>3192</v>
      </c>
      <c r="B3097" s="6">
        <v>45673</v>
      </c>
      <c r="C3097" s="6" t="str">
        <f>TEXT(Table3[[#This Row],[transaction_date]], "yyyy-mm")</f>
        <v>2025-01</v>
      </c>
      <c r="D3097" t="s">
        <v>78</v>
      </c>
      <c r="E3097" t="s">
        <v>3637</v>
      </c>
      <c r="F3097" t="s">
        <v>3614</v>
      </c>
      <c r="G3097" s="1">
        <v>3229615.08</v>
      </c>
    </row>
    <row r="3098" spans="1:7">
      <c r="A3098" t="s">
        <v>3193</v>
      </c>
      <c r="B3098" s="6">
        <v>46017</v>
      </c>
      <c r="C3098" s="6" t="str">
        <f>TEXT(Table3[[#This Row],[transaction_date]], "yyyy-mm")</f>
        <v>2025-12</v>
      </c>
      <c r="D3098" t="s">
        <v>73</v>
      </c>
      <c r="E3098" t="s">
        <v>3637</v>
      </c>
      <c r="F3098" t="s">
        <v>3617</v>
      </c>
      <c r="G3098" s="1">
        <v>1509278.11</v>
      </c>
    </row>
    <row r="3099" spans="1:7">
      <c r="A3099" t="s">
        <v>3194</v>
      </c>
      <c r="B3099" s="6">
        <v>45681</v>
      </c>
      <c r="C3099" s="6" t="str">
        <f>TEXT(Table3[[#This Row],[transaction_date]], "yyyy-mm")</f>
        <v>2025-01</v>
      </c>
      <c r="D3099" t="s">
        <v>3597</v>
      </c>
      <c r="E3099" t="s">
        <v>3636</v>
      </c>
      <c r="F3099" t="s">
        <v>3613</v>
      </c>
      <c r="G3099" s="1">
        <v>5263240.76</v>
      </c>
    </row>
    <row r="3100" spans="1:7">
      <c r="A3100" t="s">
        <v>3195</v>
      </c>
      <c r="B3100" s="6">
        <v>45969</v>
      </c>
      <c r="C3100" s="6" t="str">
        <f>TEXT(Table3[[#This Row],[transaction_date]], "yyyy-mm")</f>
        <v>2025-11</v>
      </c>
      <c r="D3100" t="s">
        <v>73</v>
      </c>
      <c r="E3100" t="s">
        <v>3637</v>
      </c>
      <c r="F3100" t="s">
        <v>3620</v>
      </c>
      <c r="G3100" s="1">
        <v>1736448.16</v>
      </c>
    </row>
    <row r="3101" spans="1:7">
      <c r="A3101" t="s">
        <v>3196</v>
      </c>
      <c r="B3101" s="6">
        <v>45762</v>
      </c>
      <c r="C3101" s="6" t="str">
        <f>TEXT(Table3[[#This Row],[transaction_date]], "yyyy-mm")</f>
        <v>2025-04</v>
      </c>
      <c r="D3101" t="s">
        <v>78</v>
      </c>
      <c r="E3101" t="s">
        <v>3636</v>
      </c>
      <c r="F3101" t="s">
        <v>3604</v>
      </c>
      <c r="G3101" s="1">
        <v>2770664.33</v>
      </c>
    </row>
    <row r="3102" spans="1:7">
      <c r="A3102" t="s">
        <v>3197</v>
      </c>
      <c r="B3102" s="6">
        <v>45782</v>
      </c>
      <c r="C3102" s="6" t="str">
        <f>TEXT(Table3[[#This Row],[transaction_date]], "yyyy-mm")</f>
        <v>2025-05</v>
      </c>
      <c r="D3102" t="s">
        <v>82</v>
      </c>
      <c r="E3102" t="s">
        <v>3637</v>
      </c>
      <c r="F3102" t="s">
        <v>3616</v>
      </c>
      <c r="G3102" s="1">
        <v>7683095.04</v>
      </c>
    </row>
    <row r="3103" spans="1:7">
      <c r="A3103" t="s">
        <v>3198</v>
      </c>
      <c r="B3103" s="6">
        <v>45932</v>
      </c>
      <c r="C3103" s="6" t="str">
        <f>TEXT(Table3[[#This Row],[transaction_date]], "yyyy-mm")</f>
        <v>2025-10</v>
      </c>
      <c r="D3103" t="s">
        <v>93</v>
      </c>
      <c r="E3103" t="s">
        <v>3637</v>
      </c>
      <c r="F3103" t="s">
        <v>3615</v>
      </c>
      <c r="G3103" s="1">
        <v>3285574.09</v>
      </c>
    </row>
    <row r="3104" spans="1:7">
      <c r="A3104" t="s">
        <v>3199</v>
      </c>
      <c r="B3104" s="6">
        <v>45967</v>
      </c>
      <c r="C3104" s="6" t="str">
        <f>TEXT(Table3[[#This Row],[transaction_date]], "yyyy-mm")</f>
        <v>2025-11</v>
      </c>
      <c r="D3104" t="s">
        <v>73</v>
      </c>
      <c r="E3104" t="s">
        <v>3637</v>
      </c>
      <c r="F3104" t="s">
        <v>3615</v>
      </c>
      <c r="G3104" s="1">
        <v>65513.07</v>
      </c>
    </row>
    <row r="3105" spans="1:7">
      <c r="A3105" t="s">
        <v>3200</v>
      </c>
      <c r="B3105" s="6">
        <v>45969</v>
      </c>
      <c r="C3105" s="6" t="str">
        <f>TEXT(Table3[[#This Row],[transaction_date]], "yyyy-mm")</f>
        <v>2025-11</v>
      </c>
      <c r="D3105" t="s">
        <v>90</v>
      </c>
      <c r="E3105" t="s">
        <v>3636</v>
      </c>
      <c r="F3105" t="s">
        <v>3610</v>
      </c>
      <c r="G3105" s="1">
        <v>2344991.2200000002</v>
      </c>
    </row>
    <row r="3106" spans="1:7">
      <c r="A3106" t="s">
        <v>3201</v>
      </c>
      <c r="B3106" s="6">
        <v>45933</v>
      </c>
      <c r="C3106" s="6" t="str">
        <f>TEXT(Table3[[#This Row],[transaction_date]], "yyyy-mm")</f>
        <v>2025-10</v>
      </c>
      <c r="D3106" t="s">
        <v>80</v>
      </c>
      <c r="E3106" t="s">
        <v>3637</v>
      </c>
      <c r="F3106" t="s">
        <v>3622</v>
      </c>
      <c r="G3106" s="1">
        <v>1191983.6599999999</v>
      </c>
    </row>
    <row r="3107" spans="1:7">
      <c r="A3107" t="s">
        <v>3202</v>
      </c>
      <c r="B3107" s="6">
        <v>45698</v>
      </c>
      <c r="C3107" s="6" t="str">
        <f>TEXT(Table3[[#This Row],[transaction_date]], "yyyy-mm")</f>
        <v>2025-02</v>
      </c>
      <c r="D3107" t="s">
        <v>90</v>
      </c>
      <c r="E3107" t="s">
        <v>3637</v>
      </c>
      <c r="F3107" t="s">
        <v>3621</v>
      </c>
      <c r="G3107" s="1">
        <v>13659911.460000001</v>
      </c>
    </row>
    <row r="3108" spans="1:7">
      <c r="A3108" t="s">
        <v>3203</v>
      </c>
      <c r="B3108" s="6">
        <v>45712</v>
      </c>
      <c r="C3108" s="6" t="str">
        <f>TEXT(Table3[[#This Row],[transaction_date]], "yyyy-mm")</f>
        <v>2025-02</v>
      </c>
      <c r="D3108" t="s">
        <v>77</v>
      </c>
      <c r="E3108" t="s">
        <v>3637</v>
      </c>
      <c r="F3108" t="s">
        <v>3620</v>
      </c>
      <c r="G3108" s="1">
        <v>2177830.4900000002</v>
      </c>
    </row>
    <row r="3109" spans="1:7">
      <c r="A3109" t="s">
        <v>3204</v>
      </c>
      <c r="B3109" s="6">
        <v>45764</v>
      </c>
      <c r="C3109" s="6" t="str">
        <f>TEXT(Table3[[#This Row],[transaction_date]], "yyyy-mm")</f>
        <v>2025-04</v>
      </c>
      <c r="D3109" t="s">
        <v>95</v>
      </c>
      <c r="E3109" t="s">
        <v>3636</v>
      </c>
      <c r="F3109" t="s">
        <v>3612</v>
      </c>
      <c r="G3109" s="1">
        <v>1094513.6499999999</v>
      </c>
    </row>
    <row r="3110" spans="1:7">
      <c r="A3110" t="s">
        <v>3205</v>
      </c>
      <c r="B3110" s="6">
        <v>45937</v>
      </c>
      <c r="C3110" s="6" t="str">
        <f>TEXT(Table3[[#This Row],[transaction_date]], "yyyy-mm")</f>
        <v>2025-10</v>
      </c>
      <c r="D3110" t="s">
        <v>75</v>
      </c>
      <c r="E3110" t="s">
        <v>3637</v>
      </c>
      <c r="F3110" t="s">
        <v>3617</v>
      </c>
      <c r="G3110" s="1">
        <v>5910068.7199999997</v>
      </c>
    </row>
    <row r="3111" spans="1:7">
      <c r="A3111" t="s">
        <v>3206</v>
      </c>
      <c r="B3111" s="6">
        <v>45833</v>
      </c>
      <c r="C3111" s="6" t="str">
        <f>TEXT(Table3[[#This Row],[transaction_date]], "yyyy-mm")</f>
        <v>2025-06</v>
      </c>
      <c r="D3111" t="s">
        <v>85</v>
      </c>
      <c r="E3111" t="s">
        <v>3636</v>
      </c>
      <c r="F3111" t="s">
        <v>3606</v>
      </c>
      <c r="G3111" s="1">
        <v>1277880.79</v>
      </c>
    </row>
    <row r="3112" spans="1:7">
      <c r="A3112" t="s">
        <v>3207</v>
      </c>
      <c r="B3112" s="6">
        <v>45658</v>
      </c>
      <c r="C3112" s="6" t="str">
        <f>TEXT(Table3[[#This Row],[transaction_date]], "yyyy-mm")</f>
        <v>2025-01</v>
      </c>
      <c r="D3112" t="s">
        <v>3597</v>
      </c>
      <c r="E3112" t="s">
        <v>3637</v>
      </c>
      <c r="F3112" t="s">
        <v>3623</v>
      </c>
      <c r="G3112" s="1">
        <v>1307499.28</v>
      </c>
    </row>
    <row r="3113" spans="1:7">
      <c r="A3113" t="s">
        <v>3208</v>
      </c>
      <c r="B3113" s="6">
        <v>45929</v>
      </c>
      <c r="C3113" s="6" t="str">
        <f>TEXT(Table3[[#This Row],[transaction_date]], "yyyy-mm")</f>
        <v>2025-09</v>
      </c>
      <c r="D3113" t="s">
        <v>93</v>
      </c>
      <c r="E3113" t="s">
        <v>3637</v>
      </c>
      <c r="F3113" t="s">
        <v>3614</v>
      </c>
      <c r="G3113" s="1">
        <v>8931548.5</v>
      </c>
    </row>
    <row r="3114" spans="1:7">
      <c r="A3114" t="s">
        <v>3209</v>
      </c>
      <c r="B3114" s="6">
        <v>45924</v>
      </c>
      <c r="C3114" s="6" t="str">
        <f>TEXT(Table3[[#This Row],[transaction_date]], "yyyy-mm")</f>
        <v>2025-09</v>
      </c>
      <c r="D3114" t="s">
        <v>89</v>
      </c>
      <c r="E3114" t="s">
        <v>3636</v>
      </c>
      <c r="F3114" t="s">
        <v>3613</v>
      </c>
      <c r="G3114" s="1">
        <v>489461.2</v>
      </c>
    </row>
    <row r="3115" spans="1:7">
      <c r="A3115" t="s">
        <v>3210</v>
      </c>
      <c r="B3115" s="6">
        <v>45986</v>
      </c>
      <c r="C3115" s="6" t="str">
        <f>TEXT(Table3[[#This Row],[transaction_date]], "yyyy-mm")</f>
        <v>2025-11</v>
      </c>
      <c r="D3115" t="s">
        <v>93</v>
      </c>
      <c r="E3115" t="s">
        <v>3636</v>
      </c>
      <c r="F3115" t="s">
        <v>3611</v>
      </c>
      <c r="G3115" s="1">
        <v>5253078.8499999996</v>
      </c>
    </row>
    <row r="3116" spans="1:7">
      <c r="A3116" t="s">
        <v>3211</v>
      </c>
      <c r="B3116" s="6">
        <v>45691</v>
      </c>
      <c r="C3116" s="6" t="str">
        <f>TEXT(Table3[[#This Row],[transaction_date]], "yyyy-mm")</f>
        <v>2025-02</v>
      </c>
      <c r="D3116" t="s">
        <v>89</v>
      </c>
      <c r="E3116" t="s">
        <v>3637</v>
      </c>
      <c r="F3116" t="s">
        <v>3616</v>
      </c>
      <c r="G3116" s="1">
        <v>2483522.5099999998</v>
      </c>
    </row>
    <row r="3117" spans="1:7">
      <c r="A3117" t="s">
        <v>3212</v>
      </c>
      <c r="B3117" s="6">
        <v>45943</v>
      </c>
      <c r="C3117" s="6" t="str">
        <f>TEXT(Table3[[#This Row],[transaction_date]], "yyyy-mm")</f>
        <v>2025-10</v>
      </c>
      <c r="D3117" t="s">
        <v>95</v>
      </c>
      <c r="E3117" t="s">
        <v>3636</v>
      </c>
      <c r="F3117" t="s">
        <v>3612</v>
      </c>
      <c r="G3117" s="1">
        <v>727091.19999999995</v>
      </c>
    </row>
    <row r="3118" spans="1:7">
      <c r="A3118" t="s">
        <v>3213</v>
      </c>
      <c r="B3118" s="6">
        <v>45722</v>
      </c>
      <c r="C3118" s="6" t="str">
        <f>TEXT(Table3[[#This Row],[transaction_date]], "yyyy-mm")</f>
        <v>2025-03</v>
      </c>
      <c r="D3118" t="s">
        <v>73</v>
      </c>
      <c r="E3118" t="s">
        <v>3636</v>
      </c>
      <c r="F3118" t="s">
        <v>3612</v>
      </c>
      <c r="G3118" s="1">
        <v>1710695.47</v>
      </c>
    </row>
    <row r="3119" spans="1:7">
      <c r="A3119" t="s">
        <v>3214</v>
      </c>
      <c r="B3119" s="6">
        <v>45705</v>
      </c>
      <c r="C3119" s="6" t="str">
        <f>TEXT(Table3[[#This Row],[transaction_date]], "yyyy-mm")</f>
        <v>2025-02</v>
      </c>
      <c r="D3119" t="s">
        <v>75</v>
      </c>
      <c r="E3119" t="s">
        <v>3637</v>
      </c>
      <c r="F3119" t="s">
        <v>3620</v>
      </c>
      <c r="G3119" s="1">
        <v>2433193.65</v>
      </c>
    </row>
    <row r="3120" spans="1:7">
      <c r="A3120" t="s">
        <v>3215</v>
      </c>
      <c r="B3120" s="6">
        <v>45666</v>
      </c>
      <c r="C3120" s="6" t="str">
        <f>TEXT(Table3[[#This Row],[transaction_date]], "yyyy-mm")</f>
        <v>2025-01</v>
      </c>
      <c r="D3120" t="s">
        <v>85</v>
      </c>
      <c r="E3120" t="s">
        <v>3637</v>
      </c>
      <c r="F3120" t="s">
        <v>3623</v>
      </c>
      <c r="G3120" s="1">
        <v>1093060.3700000001</v>
      </c>
    </row>
    <row r="3121" spans="1:7">
      <c r="A3121" t="s">
        <v>3216</v>
      </c>
      <c r="B3121" s="6">
        <v>45900</v>
      </c>
      <c r="C3121" s="6" t="str">
        <f>TEXT(Table3[[#This Row],[transaction_date]], "yyyy-mm")</f>
        <v>2025-08</v>
      </c>
      <c r="D3121" t="s">
        <v>3597</v>
      </c>
      <c r="E3121" t="s">
        <v>3637</v>
      </c>
      <c r="F3121" t="s">
        <v>3614</v>
      </c>
      <c r="G3121" s="1">
        <v>4043211.03</v>
      </c>
    </row>
    <row r="3122" spans="1:7">
      <c r="A3122" t="s">
        <v>3217</v>
      </c>
      <c r="B3122" s="6">
        <v>45862</v>
      </c>
      <c r="C3122" s="6" t="str">
        <f>TEXT(Table3[[#This Row],[transaction_date]], "yyyy-mm")</f>
        <v>2025-07</v>
      </c>
      <c r="D3122" t="s">
        <v>73</v>
      </c>
      <c r="E3122" t="s">
        <v>3636</v>
      </c>
      <c r="F3122" t="s">
        <v>3604</v>
      </c>
      <c r="G3122" s="1">
        <v>952694.11</v>
      </c>
    </row>
    <row r="3123" spans="1:7">
      <c r="A3123" t="s">
        <v>3218</v>
      </c>
      <c r="B3123" s="6">
        <v>45987</v>
      </c>
      <c r="C3123" s="6" t="str">
        <f>TEXT(Table3[[#This Row],[transaction_date]], "yyyy-mm")</f>
        <v>2025-11</v>
      </c>
      <c r="D3123" t="s">
        <v>77</v>
      </c>
      <c r="E3123" t="s">
        <v>3637</v>
      </c>
      <c r="F3123" t="s">
        <v>3619</v>
      </c>
      <c r="G3123" s="1">
        <v>21230066.920000002</v>
      </c>
    </row>
    <row r="3124" spans="1:7">
      <c r="A3124" t="s">
        <v>3219</v>
      </c>
      <c r="B3124" s="6">
        <v>45710</v>
      </c>
      <c r="C3124" s="6" t="str">
        <f>TEXT(Table3[[#This Row],[transaction_date]], "yyyy-mm")</f>
        <v>2025-02</v>
      </c>
      <c r="D3124" t="s">
        <v>78</v>
      </c>
      <c r="E3124" t="s">
        <v>3636</v>
      </c>
      <c r="F3124" t="s">
        <v>3610</v>
      </c>
      <c r="G3124" s="1">
        <v>996952.51</v>
      </c>
    </row>
    <row r="3125" spans="1:7">
      <c r="A3125" t="s">
        <v>3220</v>
      </c>
      <c r="B3125" s="6">
        <v>45866</v>
      </c>
      <c r="C3125" s="6" t="str">
        <f>TEXT(Table3[[#This Row],[transaction_date]], "yyyy-mm")</f>
        <v>2025-07</v>
      </c>
      <c r="D3125" t="s">
        <v>73</v>
      </c>
      <c r="E3125" t="s">
        <v>3637</v>
      </c>
      <c r="F3125" t="s">
        <v>3614</v>
      </c>
      <c r="G3125" s="1">
        <v>6838446.1299999999</v>
      </c>
    </row>
    <row r="3126" spans="1:7">
      <c r="A3126" t="s">
        <v>3221</v>
      </c>
      <c r="B3126" s="6">
        <v>45672</v>
      </c>
      <c r="C3126" s="6" t="str">
        <f>TEXT(Table3[[#This Row],[transaction_date]], "yyyy-mm")</f>
        <v>2025-01</v>
      </c>
      <c r="D3126" t="s">
        <v>73</v>
      </c>
      <c r="E3126" t="s">
        <v>3637</v>
      </c>
      <c r="F3126" t="s">
        <v>3619</v>
      </c>
      <c r="G3126" s="1">
        <v>733070.18</v>
      </c>
    </row>
    <row r="3127" spans="1:7">
      <c r="A3127" t="s">
        <v>3222</v>
      </c>
      <c r="B3127" s="6">
        <v>45837</v>
      </c>
      <c r="C3127" s="6" t="str">
        <f>TEXT(Table3[[#This Row],[transaction_date]], "yyyy-mm")</f>
        <v>2025-06</v>
      </c>
      <c r="D3127" t="s">
        <v>76</v>
      </c>
      <c r="E3127" t="s">
        <v>3636</v>
      </c>
      <c r="F3127" t="s">
        <v>3605</v>
      </c>
      <c r="G3127" s="1">
        <v>8409395.6199999992</v>
      </c>
    </row>
    <row r="3128" spans="1:7">
      <c r="A3128" t="s">
        <v>3223</v>
      </c>
      <c r="B3128" s="6">
        <v>45862</v>
      </c>
      <c r="C3128" s="6" t="str">
        <f>TEXT(Table3[[#This Row],[transaction_date]], "yyyy-mm")</f>
        <v>2025-07</v>
      </c>
      <c r="D3128" t="s">
        <v>89</v>
      </c>
      <c r="E3128" t="s">
        <v>3636</v>
      </c>
      <c r="F3128" t="s">
        <v>3609</v>
      </c>
      <c r="G3128" s="1">
        <v>417298.71</v>
      </c>
    </row>
    <row r="3129" spans="1:7">
      <c r="A3129" t="s">
        <v>3224</v>
      </c>
      <c r="B3129" s="6">
        <v>46018</v>
      </c>
      <c r="C3129" s="6" t="str">
        <f>TEXT(Table3[[#This Row],[transaction_date]], "yyyy-mm")</f>
        <v>2025-12</v>
      </c>
      <c r="D3129" t="s">
        <v>74</v>
      </c>
      <c r="E3129" t="s">
        <v>3636</v>
      </c>
      <c r="F3129" t="s">
        <v>3610</v>
      </c>
      <c r="G3129" s="1">
        <v>321364.78999999998</v>
      </c>
    </row>
    <row r="3130" spans="1:7">
      <c r="A3130" t="s">
        <v>3225</v>
      </c>
      <c r="B3130" s="6">
        <v>45686</v>
      </c>
      <c r="C3130" s="6" t="str">
        <f>TEXT(Table3[[#This Row],[transaction_date]], "yyyy-mm")</f>
        <v>2025-01</v>
      </c>
      <c r="D3130" t="s">
        <v>95</v>
      </c>
      <c r="E3130" t="s">
        <v>3636</v>
      </c>
      <c r="F3130" t="s">
        <v>3610</v>
      </c>
      <c r="G3130" s="1">
        <v>430727.62</v>
      </c>
    </row>
    <row r="3131" spans="1:7">
      <c r="A3131" t="s">
        <v>3226</v>
      </c>
      <c r="B3131" s="6">
        <v>45903</v>
      </c>
      <c r="C3131" s="6" t="str">
        <f>TEXT(Table3[[#This Row],[transaction_date]], "yyyy-mm")</f>
        <v>2025-09</v>
      </c>
      <c r="D3131" t="s">
        <v>75</v>
      </c>
      <c r="E3131" t="s">
        <v>3637</v>
      </c>
      <c r="F3131" t="s">
        <v>3614</v>
      </c>
      <c r="G3131" s="1">
        <v>7668856.3899999997</v>
      </c>
    </row>
    <row r="3132" spans="1:7">
      <c r="A3132" t="s">
        <v>3227</v>
      </c>
      <c r="B3132" s="6">
        <v>45996</v>
      </c>
      <c r="C3132" s="6" t="str">
        <f>TEXT(Table3[[#This Row],[transaction_date]], "yyyy-mm")</f>
        <v>2025-12</v>
      </c>
      <c r="D3132" t="s">
        <v>75</v>
      </c>
      <c r="E3132" t="s">
        <v>3637</v>
      </c>
      <c r="F3132" t="s">
        <v>3615</v>
      </c>
      <c r="G3132" s="1">
        <v>5458231.7400000002</v>
      </c>
    </row>
    <row r="3133" spans="1:7">
      <c r="A3133" t="s">
        <v>3228</v>
      </c>
      <c r="B3133" s="6">
        <v>45866</v>
      </c>
      <c r="C3133" s="6" t="str">
        <f>TEXT(Table3[[#This Row],[transaction_date]], "yyyy-mm")</f>
        <v>2025-07</v>
      </c>
      <c r="D3133" t="s">
        <v>73</v>
      </c>
      <c r="E3133" t="s">
        <v>3636</v>
      </c>
      <c r="F3133" t="s">
        <v>3605</v>
      </c>
      <c r="G3133" s="1">
        <v>886133.7</v>
      </c>
    </row>
    <row r="3134" spans="1:7">
      <c r="A3134" t="s">
        <v>3229</v>
      </c>
      <c r="B3134" s="6">
        <v>45940</v>
      </c>
      <c r="C3134" s="6" t="str">
        <f>TEXT(Table3[[#This Row],[transaction_date]], "yyyy-mm")</f>
        <v>2025-10</v>
      </c>
      <c r="D3134" t="s">
        <v>80</v>
      </c>
      <c r="E3134" t="s">
        <v>3637</v>
      </c>
      <c r="F3134" t="s">
        <v>3623</v>
      </c>
      <c r="G3134" s="1">
        <v>1727315.93</v>
      </c>
    </row>
    <row r="3135" spans="1:7">
      <c r="A3135" t="s">
        <v>3230</v>
      </c>
      <c r="B3135" s="6">
        <v>45668</v>
      </c>
      <c r="C3135" s="6" t="str">
        <f>TEXT(Table3[[#This Row],[transaction_date]], "yyyy-mm")</f>
        <v>2025-01</v>
      </c>
      <c r="D3135" t="s">
        <v>95</v>
      </c>
      <c r="E3135" t="s">
        <v>3636</v>
      </c>
      <c r="F3135" t="s">
        <v>3613</v>
      </c>
      <c r="G3135" s="1">
        <v>3871834.45</v>
      </c>
    </row>
    <row r="3136" spans="1:7">
      <c r="A3136" t="s">
        <v>3231</v>
      </c>
      <c r="B3136" s="6">
        <v>45849</v>
      </c>
      <c r="C3136" s="6" t="str">
        <f>TEXT(Table3[[#This Row],[transaction_date]], "yyyy-mm")</f>
        <v>2025-07</v>
      </c>
      <c r="D3136" t="s">
        <v>82</v>
      </c>
      <c r="E3136" t="s">
        <v>3637</v>
      </c>
      <c r="F3136" t="s">
        <v>3618</v>
      </c>
      <c r="G3136" s="1">
        <v>8498420.9299999997</v>
      </c>
    </row>
    <row r="3137" spans="1:7">
      <c r="A3137" t="s">
        <v>3232</v>
      </c>
      <c r="B3137" s="6">
        <v>46008</v>
      </c>
      <c r="C3137" s="6" t="str">
        <f>TEXT(Table3[[#This Row],[transaction_date]], "yyyy-mm")</f>
        <v>2025-12</v>
      </c>
      <c r="D3137" t="s">
        <v>93</v>
      </c>
      <c r="E3137" t="s">
        <v>3636</v>
      </c>
      <c r="F3137" t="s">
        <v>3612</v>
      </c>
      <c r="G3137" s="1">
        <v>6511536.4400000004</v>
      </c>
    </row>
    <row r="3138" spans="1:7">
      <c r="A3138" t="s">
        <v>3233</v>
      </c>
      <c r="B3138" s="6">
        <v>45958</v>
      </c>
      <c r="C3138" s="6" t="str">
        <f>TEXT(Table3[[#This Row],[transaction_date]], "yyyy-mm")</f>
        <v>2025-10</v>
      </c>
      <c r="D3138" t="s">
        <v>85</v>
      </c>
      <c r="E3138" t="s">
        <v>3636</v>
      </c>
      <c r="F3138" t="s">
        <v>3605</v>
      </c>
      <c r="G3138" s="1">
        <v>2804789.3</v>
      </c>
    </row>
    <row r="3139" spans="1:7">
      <c r="A3139" t="s">
        <v>3234</v>
      </c>
      <c r="B3139" s="6">
        <v>45738</v>
      </c>
      <c r="C3139" s="6" t="str">
        <f>TEXT(Table3[[#This Row],[transaction_date]], "yyyy-mm")</f>
        <v>2025-03</v>
      </c>
      <c r="D3139" t="s">
        <v>79</v>
      </c>
      <c r="E3139" t="s">
        <v>3636</v>
      </c>
      <c r="F3139" t="s">
        <v>3607</v>
      </c>
      <c r="G3139" s="1">
        <v>3520326.61</v>
      </c>
    </row>
    <row r="3140" spans="1:7">
      <c r="A3140" t="s">
        <v>3235</v>
      </c>
      <c r="B3140" s="6">
        <v>45900</v>
      </c>
      <c r="C3140" s="6" t="str">
        <f>TEXT(Table3[[#This Row],[transaction_date]], "yyyy-mm")</f>
        <v>2025-08</v>
      </c>
      <c r="D3140" t="s">
        <v>76</v>
      </c>
      <c r="E3140" t="s">
        <v>3637</v>
      </c>
      <c r="F3140" t="s">
        <v>3622</v>
      </c>
      <c r="G3140" s="1">
        <v>12377147.050000001</v>
      </c>
    </row>
    <row r="3141" spans="1:7">
      <c r="A3141" t="s">
        <v>3236</v>
      </c>
      <c r="B3141" s="6">
        <v>45676</v>
      </c>
      <c r="C3141" s="6" t="str">
        <f>TEXT(Table3[[#This Row],[transaction_date]], "yyyy-mm")</f>
        <v>2025-01</v>
      </c>
      <c r="D3141" t="s">
        <v>74</v>
      </c>
      <c r="E3141" t="s">
        <v>3636</v>
      </c>
      <c r="F3141" t="s">
        <v>3607</v>
      </c>
      <c r="G3141" s="1">
        <v>262219.65999999997</v>
      </c>
    </row>
    <row r="3142" spans="1:7">
      <c r="A3142" t="s">
        <v>3237</v>
      </c>
      <c r="B3142" s="6">
        <v>45786</v>
      </c>
      <c r="C3142" s="6" t="str">
        <f>TEXT(Table3[[#This Row],[transaction_date]], "yyyy-mm")</f>
        <v>2025-05</v>
      </c>
      <c r="D3142" t="s">
        <v>84</v>
      </c>
      <c r="E3142" t="s">
        <v>3636</v>
      </c>
      <c r="F3142" t="s">
        <v>3604</v>
      </c>
      <c r="G3142" s="1">
        <v>4873770.24</v>
      </c>
    </row>
    <row r="3143" spans="1:7">
      <c r="A3143" t="s">
        <v>3238</v>
      </c>
      <c r="B3143" s="6">
        <v>46004</v>
      </c>
      <c r="C3143" s="6" t="str">
        <f>TEXT(Table3[[#This Row],[transaction_date]], "yyyy-mm")</f>
        <v>2025-12</v>
      </c>
      <c r="D3143" t="s">
        <v>89</v>
      </c>
      <c r="E3143" t="s">
        <v>3637</v>
      </c>
      <c r="F3143" t="s">
        <v>3616</v>
      </c>
      <c r="G3143" s="1">
        <v>5282528.6500000004</v>
      </c>
    </row>
    <row r="3144" spans="1:7">
      <c r="A3144" t="s">
        <v>3239</v>
      </c>
      <c r="B3144" s="6">
        <v>45749</v>
      </c>
      <c r="C3144" s="6" t="str">
        <f>TEXT(Table3[[#This Row],[transaction_date]], "yyyy-mm")</f>
        <v>2025-04</v>
      </c>
      <c r="D3144" t="s">
        <v>79</v>
      </c>
      <c r="E3144" t="s">
        <v>3637</v>
      </c>
      <c r="F3144" t="s">
        <v>3617</v>
      </c>
      <c r="G3144" s="1">
        <v>3245536.33</v>
      </c>
    </row>
    <row r="3145" spans="1:7">
      <c r="A3145" t="s">
        <v>3240</v>
      </c>
      <c r="B3145" s="6">
        <v>45741</v>
      </c>
      <c r="C3145" s="6" t="str">
        <f>TEXT(Table3[[#This Row],[transaction_date]], "yyyy-mm")</f>
        <v>2025-03</v>
      </c>
      <c r="D3145" t="s">
        <v>77</v>
      </c>
      <c r="E3145" t="s">
        <v>3637</v>
      </c>
      <c r="F3145" t="s">
        <v>3620</v>
      </c>
      <c r="G3145" s="1">
        <v>6345574.9000000004</v>
      </c>
    </row>
    <row r="3146" spans="1:7">
      <c r="A3146" t="s">
        <v>3241</v>
      </c>
      <c r="B3146" s="6">
        <v>45823</v>
      </c>
      <c r="C3146" s="6" t="str">
        <f>TEXT(Table3[[#This Row],[transaction_date]], "yyyy-mm")</f>
        <v>2025-06</v>
      </c>
      <c r="D3146" t="s">
        <v>74</v>
      </c>
      <c r="E3146" t="s">
        <v>3637</v>
      </c>
      <c r="F3146" t="s">
        <v>3620</v>
      </c>
      <c r="G3146" s="1">
        <v>817099.52</v>
      </c>
    </row>
    <row r="3147" spans="1:7">
      <c r="A3147" t="s">
        <v>3242</v>
      </c>
      <c r="B3147" s="6">
        <v>45823</v>
      </c>
      <c r="C3147" s="6" t="str">
        <f>TEXT(Table3[[#This Row],[transaction_date]], "yyyy-mm")</f>
        <v>2025-06</v>
      </c>
      <c r="D3147" t="s">
        <v>90</v>
      </c>
      <c r="E3147" t="s">
        <v>3636</v>
      </c>
      <c r="F3147" t="s">
        <v>3604</v>
      </c>
      <c r="G3147" s="1">
        <v>3629994.43</v>
      </c>
    </row>
    <row r="3148" spans="1:7">
      <c r="A3148" t="s">
        <v>3243</v>
      </c>
      <c r="B3148" s="6">
        <v>45880</v>
      </c>
      <c r="C3148" s="6" t="str">
        <f>TEXT(Table3[[#This Row],[transaction_date]], "yyyy-mm")</f>
        <v>2025-08</v>
      </c>
      <c r="D3148" t="s">
        <v>76</v>
      </c>
      <c r="E3148" t="s">
        <v>3637</v>
      </c>
      <c r="F3148" t="s">
        <v>3621</v>
      </c>
      <c r="G3148" s="1">
        <v>117370.04</v>
      </c>
    </row>
    <row r="3149" spans="1:7">
      <c r="A3149" t="s">
        <v>3244</v>
      </c>
      <c r="B3149" s="6">
        <v>45924</v>
      </c>
      <c r="C3149" s="6" t="str">
        <f>TEXT(Table3[[#This Row],[transaction_date]], "yyyy-mm")</f>
        <v>2025-09</v>
      </c>
      <c r="D3149" t="s">
        <v>74</v>
      </c>
      <c r="E3149" t="s">
        <v>3637</v>
      </c>
      <c r="F3149" t="s">
        <v>3620</v>
      </c>
      <c r="G3149" s="1">
        <v>907482.32</v>
      </c>
    </row>
    <row r="3150" spans="1:7">
      <c r="A3150" t="s">
        <v>3245</v>
      </c>
      <c r="B3150" s="6">
        <v>45661</v>
      </c>
      <c r="C3150" s="6" t="str">
        <f>TEXT(Table3[[#This Row],[transaction_date]], "yyyy-mm")</f>
        <v>2025-01</v>
      </c>
      <c r="D3150" t="s">
        <v>73</v>
      </c>
      <c r="E3150" t="s">
        <v>3636</v>
      </c>
      <c r="F3150" t="s">
        <v>3611</v>
      </c>
      <c r="G3150" s="1">
        <v>9383445.4900000002</v>
      </c>
    </row>
    <row r="3151" spans="1:7">
      <c r="A3151" t="s">
        <v>3246</v>
      </c>
      <c r="B3151" s="6">
        <v>45990</v>
      </c>
      <c r="C3151" s="6" t="str">
        <f>TEXT(Table3[[#This Row],[transaction_date]], "yyyy-mm")</f>
        <v>2025-11</v>
      </c>
      <c r="D3151" t="s">
        <v>93</v>
      </c>
      <c r="E3151" t="s">
        <v>3637</v>
      </c>
      <c r="F3151" t="s">
        <v>3620</v>
      </c>
      <c r="G3151" s="1">
        <v>319211.65999999997</v>
      </c>
    </row>
    <row r="3152" spans="1:7">
      <c r="A3152" t="s">
        <v>3247</v>
      </c>
      <c r="B3152" s="6">
        <v>45940</v>
      </c>
      <c r="C3152" s="6" t="str">
        <f>TEXT(Table3[[#This Row],[transaction_date]], "yyyy-mm")</f>
        <v>2025-10</v>
      </c>
      <c r="D3152" t="s">
        <v>85</v>
      </c>
      <c r="E3152" t="s">
        <v>3637</v>
      </c>
      <c r="F3152" t="s">
        <v>3619</v>
      </c>
      <c r="G3152" s="1">
        <v>4677761.12</v>
      </c>
    </row>
    <row r="3153" spans="1:7">
      <c r="A3153" t="s">
        <v>3248</v>
      </c>
      <c r="B3153" s="6">
        <v>45997</v>
      </c>
      <c r="C3153" s="6" t="str">
        <f>TEXT(Table3[[#This Row],[transaction_date]], "yyyy-mm")</f>
        <v>2025-12</v>
      </c>
      <c r="D3153" t="s">
        <v>93</v>
      </c>
      <c r="E3153" t="s">
        <v>3637</v>
      </c>
      <c r="F3153" t="s">
        <v>3621</v>
      </c>
      <c r="G3153" s="1">
        <v>7018168.3300000001</v>
      </c>
    </row>
    <row r="3154" spans="1:7">
      <c r="A3154" t="s">
        <v>3249</v>
      </c>
      <c r="B3154" s="6">
        <v>45975</v>
      </c>
      <c r="C3154" s="6" t="str">
        <f>TEXT(Table3[[#This Row],[transaction_date]], "yyyy-mm")</f>
        <v>2025-11</v>
      </c>
      <c r="D3154" t="s">
        <v>77</v>
      </c>
      <c r="E3154" t="s">
        <v>3636</v>
      </c>
      <c r="F3154" t="s">
        <v>3613</v>
      </c>
      <c r="G3154" s="1">
        <v>5924776.7999999998</v>
      </c>
    </row>
    <row r="3155" spans="1:7">
      <c r="A3155" t="s">
        <v>3250</v>
      </c>
      <c r="B3155" s="6">
        <v>45753</v>
      </c>
      <c r="C3155" s="6" t="str">
        <f>TEXT(Table3[[#This Row],[transaction_date]], "yyyy-mm")</f>
        <v>2025-04</v>
      </c>
      <c r="D3155" t="s">
        <v>78</v>
      </c>
      <c r="E3155" t="s">
        <v>3636</v>
      </c>
      <c r="F3155" t="s">
        <v>3608</v>
      </c>
      <c r="G3155" s="1">
        <v>240424.42</v>
      </c>
    </row>
    <row r="3156" spans="1:7">
      <c r="A3156" t="s">
        <v>3251</v>
      </c>
      <c r="B3156" s="6">
        <v>46003</v>
      </c>
      <c r="C3156" s="6" t="str">
        <f>TEXT(Table3[[#This Row],[transaction_date]], "yyyy-mm")</f>
        <v>2025-12</v>
      </c>
      <c r="D3156" t="s">
        <v>89</v>
      </c>
      <c r="E3156" t="s">
        <v>3636</v>
      </c>
      <c r="F3156" t="s">
        <v>3613</v>
      </c>
      <c r="G3156" s="1">
        <v>773131.69</v>
      </c>
    </row>
    <row r="3157" spans="1:7">
      <c r="A3157" t="s">
        <v>3252</v>
      </c>
      <c r="B3157" s="6">
        <v>45731</v>
      </c>
      <c r="C3157" s="6" t="str">
        <f>TEXT(Table3[[#This Row],[transaction_date]], "yyyy-mm")</f>
        <v>2025-03</v>
      </c>
      <c r="D3157" t="s">
        <v>79</v>
      </c>
      <c r="E3157" t="s">
        <v>3637</v>
      </c>
      <c r="F3157" t="s">
        <v>3620</v>
      </c>
      <c r="G3157" s="1">
        <v>6052196.9199999999</v>
      </c>
    </row>
    <row r="3158" spans="1:7">
      <c r="A3158" t="s">
        <v>3253</v>
      </c>
      <c r="B3158" s="6">
        <v>45785</v>
      </c>
      <c r="C3158" s="6" t="str">
        <f>TEXT(Table3[[#This Row],[transaction_date]], "yyyy-mm")</f>
        <v>2025-05</v>
      </c>
      <c r="D3158" t="s">
        <v>75</v>
      </c>
      <c r="E3158" t="s">
        <v>3636</v>
      </c>
      <c r="F3158" t="s">
        <v>3612</v>
      </c>
      <c r="G3158" s="1">
        <v>4797025.93</v>
      </c>
    </row>
    <row r="3159" spans="1:7">
      <c r="A3159" t="s">
        <v>3254</v>
      </c>
      <c r="B3159" s="6">
        <v>45923</v>
      </c>
      <c r="C3159" s="6" t="str">
        <f>TEXT(Table3[[#This Row],[transaction_date]], "yyyy-mm")</f>
        <v>2025-09</v>
      </c>
      <c r="D3159" t="s">
        <v>73</v>
      </c>
      <c r="E3159" t="s">
        <v>3637</v>
      </c>
      <c r="F3159" t="s">
        <v>3622</v>
      </c>
      <c r="G3159" s="1">
        <v>5555300.75</v>
      </c>
    </row>
    <row r="3160" spans="1:7">
      <c r="A3160" t="s">
        <v>3255</v>
      </c>
      <c r="B3160" s="6">
        <v>45883</v>
      </c>
      <c r="C3160" s="6" t="str">
        <f>TEXT(Table3[[#This Row],[transaction_date]], "yyyy-mm")</f>
        <v>2025-08</v>
      </c>
      <c r="D3160" t="s">
        <v>79</v>
      </c>
      <c r="E3160" t="s">
        <v>3636</v>
      </c>
      <c r="F3160" t="s">
        <v>3613</v>
      </c>
      <c r="G3160" s="1">
        <v>473308.47</v>
      </c>
    </row>
    <row r="3161" spans="1:7">
      <c r="A3161" t="s">
        <v>3256</v>
      </c>
      <c r="B3161" s="6">
        <v>45774</v>
      </c>
      <c r="C3161" s="6" t="str">
        <f>TEXT(Table3[[#This Row],[transaction_date]], "yyyy-mm")</f>
        <v>2025-04</v>
      </c>
      <c r="D3161" t="s">
        <v>84</v>
      </c>
      <c r="E3161" t="s">
        <v>3637</v>
      </c>
      <c r="F3161" t="s">
        <v>3621</v>
      </c>
      <c r="G3161" s="1">
        <v>11443299.68</v>
      </c>
    </row>
    <row r="3162" spans="1:7">
      <c r="A3162" t="s">
        <v>3257</v>
      </c>
      <c r="B3162" s="6">
        <v>45929</v>
      </c>
      <c r="C3162" s="6" t="str">
        <f>TEXT(Table3[[#This Row],[transaction_date]], "yyyy-mm")</f>
        <v>2025-09</v>
      </c>
      <c r="D3162" t="s">
        <v>73</v>
      </c>
      <c r="E3162" t="s">
        <v>3637</v>
      </c>
      <c r="F3162" t="s">
        <v>3621</v>
      </c>
      <c r="G3162" s="1">
        <v>2156429.19</v>
      </c>
    </row>
    <row r="3163" spans="1:7">
      <c r="A3163" t="s">
        <v>3258</v>
      </c>
      <c r="B3163" s="6">
        <v>45667</v>
      </c>
      <c r="C3163" s="6" t="str">
        <f>TEXT(Table3[[#This Row],[transaction_date]], "yyyy-mm")</f>
        <v>2025-01</v>
      </c>
      <c r="D3163" t="s">
        <v>80</v>
      </c>
      <c r="E3163" t="s">
        <v>3636</v>
      </c>
      <c r="F3163" t="s">
        <v>3607</v>
      </c>
      <c r="G3163" s="1">
        <v>1164023.6299999999</v>
      </c>
    </row>
    <row r="3164" spans="1:7">
      <c r="A3164" t="s">
        <v>3259</v>
      </c>
      <c r="B3164" s="6">
        <v>45730</v>
      </c>
      <c r="C3164" s="6" t="str">
        <f>TEXT(Table3[[#This Row],[transaction_date]], "yyyy-mm")</f>
        <v>2025-03</v>
      </c>
      <c r="D3164" t="s">
        <v>90</v>
      </c>
      <c r="E3164" t="s">
        <v>3637</v>
      </c>
      <c r="F3164" t="s">
        <v>3617</v>
      </c>
      <c r="G3164" s="1">
        <v>4159205.32</v>
      </c>
    </row>
    <row r="3165" spans="1:7">
      <c r="A3165" t="s">
        <v>3260</v>
      </c>
      <c r="B3165" s="6">
        <v>45870</v>
      </c>
      <c r="C3165" s="6" t="str">
        <f>TEXT(Table3[[#This Row],[transaction_date]], "yyyy-mm")</f>
        <v>2025-08</v>
      </c>
      <c r="D3165" t="s">
        <v>74</v>
      </c>
      <c r="E3165" t="s">
        <v>3637</v>
      </c>
      <c r="F3165" t="s">
        <v>3615</v>
      </c>
      <c r="G3165" s="1">
        <v>1462056.95</v>
      </c>
    </row>
    <row r="3166" spans="1:7">
      <c r="A3166" t="s">
        <v>3261</v>
      </c>
      <c r="B3166" s="6">
        <v>46015</v>
      </c>
      <c r="C3166" s="6" t="str">
        <f>TEXT(Table3[[#This Row],[transaction_date]], "yyyy-mm")</f>
        <v>2025-12</v>
      </c>
      <c r="D3166" t="s">
        <v>90</v>
      </c>
      <c r="E3166" t="s">
        <v>3636</v>
      </c>
      <c r="F3166" t="s">
        <v>3607</v>
      </c>
      <c r="G3166" s="1">
        <v>11789551.039999999</v>
      </c>
    </row>
    <row r="3167" spans="1:7">
      <c r="A3167" t="s">
        <v>3262</v>
      </c>
      <c r="B3167" s="6">
        <v>45953</v>
      </c>
      <c r="C3167" s="6" t="str">
        <f>TEXT(Table3[[#This Row],[transaction_date]], "yyyy-mm")</f>
        <v>2025-10</v>
      </c>
      <c r="D3167" t="s">
        <v>90</v>
      </c>
      <c r="E3167" t="s">
        <v>3636</v>
      </c>
      <c r="F3167" t="s">
        <v>3612</v>
      </c>
      <c r="G3167" s="1">
        <v>2129533.9300000002</v>
      </c>
    </row>
    <row r="3168" spans="1:7">
      <c r="A3168" t="s">
        <v>3263</v>
      </c>
      <c r="B3168" s="6">
        <v>45722</v>
      </c>
      <c r="C3168" s="6" t="str">
        <f>TEXT(Table3[[#This Row],[transaction_date]], "yyyy-mm")</f>
        <v>2025-03</v>
      </c>
      <c r="D3168" t="s">
        <v>89</v>
      </c>
      <c r="E3168" t="s">
        <v>3636</v>
      </c>
      <c r="F3168" t="s">
        <v>3612</v>
      </c>
      <c r="G3168" s="1">
        <v>1681912.27</v>
      </c>
    </row>
    <row r="3169" spans="1:7">
      <c r="A3169" t="s">
        <v>3264</v>
      </c>
      <c r="B3169" s="6">
        <v>45675</v>
      </c>
      <c r="C3169" s="6" t="str">
        <f>TEXT(Table3[[#This Row],[transaction_date]], "yyyy-mm")</f>
        <v>2025-01</v>
      </c>
      <c r="D3169" t="s">
        <v>75</v>
      </c>
      <c r="E3169" t="s">
        <v>3637</v>
      </c>
      <c r="F3169" t="s">
        <v>3622</v>
      </c>
      <c r="G3169" s="1">
        <v>2665084.36</v>
      </c>
    </row>
    <row r="3170" spans="1:7">
      <c r="A3170" t="s">
        <v>3265</v>
      </c>
      <c r="B3170" s="6">
        <v>45970</v>
      </c>
      <c r="C3170" s="6" t="str">
        <f>TEXT(Table3[[#This Row],[transaction_date]], "yyyy-mm")</f>
        <v>2025-11</v>
      </c>
      <c r="D3170" t="s">
        <v>73</v>
      </c>
      <c r="E3170" t="s">
        <v>3637</v>
      </c>
      <c r="F3170" t="s">
        <v>3615</v>
      </c>
      <c r="G3170" s="1">
        <v>817766.68</v>
      </c>
    </row>
    <row r="3171" spans="1:7">
      <c r="A3171" t="s">
        <v>3266</v>
      </c>
      <c r="B3171" s="6">
        <v>45973</v>
      </c>
      <c r="C3171" s="6" t="str">
        <f>TEXT(Table3[[#This Row],[transaction_date]], "yyyy-mm")</f>
        <v>2025-11</v>
      </c>
      <c r="D3171" t="s">
        <v>80</v>
      </c>
      <c r="E3171" t="s">
        <v>3636</v>
      </c>
      <c r="F3171" t="s">
        <v>3610</v>
      </c>
      <c r="G3171" s="1">
        <v>536319.21</v>
      </c>
    </row>
    <row r="3172" spans="1:7">
      <c r="A3172" t="s">
        <v>3267</v>
      </c>
      <c r="B3172" s="6">
        <v>45917</v>
      </c>
      <c r="C3172" s="6" t="str">
        <f>TEXT(Table3[[#This Row],[transaction_date]], "yyyy-mm")</f>
        <v>2025-09</v>
      </c>
      <c r="D3172" t="s">
        <v>74</v>
      </c>
      <c r="E3172" t="s">
        <v>3637</v>
      </c>
      <c r="F3172" t="s">
        <v>3619</v>
      </c>
      <c r="G3172" s="1">
        <v>1066606.1100000001</v>
      </c>
    </row>
    <row r="3173" spans="1:7">
      <c r="A3173" t="s">
        <v>3268</v>
      </c>
      <c r="B3173" s="6">
        <v>45662</v>
      </c>
      <c r="C3173" s="6" t="str">
        <f>TEXT(Table3[[#This Row],[transaction_date]], "yyyy-mm")</f>
        <v>2025-01</v>
      </c>
      <c r="D3173" t="s">
        <v>78</v>
      </c>
      <c r="E3173" t="s">
        <v>3636</v>
      </c>
      <c r="F3173" t="s">
        <v>3608</v>
      </c>
      <c r="G3173" s="1">
        <v>991295.01</v>
      </c>
    </row>
    <row r="3174" spans="1:7">
      <c r="A3174" t="s">
        <v>3269</v>
      </c>
      <c r="B3174" s="6">
        <v>45710</v>
      </c>
      <c r="C3174" s="6" t="str">
        <f>TEXT(Table3[[#This Row],[transaction_date]], "yyyy-mm")</f>
        <v>2025-02</v>
      </c>
      <c r="D3174" t="s">
        <v>78</v>
      </c>
      <c r="E3174" t="s">
        <v>3636</v>
      </c>
      <c r="F3174" t="s">
        <v>3610</v>
      </c>
      <c r="G3174" s="1">
        <v>1744618.1</v>
      </c>
    </row>
    <row r="3175" spans="1:7">
      <c r="A3175" t="s">
        <v>3270</v>
      </c>
      <c r="B3175" s="6">
        <v>45945</v>
      </c>
      <c r="C3175" s="6" t="str">
        <f>TEXT(Table3[[#This Row],[transaction_date]], "yyyy-mm")</f>
        <v>2025-10</v>
      </c>
      <c r="D3175" t="s">
        <v>78</v>
      </c>
      <c r="E3175" t="s">
        <v>3636</v>
      </c>
      <c r="F3175" t="s">
        <v>3613</v>
      </c>
      <c r="G3175" s="1">
        <v>1202243.08</v>
      </c>
    </row>
    <row r="3176" spans="1:7">
      <c r="A3176" t="s">
        <v>3271</v>
      </c>
      <c r="B3176" s="6">
        <v>45753</v>
      </c>
      <c r="C3176" s="6" t="str">
        <f>TEXT(Table3[[#This Row],[transaction_date]], "yyyy-mm")</f>
        <v>2025-04</v>
      </c>
      <c r="D3176" t="s">
        <v>80</v>
      </c>
      <c r="E3176" t="s">
        <v>3636</v>
      </c>
      <c r="F3176" t="s">
        <v>3608</v>
      </c>
      <c r="G3176" s="1">
        <v>2290771.41</v>
      </c>
    </row>
    <row r="3177" spans="1:7">
      <c r="A3177" t="s">
        <v>3272</v>
      </c>
      <c r="B3177" s="6">
        <v>45975</v>
      </c>
      <c r="C3177" s="6" t="str">
        <f>TEXT(Table3[[#This Row],[transaction_date]], "yyyy-mm")</f>
        <v>2025-11</v>
      </c>
      <c r="D3177" t="s">
        <v>80</v>
      </c>
      <c r="E3177" t="s">
        <v>3637</v>
      </c>
      <c r="F3177" t="s">
        <v>3615</v>
      </c>
      <c r="G3177" s="1">
        <v>12106.26</v>
      </c>
    </row>
    <row r="3178" spans="1:7">
      <c r="A3178" t="s">
        <v>3273</v>
      </c>
      <c r="B3178" s="6">
        <v>45713</v>
      </c>
      <c r="C3178" s="6" t="str">
        <f>TEXT(Table3[[#This Row],[transaction_date]], "yyyy-mm")</f>
        <v>2025-02</v>
      </c>
      <c r="D3178" t="s">
        <v>89</v>
      </c>
      <c r="E3178" t="s">
        <v>3637</v>
      </c>
      <c r="F3178" t="s">
        <v>3617</v>
      </c>
      <c r="G3178" s="1">
        <v>957933.31</v>
      </c>
    </row>
    <row r="3179" spans="1:7">
      <c r="A3179" t="s">
        <v>3274</v>
      </c>
      <c r="B3179" s="6">
        <v>45719</v>
      </c>
      <c r="C3179" s="6" t="str">
        <f>TEXT(Table3[[#This Row],[transaction_date]], "yyyy-mm")</f>
        <v>2025-03</v>
      </c>
      <c r="D3179" t="s">
        <v>85</v>
      </c>
      <c r="E3179" t="s">
        <v>3636</v>
      </c>
      <c r="F3179" t="s">
        <v>3605</v>
      </c>
      <c r="G3179" s="1">
        <v>2675718.33</v>
      </c>
    </row>
    <row r="3180" spans="1:7">
      <c r="A3180" t="s">
        <v>3275</v>
      </c>
      <c r="B3180" s="6">
        <v>45715</v>
      </c>
      <c r="C3180" s="6" t="str">
        <f>TEXT(Table3[[#This Row],[transaction_date]], "yyyy-mm")</f>
        <v>2025-02</v>
      </c>
      <c r="D3180" t="s">
        <v>93</v>
      </c>
      <c r="E3180" t="s">
        <v>3637</v>
      </c>
      <c r="F3180" t="s">
        <v>3616</v>
      </c>
      <c r="G3180" s="1">
        <v>9242965.8599999994</v>
      </c>
    </row>
    <row r="3181" spans="1:7">
      <c r="A3181" t="s">
        <v>3276</v>
      </c>
      <c r="B3181" s="6">
        <v>45769</v>
      </c>
      <c r="C3181" s="6" t="str">
        <f>TEXT(Table3[[#This Row],[transaction_date]], "yyyy-mm")</f>
        <v>2025-04</v>
      </c>
      <c r="D3181" t="s">
        <v>77</v>
      </c>
      <c r="E3181" t="s">
        <v>3636</v>
      </c>
      <c r="F3181" t="s">
        <v>3608</v>
      </c>
      <c r="G3181" s="1">
        <v>6070948.5999999996</v>
      </c>
    </row>
    <row r="3182" spans="1:7">
      <c r="A3182" t="s">
        <v>3277</v>
      </c>
      <c r="B3182" s="6">
        <v>45854</v>
      </c>
      <c r="C3182" s="6" t="str">
        <f>TEXT(Table3[[#This Row],[transaction_date]], "yyyy-mm")</f>
        <v>2025-07</v>
      </c>
      <c r="D3182" t="s">
        <v>90</v>
      </c>
      <c r="E3182" t="s">
        <v>3637</v>
      </c>
      <c r="F3182" t="s">
        <v>3622</v>
      </c>
      <c r="G3182" s="1">
        <v>1422257.46</v>
      </c>
    </row>
    <row r="3183" spans="1:7">
      <c r="A3183" t="s">
        <v>3278</v>
      </c>
      <c r="B3183" s="6">
        <v>46018</v>
      </c>
      <c r="C3183" s="6" t="str">
        <f>TEXT(Table3[[#This Row],[transaction_date]], "yyyy-mm")</f>
        <v>2025-12</v>
      </c>
      <c r="D3183" t="s">
        <v>93</v>
      </c>
      <c r="E3183" t="s">
        <v>3636</v>
      </c>
      <c r="F3183" t="s">
        <v>3604</v>
      </c>
      <c r="G3183" s="1">
        <v>1383615.71</v>
      </c>
    </row>
    <row r="3184" spans="1:7">
      <c r="A3184" t="s">
        <v>3279</v>
      </c>
      <c r="B3184" s="6">
        <v>45979</v>
      </c>
      <c r="C3184" s="6" t="str">
        <f>TEXT(Table3[[#This Row],[transaction_date]], "yyyy-mm")</f>
        <v>2025-11</v>
      </c>
      <c r="D3184" t="s">
        <v>93</v>
      </c>
      <c r="E3184" t="s">
        <v>3637</v>
      </c>
      <c r="F3184" t="s">
        <v>3620</v>
      </c>
      <c r="G3184" s="1">
        <v>343076.67</v>
      </c>
    </row>
    <row r="3185" spans="1:7">
      <c r="A3185" t="s">
        <v>3280</v>
      </c>
      <c r="B3185" s="6">
        <v>45846</v>
      </c>
      <c r="C3185" s="6" t="str">
        <f>TEXT(Table3[[#This Row],[transaction_date]], "yyyy-mm")</f>
        <v>2025-07</v>
      </c>
      <c r="D3185" t="s">
        <v>78</v>
      </c>
      <c r="E3185" t="s">
        <v>3637</v>
      </c>
      <c r="F3185" t="s">
        <v>3622</v>
      </c>
      <c r="G3185" s="1">
        <v>2386983.52</v>
      </c>
    </row>
    <row r="3186" spans="1:7">
      <c r="A3186" t="s">
        <v>3281</v>
      </c>
      <c r="B3186" s="6">
        <v>45908</v>
      </c>
      <c r="C3186" s="6" t="str">
        <f>TEXT(Table3[[#This Row],[transaction_date]], "yyyy-mm")</f>
        <v>2025-09</v>
      </c>
      <c r="D3186" t="s">
        <v>3597</v>
      </c>
      <c r="E3186" t="s">
        <v>3637</v>
      </c>
      <c r="F3186" t="s">
        <v>3614</v>
      </c>
      <c r="G3186" s="1">
        <v>2295668.0499999998</v>
      </c>
    </row>
    <row r="3187" spans="1:7">
      <c r="A3187" t="s">
        <v>3282</v>
      </c>
      <c r="B3187" s="6">
        <v>46006</v>
      </c>
      <c r="C3187" s="6" t="str">
        <f>TEXT(Table3[[#This Row],[transaction_date]], "yyyy-mm")</f>
        <v>2025-12</v>
      </c>
      <c r="D3187" t="s">
        <v>90</v>
      </c>
      <c r="E3187" t="s">
        <v>3636</v>
      </c>
      <c r="F3187" t="s">
        <v>3612</v>
      </c>
      <c r="G3187" s="1">
        <v>3018014.98</v>
      </c>
    </row>
    <row r="3188" spans="1:7">
      <c r="A3188" t="s">
        <v>3283</v>
      </c>
      <c r="B3188" s="6">
        <v>45763</v>
      </c>
      <c r="C3188" s="6" t="str">
        <f>TEXT(Table3[[#This Row],[transaction_date]], "yyyy-mm")</f>
        <v>2025-04</v>
      </c>
      <c r="D3188" t="s">
        <v>73</v>
      </c>
      <c r="E3188" t="s">
        <v>3636</v>
      </c>
      <c r="F3188" t="s">
        <v>3607</v>
      </c>
      <c r="G3188" s="1">
        <v>304912.15000000002</v>
      </c>
    </row>
    <row r="3189" spans="1:7">
      <c r="A3189" t="s">
        <v>3284</v>
      </c>
      <c r="B3189" s="6">
        <v>45728</v>
      </c>
      <c r="C3189" s="6" t="str">
        <f>TEXT(Table3[[#This Row],[transaction_date]], "yyyy-mm")</f>
        <v>2025-03</v>
      </c>
      <c r="D3189" t="s">
        <v>89</v>
      </c>
      <c r="E3189" t="s">
        <v>3637</v>
      </c>
      <c r="F3189" t="s">
        <v>3618</v>
      </c>
      <c r="G3189" s="1">
        <v>2276370.0299999998</v>
      </c>
    </row>
    <row r="3190" spans="1:7">
      <c r="A3190" t="s">
        <v>3285</v>
      </c>
      <c r="B3190" s="6">
        <v>45851</v>
      </c>
      <c r="C3190" s="6" t="str">
        <f>TEXT(Table3[[#This Row],[transaction_date]], "yyyy-mm")</f>
        <v>2025-07</v>
      </c>
      <c r="D3190" t="s">
        <v>90</v>
      </c>
      <c r="E3190" t="s">
        <v>3636</v>
      </c>
      <c r="F3190" t="s">
        <v>3609</v>
      </c>
      <c r="G3190" s="1">
        <v>8973888.8100000005</v>
      </c>
    </row>
    <row r="3191" spans="1:7">
      <c r="A3191" t="s">
        <v>3286</v>
      </c>
      <c r="B3191" s="6">
        <v>45875</v>
      </c>
      <c r="C3191" s="6" t="str">
        <f>TEXT(Table3[[#This Row],[transaction_date]], "yyyy-mm")</f>
        <v>2025-08</v>
      </c>
      <c r="D3191" t="s">
        <v>78</v>
      </c>
      <c r="E3191" t="s">
        <v>3636</v>
      </c>
      <c r="F3191" t="s">
        <v>3604</v>
      </c>
      <c r="G3191" s="1">
        <v>4484029.33</v>
      </c>
    </row>
    <row r="3192" spans="1:7">
      <c r="A3192" t="s">
        <v>3287</v>
      </c>
      <c r="B3192" s="6">
        <v>45871</v>
      </c>
      <c r="C3192" s="6" t="str">
        <f>TEXT(Table3[[#This Row],[transaction_date]], "yyyy-mm")</f>
        <v>2025-08</v>
      </c>
      <c r="D3192" t="s">
        <v>90</v>
      </c>
      <c r="E3192" t="s">
        <v>3637</v>
      </c>
      <c r="F3192" t="s">
        <v>3623</v>
      </c>
      <c r="G3192" s="1">
        <v>12144537.49</v>
      </c>
    </row>
    <row r="3193" spans="1:7">
      <c r="A3193" t="s">
        <v>3288</v>
      </c>
      <c r="B3193" s="6">
        <v>45784</v>
      </c>
      <c r="C3193" s="6" t="str">
        <f>TEXT(Table3[[#This Row],[transaction_date]], "yyyy-mm")</f>
        <v>2025-05</v>
      </c>
      <c r="D3193" t="s">
        <v>73</v>
      </c>
      <c r="E3193" t="s">
        <v>3636</v>
      </c>
      <c r="F3193" t="s">
        <v>3604</v>
      </c>
      <c r="G3193" s="1">
        <v>550428.56999999995</v>
      </c>
    </row>
    <row r="3194" spans="1:7">
      <c r="A3194" t="s">
        <v>3289</v>
      </c>
      <c r="B3194" s="6">
        <v>45977</v>
      </c>
      <c r="C3194" s="6" t="str">
        <f>TEXT(Table3[[#This Row],[transaction_date]], "yyyy-mm")</f>
        <v>2025-11</v>
      </c>
      <c r="D3194" t="s">
        <v>93</v>
      </c>
      <c r="E3194" t="s">
        <v>3636</v>
      </c>
      <c r="F3194" t="s">
        <v>3611</v>
      </c>
      <c r="G3194" s="1">
        <v>2126977.0099999998</v>
      </c>
    </row>
    <row r="3195" spans="1:7">
      <c r="A3195" t="s">
        <v>3290</v>
      </c>
      <c r="B3195" s="6">
        <v>45876</v>
      </c>
      <c r="C3195" s="6" t="str">
        <f>TEXT(Table3[[#This Row],[transaction_date]], "yyyy-mm")</f>
        <v>2025-08</v>
      </c>
      <c r="D3195" t="s">
        <v>75</v>
      </c>
      <c r="E3195" t="s">
        <v>3637</v>
      </c>
      <c r="F3195" t="s">
        <v>3615</v>
      </c>
      <c r="G3195" s="1">
        <v>21376523.370000001</v>
      </c>
    </row>
    <row r="3196" spans="1:7">
      <c r="A3196" t="s">
        <v>3291</v>
      </c>
      <c r="B3196" s="6">
        <v>45688</v>
      </c>
      <c r="C3196" s="6" t="str">
        <f>TEXT(Table3[[#This Row],[transaction_date]], "yyyy-mm")</f>
        <v>2025-01</v>
      </c>
      <c r="D3196" t="s">
        <v>90</v>
      </c>
      <c r="E3196" t="s">
        <v>3636</v>
      </c>
      <c r="F3196" t="s">
        <v>3609</v>
      </c>
      <c r="G3196" s="1">
        <v>11651441.710000001</v>
      </c>
    </row>
    <row r="3197" spans="1:7">
      <c r="A3197" t="s">
        <v>3292</v>
      </c>
      <c r="B3197" s="6">
        <v>45940</v>
      </c>
      <c r="C3197" s="6" t="str">
        <f>TEXT(Table3[[#This Row],[transaction_date]], "yyyy-mm")</f>
        <v>2025-10</v>
      </c>
      <c r="D3197" t="s">
        <v>85</v>
      </c>
      <c r="E3197" t="s">
        <v>3637</v>
      </c>
      <c r="F3197" t="s">
        <v>3616</v>
      </c>
      <c r="G3197" s="1">
        <v>3842327.75</v>
      </c>
    </row>
    <row r="3198" spans="1:7">
      <c r="A3198" t="s">
        <v>3293</v>
      </c>
      <c r="B3198" s="6">
        <v>45985</v>
      </c>
      <c r="C3198" s="6" t="str">
        <f>TEXT(Table3[[#This Row],[transaction_date]], "yyyy-mm")</f>
        <v>2025-11</v>
      </c>
      <c r="D3198" t="s">
        <v>84</v>
      </c>
      <c r="E3198" t="s">
        <v>3637</v>
      </c>
      <c r="F3198" t="s">
        <v>3621</v>
      </c>
      <c r="G3198" s="1">
        <v>15186640.18</v>
      </c>
    </row>
    <row r="3199" spans="1:7">
      <c r="A3199" t="s">
        <v>3294</v>
      </c>
      <c r="B3199" s="6">
        <v>45987</v>
      </c>
      <c r="C3199" s="6" t="str">
        <f>TEXT(Table3[[#This Row],[transaction_date]], "yyyy-mm")</f>
        <v>2025-11</v>
      </c>
      <c r="D3199" t="s">
        <v>82</v>
      </c>
      <c r="E3199" t="s">
        <v>3637</v>
      </c>
      <c r="F3199" t="s">
        <v>3623</v>
      </c>
      <c r="G3199" s="1">
        <v>5138136.49</v>
      </c>
    </row>
    <row r="3200" spans="1:7">
      <c r="A3200" t="s">
        <v>3295</v>
      </c>
      <c r="B3200" s="6">
        <v>46020</v>
      </c>
      <c r="C3200" s="6" t="str">
        <f>TEXT(Table3[[#This Row],[transaction_date]], "yyyy-mm")</f>
        <v>2025-12</v>
      </c>
      <c r="D3200" t="s">
        <v>78</v>
      </c>
      <c r="E3200" t="s">
        <v>3636</v>
      </c>
      <c r="F3200" t="s">
        <v>3610</v>
      </c>
      <c r="G3200" s="1">
        <v>2326198.3199999998</v>
      </c>
    </row>
    <row r="3201" spans="1:7">
      <c r="A3201" t="s">
        <v>3296</v>
      </c>
      <c r="B3201" s="6">
        <v>45729</v>
      </c>
      <c r="C3201" s="6" t="str">
        <f>TEXT(Table3[[#This Row],[transaction_date]], "yyyy-mm")</f>
        <v>2025-03</v>
      </c>
      <c r="D3201" t="s">
        <v>73</v>
      </c>
      <c r="E3201" t="s">
        <v>3636</v>
      </c>
      <c r="F3201" t="s">
        <v>3609</v>
      </c>
      <c r="G3201" s="1">
        <v>4029590.74</v>
      </c>
    </row>
    <row r="3202" spans="1:7">
      <c r="A3202" t="s">
        <v>3297</v>
      </c>
      <c r="B3202" s="6">
        <v>45931</v>
      </c>
      <c r="C3202" s="6" t="str">
        <f>TEXT(Table3[[#This Row],[transaction_date]], "yyyy-mm")</f>
        <v>2025-10</v>
      </c>
      <c r="D3202" t="s">
        <v>80</v>
      </c>
      <c r="E3202" t="s">
        <v>3637</v>
      </c>
      <c r="F3202" t="s">
        <v>3614</v>
      </c>
      <c r="G3202" s="1">
        <v>1392611.87</v>
      </c>
    </row>
    <row r="3203" spans="1:7">
      <c r="A3203" t="s">
        <v>3298</v>
      </c>
      <c r="B3203" s="6">
        <v>45949</v>
      </c>
      <c r="C3203" s="6" t="str">
        <f>TEXT(Table3[[#This Row],[transaction_date]], "yyyy-mm")</f>
        <v>2025-10</v>
      </c>
      <c r="D3203" t="s">
        <v>95</v>
      </c>
      <c r="E3203" t="s">
        <v>3637</v>
      </c>
      <c r="F3203" t="s">
        <v>3623</v>
      </c>
      <c r="G3203" s="1">
        <v>11850082.27</v>
      </c>
    </row>
    <row r="3204" spans="1:7">
      <c r="A3204" t="s">
        <v>3299</v>
      </c>
      <c r="B3204" s="6">
        <v>45984</v>
      </c>
      <c r="C3204" s="6" t="str">
        <f>TEXT(Table3[[#This Row],[transaction_date]], "yyyy-mm")</f>
        <v>2025-11</v>
      </c>
      <c r="D3204" t="s">
        <v>3597</v>
      </c>
      <c r="E3204" t="s">
        <v>3637</v>
      </c>
      <c r="F3204" t="s">
        <v>3619</v>
      </c>
      <c r="G3204" s="1">
        <v>2389136.29</v>
      </c>
    </row>
    <row r="3205" spans="1:7">
      <c r="A3205" t="s">
        <v>3300</v>
      </c>
      <c r="B3205" s="6">
        <v>45908</v>
      </c>
      <c r="C3205" s="6" t="str">
        <f>TEXT(Table3[[#This Row],[transaction_date]], "yyyy-mm")</f>
        <v>2025-09</v>
      </c>
      <c r="D3205" t="s">
        <v>85</v>
      </c>
      <c r="E3205" t="s">
        <v>3637</v>
      </c>
      <c r="F3205" t="s">
        <v>3614</v>
      </c>
      <c r="G3205" s="1">
        <v>194517.53</v>
      </c>
    </row>
    <row r="3206" spans="1:7">
      <c r="A3206" t="s">
        <v>3301</v>
      </c>
      <c r="B3206" s="6">
        <v>45909</v>
      </c>
      <c r="C3206" s="6" t="str">
        <f>TEXT(Table3[[#This Row],[transaction_date]], "yyyy-mm")</f>
        <v>2025-09</v>
      </c>
      <c r="D3206" t="s">
        <v>89</v>
      </c>
      <c r="E3206" t="s">
        <v>3637</v>
      </c>
      <c r="F3206" t="s">
        <v>3617</v>
      </c>
      <c r="G3206" s="1">
        <v>1881232.9</v>
      </c>
    </row>
    <row r="3207" spans="1:7">
      <c r="A3207" t="s">
        <v>3302</v>
      </c>
      <c r="B3207" s="6">
        <v>45913</v>
      </c>
      <c r="C3207" s="6" t="str">
        <f>TEXT(Table3[[#This Row],[transaction_date]], "yyyy-mm")</f>
        <v>2025-09</v>
      </c>
      <c r="D3207" t="s">
        <v>3597</v>
      </c>
      <c r="E3207" t="s">
        <v>3637</v>
      </c>
      <c r="F3207" t="s">
        <v>3620</v>
      </c>
      <c r="G3207" s="1">
        <v>6197961.0700000003</v>
      </c>
    </row>
    <row r="3208" spans="1:7">
      <c r="A3208" t="s">
        <v>3303</v>
      </c>
      <c r="B3208" s="6">
        <v>45928</v>
      </c>
      <c r="C3208" s="6" t="str">
        <f>TEXT(Table3[[#This Row],[transaction_date]], "yyyy-mm")</f>
        <v>2025-09</v>
      </c>
      <c r="D3208" t="s">
        <v>82</v>
      </c>
      <c r="E3208" t="s">
        <v>3637</v>
      </c>
      <c r="F3208" t="s">
        <v>3622</v>
      </c>
      <c r="G3208" s="1">
        <v>4876388.5599999996</v>
      </c>
    </row>
    <row r="3209" spans="1:7">
      <c r="A3209" t="s">
        <v>3304</v>
      </c>
      <c r="B3209" s="6">
        <v>45810</v>
      </c>
      <c r="C3209" s="6" t="str">
        <f>TEXT(Table3[[#This Row],[transaction_date]], "yyyy-mm")</f>
        <v>2025-06</v>
      </c>
      <c r="D3209" t="s">
        <v>89</v>
      </c>
      <c r="E3209" t="s">
        <v>3636</v>
      </c>
      <c r="F3209" t="s">
        <v>3609</v>
      </c>
      <c r="G3209" s="1">
        <v>1802544.63</v>
      </c>
    </row>
    <row r="3210" spans="1:7">
      <c r="A3210" t="s">
        <v>3305</v>
      </c>
      <c r="B3210" s="6">
        <v>45962</v>
      </c>
      <c r="C3210" s="6" t="str">
        <f>TEXT(Table3[[#This Row],[transaction_date]], "yyyy-mm")</f>
        <v>2025-11</v>
      </c>
      <c r="D3210" t="s">
        <v>3597</v>
      </c>
      <c r="E3210" t="s">
        <v>3636</v>
      </c>
      <c r="F3210" t="s">
        <v>3606</v>
      </c>
      <c r="G3210" s="1">
        <v>2304353.33</v>
      </c>
    </row>
    <row r="3211" spans="1:7">
      <c r="A3211" t="s">
        <v>3306</v>
      </c>
      <c r="B3211" s="6">
        <v>45895</v>
      </c>
      <c r="C3211" s="6" t="str">
        <f>TEXT(Table3[[#This Row],[transaction_date]], "yyyy-mm")</f>
        <v>2025-08</v>
      </c>
      <c r="D3211" t="s">
        <v>80</v>
      </c>
      <c r="E3211" t="s">
        <v>3636</v>
      </c>
      <c r="F3211" t="s">
        <v>3607</v>
      </c>
      <c r="G3211" s="1">
        <v>1117799.22</v>
      </c>
    </row>
    <row r="3212" spans="1:7">
      <c r="A3212" t="s">
        <v>3307</v>
      </c>
      <c r="B3212" s="6">
        <v>45763</v>
      </c>
      <c r="C3212" s="6" t="str">
        <f>TEXT(Table3[[#This Row],[transaction_date]], "yyyy-mm")</f>
        <v>2025-04</v>
      </c>
      <c r="D3212" t="s">
        <v>76</v>
      </c>
      <c r="E3212" t="s">
        <v>3636</v>
      </c>
      <c r="F3212" t="s">
        <v>3605</v>
      </c>
      <c r="G3212" s="1">
        <v>8615920.1999999993</v>
      </c>
    </row>
    <row r="3213" spans="1:7">
      <c r="A3213" t="s">
        <v>3308</v>
      </c>
      <c r="B3213" s="6">
        <v>45804</v>
      </c>
      <c r="C3213" s="6" t="str">
        <f>TEXT(Table3[[#This Row],[transaction_date]], "yyyy-mm")</f>
        <v>2025-05</v>
      </c>
      <c r="D3213" t="s">
        <v>93</v>
      </c>
      <c r="E3213" t="s">
        <v>3636</v>
      </c>
      <c r="F3213" t="s">
        <v>3610</v>
      </c>
      <c r="G3213" s="1">
        <v>3460600.67</v>
      </c>
    </row>
    <row r="3214" spans="1:7">
      <c r="A3214" t="s">
        <v>3309</v>
      </c>
      <c r="B3214" s="6">
        <v>45783</v>
      </c>
      <c r="C3214" s="6" t="str">
        <f>TEXT(Table3[[#This Row],[transaction_date]], "yyyy-mm")</f>
        <v>2025-05</v>
      </c>
      <c r="D3214" t="s">
        <v>84</v>
      </c>
      <c r="E3214" t="s">
        <v>3636</v>
      </c>
      <c r="F3214" t="s">
        <v>3605</v>
      </c>
      <c r="G3214" s="1">
        <v>146883.44</v>
      </c>
    </row>
    <row r="3215" spans="1:7">
      <c r="A3215" t="s">
        <v>3310</v>
      </c>
      <c r="B3215" s="6">
        <v>45836</v>
      </c>
      <c r="C3215" s="6" t="str">
        <f>TEXT(Table3[[#This Row],[transaction_date]], "yyyy-mm")</f>
        <v>2025-06</v>
      </c>
      <c r="D3215" t="s">
        <v>93</v>
      </c>
      <c r="E3215" t="s">
        <v>3636</v>
      </c>
      <c r="F3215" t="s">
        <v>3612</v>
      </c>
      <c r="G3215" s="1">
        <v>583599.73</v>
      </c>
    </row>
    <row r="3216" spans="1:7">
      <c r="A3216" t="s">
        <v>3311</v>
      </c>
      <c r="B3216" s="6">
        <v>45895</v>
      </c>
      <c r="C3216" s="6" t="str">
        <f>TEXT(Table3[[#This Row],[transaction_date]], "yyyy-mm")</f>
        <v>2025-08</v>
      </c>
      <c r="D3216" t="s">
        <v>73</v>
      </c>
      <c r="E3216" t="s">
        <v>3636</v>
      </c>
      <c r="F3216" t="s">
        <v>3607</v>
      </c>
      <c r="G3216" s="1">
        <v>725085.72</v>
      </c>
    </row>
    <row r="3217" spans="1:7">
      <c r="A3217" t="s">
        <v>3312</v>
      </c>
      <c r="B3217" s="6">
        <v>45808</v>
      </c>
      <c r="C3217" s="6" t="str">
        <f>TEXT(Table3[[#This Row],[transaction_date]], "yyyy-mm")</f>
        <v>2025-05</v>
      </c>
      <c r="D3217" t="s">
        <v>73</v>
      </c>
      <c r="E3217" t="s">
        <v>3637</v>
      </c>
      <c r="F3217" t="s">
        <v>3621</v>
      </c>
      <c r="G3217" s="1">
        <v>7098867.8499999996</v>
      </c>
    </row>
    <row r="3218" spans="1:7">
      <c r="A3218" t="s">
        <v>3313</v>
      </c>
      <c r="B3218" s="6">
        <v>45965</v>
      </c>
      <c r="C3218" s="6" t="str">
        <f>TEXT(Table3[[#This Row],[transaction_date]], "yyyy-mm")</f>
        <v>2025-11</v>
      </c>
      <c r="D3218" t="s">
        <v>82</v>
      </c>
      <c r="E3218" t="s">
        <v>3637</v>
      </c>
      <c r="F3218" t="s">
        <v>3616</v>
      </c>
      <c r="G3218" s="1">
        <v>17724990.190000001</v>
      </c>
    </row>
    <row r="3219" spans="1:7">
      <c r="A3219" t="s">
        <v>3314</v>
      </c>
      <c r="B3219" s="6">
        <v>45772</v>
      </c>
      <c r="C3219" s="6" t="str">
        <f>TEXT(Table3[[#This Row],[transaction_date]], "yyyy-mm")</f>
        <v>2025-04</v>
      </c>
      <c r="D3219" t="s">
        <v>74</v>
      </c>
      <c r="E3219" t="s">
        <v>3636</v>
      </c>
      <c r="F3219" t="s">
        <v>3610</v>
      </c>
      <c r="G3219" s="1">
        <v>495671.97</v>
      </c>
    </row>
    <row r="3220" spans="1:7">
      <c r="A3220" t="s">
        <v>3315</v>
      </c>
      <c r="B3220" s="6">
        <v>45754</v>
      </c>
      <c r="C3220" s="6" t="str">
        <f>TEXT(Table3[[#This Row],[transaction_date]], "yyyy-mm")</f>
        <v>2025-04</v>
      </c>
      <c r="D3220" t="s">
        <v>90</v>
      </c>
      <c r="E3220" t="s">
        <v>3636</v>
      </c>
      <c r="F3220" t="s">
        <v>3604</v>
      </c>
      <c r="G3220" s="1">
        <v>2036923.45</v>
      </c>
    </row>
    <row r="3221" spans="1:7">
      <c r="A3221" t="s">
        <v>3316</v>
      </c>
      <c r="B3221" s="6">
        <v>45889</v>
      </c>
      <c r="C3221" s="6" t="str">
        <f>TEXT(Table3[[#This Row],[transaction_date]], "yyyy-mm")</f>
        <v>2025-08</v>
      </c>
      <c r="D3221" t="s">
        <v>84</v>
      </c>
      <c r="E3221" t="s">
        <v>3636</v>
      </c>
      <c r="F3221" t="s">
        <v>3613</v>
      </c>
      <c r="G3221" s="1">
        <v>15824751.67</v>
      </c>
    </row>
    <row r="3222" spans="1:7">
      <c r="A3222" t="s">
        <v>3317</v>
      </c>
      <c r="B3222" s="6">
        <v>46020</v>
      </c>
      <c r="C3222" s="6" t="str">
        <f>TEXT(Table3[[#This Row],[transaction_date]], "yyyy-mm")</f>
        <v>2025-12</v>
      </c>
      <c r="D3222" t="s">
        <v>73</v>
      </c>
      <c r="E3222" t="s">
        <v>3637</v>
      </c>
      <c r="F3222" t="s">
        <v>3621</v>
      </c>
      <c r="G3222" s="1">
        <v>60906.75</v>
      </c>
    </row>
    <row r="3223" spans="1:7">
      <c r="A3223" t="s">
        <v>3318</v>
      </c>
      <c r="B3223" s="6">
        <v>45686</v>
      </c>
      <c r="C3223" s="6" t="str">
        <f>TEXT(Table3[[#This Row],[transaction_date]], "yyyy-mm")</f>
        <v>2025-01</v>
      </c>
      <c r="D3223" t="s">
        <v>93</v>
      </c>
      <c r="E3223" t="s">
        <v>3637</v>
      </c>
      <c r="F3223" t="s">
        <v>3616</v>
      </c>
      <c r="G3223" s="1">
        <v>8875016.0199999996</v>
      </c>
    </row>
    <row r="3224" spans="1:7">
      <c r="A3224" t="s">
        <v>3319</v>
      </c>
      <c r="B3224" s="6">
        <v>45822</v>
      </c>
      <c r="C3224" s="6" t="str">
        <f>TEXT(Table3[[#This Row],[transaction_date]], "yyyy-mm")</f>
        <v>2025-06</v>
      </c>
      <c r="D3224" t="s">
        <v>76</v>
      </c>
      <c r="E3224" t="s">
        <v>3637</v>
      </c>
      <c r="F3224" t="s">
        <v>3615</v>
      </c>
      <c r="G3224" s="1">
        <v>20147371.879999999</v>
      </c>
    </row>
    <row r="3225" spans="1:7">
      <c r="A3225" t="s">
        <v>3320</v>
      </c>
      <c r="B3225" s="6">
        <v>46005</v>
      </c>
      <c r="C3225" s="6" t="str">
        <f>TEXT(Table3[[#This Row],[transaction_date]], "yyyy-mm")</f>
        <v>2025-12</v>
      </c>
      <c r="D3225" t="s">
        <v>75</v>
      </c>
      <c r="E3225" t="s">
        <v>3637</v>
      </c>
      <c r="F3225" t="s">
        <v>3618</v>
      </c>
      <c r="G3225" s="1">
        <v>110376.08</v>
      </c>
    </row>
    <row r="3226" spans="1:7">
      <c r="A3226" t="s">
        <v>3321</v>
      </c>
      <c r="B3226" s="6">
        <v>45917</v>
      </c>
      <c r="C3226" s="6" t="str">
        <f>TEXT(Table3[[#This Row],[transaction_date]], "yyyy-mm")</f>
        <v>2025-09</v>
      </c>
      <c r="D3226" t="s">
        <v>79</v>
      </c>
      <c r="E3226" t="s">
        <v>3637</v>
      </c>
      <c r="F3226" t="s">
        <v>3617</v>
      </c>
      <c r="G3226" s="1">
        <v>1413755.35</v>
      </c>
    </row>
    <row r="3227" spans="1:7">
      <c r="A3227" t="s">
        <v>3322</v>
      </c>
      <c r="B3227" s="6">
        <v>45721</v>
      </c>
      <c r="C3227" s="6" t="str">
        <f>TEXT(Table3[[#This Row],[transaction_date]], "yyyy-mm")</f>
        <v>2025-03</v>
      </c>
      <c r="D3227" t="s">
        <v>73</v>
      </c>
      <c r="E3227" t="s">
        <v>3637</v>
      </c>
      <c r="F3227" t="s">
        <v>3616</v>
      </c>
      <c r="G3227" s="1">
        <v>8018559.7400000002</v>
      </c>
    </row>
    <row r="3228" spans="1:7">
      <c r="A3228" t="s">
        <v>3323</v>
      </c>
      <c r="B3228" s="6">
        <v>46013</v>
      </c>
      <c r="C3228" s="6" t="str">
        <f>TEXT(Table3[[#This Row],[transaction_date]], "yyyy-mm")</f>
        <v>2025-12</v>
      </c>
      <c r="D3228" t="s">
        <v>85</v>
      </c>
      <c r="E3228" t="s">
        <v>3636</v>
      </c>
      <c r="F3228" t="s">
        <v>3604</v>
      </c>
      <c r="G3228" s="1">
        <v>4069521.86</v>
      </c>
    </row>
    <row r="3229" spans="1:7">
      <c r="A3229" t="s">
        <v>3324</v>
      </c>
      <c r="B3229" s="6">
        <v>45737</v>
      </c>
      <c r="C3229" s="6" t="str">
        <f>TEXT(Table3[[#This Row],[transaction_date]], "yyyy-mm")</f>
        <v>2025-03</v>
      </c>
      <c r="D3229" t="s">
        <v>77</v>
      </c>
      <c r="E3229" t="s">
        <v>3637</v>
      </c>
      <c r="F3229" t="s">
        <v>3619</v>
      </c>
      <c r="G3229" s="1">
        <v>12954553.869999999</v>
      </c>
    </row>
    <row r="3230" spans="1:7">
      <c r="A3230" t="s">
        <v>3325</v>
      </c>
      <c r="B3230" s="6">
        <v>45731</v>
      </c>
      <c r="C3230" s="6" t="str">
        <f>TEXT(Table3[[#This Row],[transaction_date]], "yyyy-mm")</f>
        <v>2025-03</v>
      </c>
      <c r="D3230" t="s">
        <v>84</v>
      </c>
      <c r="E3230" t="s">
        <v>3636</v>
      </c>
      <c r="F3230" t="s">
        <v>3606</v>
      </c>
      <c r="G3230" s="1">
        <v>11301761.380000001</v>
      </c>
    </row>
    <row r="3231" spans="1:7">
      <c r="A3231" t="s">
        <v>3326</v>
      </c>
      <c r="B3231" s="6">
        <v>45998</v>
      </c>
      <c r="C3231" s="6" t="str">
        <f>TEXT(Table3[[#This Row],[transaction_date]], "yyyy-mm")</f>
        <v>2025-12</v>
      </c>
      <c r="D3231" t="s">
        <v>73</v>
      </c>
      <c r="E3231" t="s">
        <v>3636</v>
      </c>
      <c r="F3231" t="s">
        <v>3611</v>
      </c>
      <c r="G3231" s="1">
        <v>75348.55</v>
      </c>
    </row>
    <row r="3232" spans="1:7">
      <c r="A3232" t="s">
        <v>3327</v>
      </c>
      <c r="B3232" s="6">
        <v>45903</v>
      </c>
      <c r="C3232" s="6" t="str">
        <f>TEXT(Table3[[#This Row],[transaction_date]], "yyyy-mm")</f>
        <v>2025-09</v>
      </c>
      <c r="D3232" t="s">
        <v>76</v>
      </c>
      <c r="E3232" t="s">
        <v>3637</v>
      </c>
      <c r="F3232" t="s">
        <v>3615</v>
      </c>
      <c r="G3232" s="1">
        <v>31349648.420000002</v>
      </c>
    </row>
    <row r="3233" spans="1:7">
      <c r="A3233" t="s">
        <v>3328</v>
      </c>
      <c r="B3233" s="6">
        <v>45807</v>
      </c>
      <c r="C3233" s="6" t="str">
        <f>TEXT(Table3[[#This Row],[transaction_date]], "yyyy-mm")</f>
        <v>2025-05</v>
      </c>
      <c r="D3233" t="s">
        <v>93</v>
      </c>
      <c r="E3233" t="s">
        <v>3636</v>
      </c>
      <c r="F3233" t="s">
        <v>3609</v>
      </c>
      <c r="G3233" s="1">
        <v>1431479.89</v>
      </c>
    </row>
    <row r="3234" spans="1:7">
      <c r="A3234" t="s">
        <v>3329</v>
      </c>
      <c r="B3234" s="6">
        <v>45829</v>
      </c>
      <c r="C3234" s="6" t="str">
        <f>TEXT(Table3[[#This Row],[transaction_date]], "yyyy-mm")</f>
        <v>2025-06</v>
      </c>
      <c r="D3234" t="s">
        <v>90</v>
      </c>
      <c r="E3234" t="s">
        <v>3636</v>
      </c>
      <c r="F3234" t="s">
        <v>3612</v>
      </c>
      <c r="G3234" s="1">
        <v>2364614.39</v>
      </c>
    </row>
    <row r="3235" spans="1:7">
      <c r="A3235" t="s">
        <v>3330</v>
      </c>
      <c r="B3235" s="6">
        <v>45789</v>
      </c>
      <c r="C3235" s="6" t="str">
        <f>TEXT(Table3[[#This Row],[transaction_date]], "yyyy-mm")</f>
        <v>2025-05</v>
      </c>
      <c r="D3235" t="s">
        <v>85</v>
      </c>
      <c r="E3235" t="s">
        <v>3637</v>
      </c>
      <c r="F3235" t="s">
        <v>3614</v>
      </c>
      <c r="G3235" s="1">
        <v>1814842.52</v>
      </c>
    </row>
    <row r="3236" spans="1:7">
      <c r="A3236" t="s">
        <v>3331</v>
      </c>
      <c r="B3236" s="6">
        <v>45766</v>
      </c>
      <c r="C3236" s="6" t="str">
        <f>TEXT(Table3[[#This Row],[transaction_date]], "yyyy-mm")</f>
        <v>2025-04</v>
      </c>
      <c r="D3236" t="s">
        <v>93</v>
      </c>
      <c r="E3236" t="s">
        <v>3636</v>
      </c>
      <c r="F3236" t="s">
        <v>3608</v>
      </c>
      <c r="G3236" s="1">
        <v>4315281.4400000004</v>
      </c>
    </row>
    <row r="3237" spans="1:7">
      <c r="A3237" t="s">
        <v>3332</v>
      </c>
      <c r="B3237" s="6">
        <v>45988</v>
      </c>
      <c r="C3237" s="6" t="str">
        <f>TEXT(Table3[[#This Row],[transaction_date]], "yyyy-mm")</f>
        <v>2025-11</v>
      </c>
      <c r="D3237" t="s">
        <v>93</v>
      </c>
      <c r="E3237" t="s">
        <v>3636</v>
      </c>
      <c r="F3237" t="s">
        <v>3609</v>
      </c>
      <c r="G3237" s="1">
        <v>3452869.88</v>
      </c>
    </row>
    <row r="3238" spans="1:7">
      <c r="A3238" t="s">
        <v>3333</v>
      </c>
      <c r="B3238" s="6">
        <v>45671</v>
      </c>
      <c r="C3238" s="6" t="str">
        <f>TEXT(Table3[[#This Row],[transaction_date]], "yyyy-mm")</f>
        <v>2025-01</v>
      </c>
      <c r="D3238" t="s">
        <v>77</v>
      </c>
      <c r="E3238" t="s">
        <v>3637</v>
      </c>
      <c r="F3238" t="s">
        <v>3620</v>
      </c>
      <c r="G3238" s="1">
        <v>11263346.85</v>
      </c>
    </row>
    <row r="3239" spans="1:7">
      <c r="A3239" t="s">
        <v>3334</v>
      </c>
      <c r="B3239" s="6">
        <v>45921</v>
      </c>
      <c r="C3239" s="6" t="str">
        <f>TEXT(Table3[[#This Row],[transaction_date]], "yyyy-mm")</f>
        <v>2025-09</v>
      </c>
      <c r="D3239" t="s">
        <v>93</v>
      </c>
      <c r="E3239" t="s">
        <v>3637</v>
      </c>
      <c r="F3239" t="s">
        <v>3616</v>
      </c>
      <c r="G3239" s="1">
        <v>3517909.16</v>
      </c>
    </row>
    <row r="3240" spans="1:7">
      <c r="A3240" t="s">
        <v>3335</v>
      </c>
      <c r="B3240" s="6">
        <v>45792</v>
      </c>
      <c r="C3240" s="6" t="str">
        <f>TEXT(Table3[[#This Row],[transaction_date]], "yyyy-mm")</f>
        <v>2025-05</v>
      </c>
      <c r="D3240" t="s">
        <v>73</v>
      </c>
      <c r="E3240" t="s">
        <v>3637</v>
      </c>
      <c r="F3240" t="s">
        <v>3618</v>
      </c>
      <c r="G3240" s="1">
        <v>5710700.3099999996</v>
      </c>
    </row>
    <row r="3241" spans="1:7">
      <c r="A3241" t="s">
        <v>3336</v>
      </c>
      <c r="B3241" s="6">
        <v>45873</v>
      </c>
      <c r="C3241" s="6" t="str">
        <f>TEXT(Table3[[#This Row],[transaction_date]], "yyyy-mm")</f>
        <v>2025-08</v>
      </c>
      <c r="D3241" t="s">
        <v>80</v>
      </c>
      <c r="E3241" t="s">
        <v>3637</v>
      </c>
      <c r="F3241" t="s">
        <v>3620</v>
      </c>
      <c r="G3241" s="1">
        <v>3623522.92</v>
      </c>
    </row>
    <row r="3242" spans="1:7">
      <c r="A3242" t="s">
        <v>3337</v>
      </c>
      <c r="B3242" s="6">
        <v>45843</v>
      </c>
      <c r="C3242" s="6" t="str">
        <f>TEXT(Table3[[#This Row],[transaction_date]], "yyyy-mm")</f>
        <v>2025-07</v>
      </c>
      <c r="D3242" t="s">
        <v>73</v>
      </c>
      <c r="E3242" t="s">
        <v>3637</v>
      </c>
      <c r="F3242" t="s">
        <v>3614</v>
      </c>
      <c r="G3242" s="1">
        <v>4874703.0599999996</v>
      </c>
    </row>
    <row r="3243" spans="1:7">
      <c r="A3243" t="s">
        <v>3338</v>
      </c>
      <c r="B3243" s="6">
        <v>45921</v>
      </c>
      <c r="C3243" s="6" t="str">
        <f>TEXT(Table3[[#This Row],[transaction_date]], "yyyy-mm")</f>
        <v>2025-09</v>
      </c>
      <c r="D3243" t="s">
        <v>93</v>
      </c>
      <c r="E3243" t="s">
        <v>3636</v>
      </c>
      <c r="F3243" t="s">
        <v>3604</v>
      </c>
      <c r="G3243" s="1">
        <v>2477683.23</v>
      </c>
    </row>
    <row r="3244" spans="1:7">
      <c r="A3244" t="s">
        <v>3339</v>
      </c>
      <c r="B3244" s="6">
        <v>45779</v>
      </c>
      <c r="C3244" s="6" t="str">
        <f>TEXT(Table3[[#This Row],[transaction_date]], "yyyy-mm")</f>
        <v>2025-05</v>
      </c>
      <c r="D3244" t="s">
        <v>82</v>
      </c>
      <c r="E3244" t="s">
        <v>3637</v>
      </c>
      <c r="F3244" t="s">
        <v>3620</v>
      </c>
      <c r="G3244" s="1">
        <v>6527747.9100000001</v>
      </c>
    </row>
    <row r="3245" spans="1:7">
      <c r="A3245" t="s">
        <v>3340</v>
      </c>
      <c r="B3245" s="6">
        <v>45669</v>
      </c>
      <c r="C3245" s="6" t="str">
        <f>TEXT(Table3[[#This Row],[transaction_date]], "yyyy-mm")</f>
        <v>2025-01</v>
      </c>
      <c r="D3245" t="s">
        <v>93</v>
      </c>
      <c r="E3245" t="s">
        <v>3637</v>
      </c>
      <c r="F3245" t="s">
        <v>3616</v>
      </c>
      <c r="G3245" s="1">
        <v>11657609.66</v>
      </c>
    </row>
    <row r="3246" spans="1:7">
      <c r="A3246" t="s">
        <v>3341</v>
      </c>
      <c r="B3246" s="6">
        <v>45925</v>
      </c>
      <c r="C3246" s="6" t="str">
        <f>TEXT(Table3[[#This Row],[transaction_date]], "yyyy-mm")</f>
        <v>2025-09</v>
      </c>
      <c r="D3246" t="s">
        <v>75</v>
      </c>
      <c r="E3246" t="s">
        <v>3637</v>
      </c>
      <c r="F3246" t="s">
        <v>3622</v>
      </c>
      <c r="G3246" s="1">
        <v>2396964.3199999998</v>
      </c>
    </row>
    <row r="3247" spans="1:7">
      <c r="A3247" t="s">
        <v>3342</v>
      </c>
      <c r="B3247" s="6">
        <v>45990</v>
      </c>
      <c r="C3247" s="6" t="str">
        <f>TEXT(Table3[[#This Row],[transaction_date]], "yyyy-mm")</f>
        <v>2025-11</v>
      </c>
      <c r="D3247" t="s">
        <v>75</v>
      </c>
      <c r="E3247" t="s">
        <v>3637</v>
      </c>
      <c r="F3247" t="s">
        <v>3617</v>
      </c>
      <c r="G3247" s="1">
        <v>5912881.0800000001</v>
      </c>
    </row>
    <row r="3248" spans="1:7">
      <c r="A3248" t="s">
        <v>3343</v>
      </c>
      <c r="B3248" s="6">
        <v>45969</v>
      </c>
      <c r="C3248" s="6" t="str">
        <f>TEXT(Table3[[#This Row],[transaction_date]], "yyyy-mm")</f>
        <v>2025-11</v>
      </c>
      <c r="D3248" t="s">
        <v>76</v>
      </c>
      <c r="E3248" t="s">
        <v>3637</v>
      </c>
      <c r="F3248" t="s">
        <v>3615</v>
      </c>
      <c r="G3248" s="1">
        <v>10511077.15</v>
      </c>
    </row>
    <row r="3249" spans="1:7">
      <c r="A3249" t="s">
        <v>3344</v>
      </c>
      <c r="B3249" s="6">
        <v>45930</v>
      </c>
      <c r="C3249" s="6" t="str">
        <f>TEXT(Table3[[#This Row],[transaction_date]], "yyyy-mm")</f>
        <v>2025-09</v>
      </c>
      <c r="D3249" t="s">
        <v>74</v>
      </c>
      <c r="E3249" t="s">
        <v>3636</v>
      </c>
      <c r="F3249" t="s">
        <v>3605</v>
      </c>
      <c r="G3249" s="1">
        <v>354352.87</v>
      </c>
    </row>
    <row r="3250" spans="1:7">
      <c r="A3250" t="s">
        <v>3345</v>
      </c>
      <c r="B3250" s="6">
        <v>45807</v>
      </c>
      <c r="C3250" s="6" t="str">
        <f>TEXT(Table3[[#This Row],[transaction_date]], "yyyy-mm")</f>
        <v>2025-05</v>
      </c>
      <c r="D3250" t="s">
        <v>3597</v>
      </c>
      <c r="E3250" t="s">
        <v>3637</v>
      </c>
      <c r="F3250" t="s">
        <v>3623</v>
      </c>
      <c r="G3250" s="1">
        <v>1098555.22</v>
      </c>
    </row>
    <row r="3251" spans="1:7">
      <c r="A3251" t="s">
        <v>3346</v>
      </c>
      <c r="B3251" s="6">
        <v>45772</v>
      </c>
      <c r="C3251" s="6" t="str">
        <f>TEXT(Table3[[#This Row],[transaction_date]], "yyyy-mm")</f>
        <v>2025-04</v>
      </c>
      <c r="D3251" t="s">
        <v>77</v>
      </c>
      <c r="E3251" t="s">
        <v>3636</v>
      </c>
      <c r="F3251" t="s">
        <v>3611</v>
      </c>
      <c r="G3251" s="1">
        <v>877987.6</v>
      </c>
    </row>
    <row r="3252" spans="1:7">
      <c r="A3252" t="s">
        <v>3347</v>
      </c>
      <c r="B3252" s="6">
        <v>46021</v>
      </c>
      <c r="C3252" s="6" t="str">
        <f>TEXT(Table3[[#This Row],[transaction_date]], "yyyy-mm")</f>
        <v>2025-12</v>
      </c>
      <c r="D3252" t="s">
        <v>75</v>
      </c>
      <c r="E3252" t="s">
        <v>3636</v>
      </c>
      <c r="F3252" t="s">
        <v>3606</v>
      </c>
      <c r="G3252" s="1">
        <v>85807.82</v>
      </c>
    </row>
    <row r="3253" spans="1:7">
      <c r="A3253" t="s">
        <v>3348</v>
      </c>
      <c r="B3253" s="6">
        <v>45850</v>
      </c>
      <c r="C3253" s="6" t="str">
        <f>TEXT(Table3[[#This Row],[transaction_date]], "yyyy-mm")</f>
        <v>2025-07</v>
      </c>
      <c r="D3253" t="s">
        <v>73</v>
      </c>
      <c r="E3253" t="s">
        <v>3636</v>
      </c>
      <c r="F3253" t="s">
        <v>3610</v>
      </c>
      <c r="G3253" s="1">
        <v>152530.74</v>
      </c>
    </row>
    <row r="3254" spans="1:7">
      <c r="A3254" t="s">
        <v>3349</v>
      </c>
      <c r="B3254" s="6">
        <v>45719</v>
      </c>
      <c r="C3254" s="6" t="str">
        <f>TEXT(Table3[[#This Row],[transaction_date]], "yyyy-mm")</f>
        <v>2025-03</v>
      </c>
      <c r="D3254" t="s">
        <v>84</v>
      </c>
      <c r="E3254" t="s">
        <v>3636</v>
      </c>
      <c r="F3254" t="s">
        <v>3604</v>
      </c>
      <c r="G3254" s="1">
        <v>9794794.9700000007</v>
      </c>
    </row>
    <row r="3255" spans="1:7">
      <c r="A3255" t="s">
        <v>3350</v>
      </c>
      <c r="B3255" s="6">
        <v>45838</v>
      </c>
      <c r="C3255" s="6" t="str">
        <f>TEXT(Table3[[#This Row],[transaction_date]], "yyyy-mm")</f>
        <v>2025-06</v>
      </c>
      <c r="D3255" t="s">
        <v>80</v>
      </c>
      <c r="E3255" t="s">
        <v>3636</v>
      </c>
      <c r="F3255" t="s">
        <v>3605</v>
      </c>
      <c r="G3255" s="1">
        <v>1938155.21</v>
      </c>
    </row>
    <row r="3256" spans="1:7">
      <c r="A3256" t="s">
        <v>3351</v>
      </c>
      <c r="B3256" s="6">
        <v>45842</v>
      </c>
      <c r="C3256" s="6" t="str">
        <f>TEXT(Table3[[#This Row],[transaction_date]], "yyyy-mm")</f>
        <v>2025-07</v>
      </c>
      <c r="D3256" t="s">
        <v>89</v>
      </c>
      <c r="E3256" t="s">
        <v>3637</v>
      </c>
      <c r="F3256" t="s">
        <v>3618</v>
      </c>
      <c r="G3256" s="1">
        <v>3038089.25</v>
      </c>
    </row>
    <row r="3257" spans="1:7">
      <c r="A3257" t="s">
        <v>3352</v>
      </c>
      <c r="B3257" s="6">
        <v>45894</v>
      </c>
      <c r="C3257" s="6" t="str">
        <f>TEXT(Table3[[#This Row],[transaction_date]], "yyyy-mm")</f>
        <v>2025-08</v>
      </c>
      <c r="D3257" t="s">
        <v>78</v>
      </c>
      <c r="E3257" t="s">
        <v>3637</v>
      </c>
      <c r="F3257" t="s">
        <v>3614</v>
      </c>
      <c r="G3257" s="1">
        <v>3829132.74</v>
      </c>
    </row>
    <row r="3258" spans="1:7">
      <c r="A3258" t="s">
        <v>3353</v>
      </c>
      <c r="B3258" s="6">
        <v>45852</v>
      </c>
      <c r="C3258" s="6" t="str">
        <f>TEXT(Table3[[#This Row],[transaction_date]], "yyyy-mm")</f>
        <v>2025-07</v>
      </c>
      <c r="D3258" t="s">
        <v>74</v>
      </c>
      <c r="E3258" t="s">
        <v>3637</v>
      </c>
      <c r="F3258" t="s">
        <v>3618</v>
      </c>
      <c r="G3258" s="1">
        <v>68029.33</v>
      </c>
    </row>
    <row r="3259" spans="1:7">
      <c r="A3259" t="s">
        <v>3354</v>
      </c>
      <c r="B3259" s="6">
        <v>45822</v>
      </c>
      <c r="C3259" s="6" t="str">
        <f>TEXT(Table3[[#This Row],[transaction_date]], "yyyy-mm")</f>
        <v>2025-06</v>
      </c>
      <c r="D3259" t="s">
        <v>73</v>
      </c>
      <c r="E3259" t="s">
        <v>3636</v>
      </c>
      <c r="F3259" t="s">
        <v>3604</v>
      </c>
      <c r="G3259" s="1">
        <v>1640888.53</v>
      </c>
    </row>
    <row r="3260" spans="1:7">
      <c r="A3260" t="s">
        <v>3355</v>
      </c>
      <c r="B3260" s="6">
        <v>45947</v>
      </c>
      <c r="C3260" s="6" t="str">
        <f>TEXT(Table3[[#This Row],[transaction_date]], "yyyy-mm")</f>
        <v>2025-10</v>
      </c>
      <c r="D3260" t="s">
        <v>84</v>
      </c>
      <c r="E3260" t="s">
        <v>3636</v>
      </c>
      <c r="F3260" t="s">
        <v>3604</v>
      </c>
      <c r="G3260" s="1">
        <v>6747525.4299999997</v>
      </c>
    </row>
    <row r="3261" spans="1:7">
      <c r="A3261" t="s">
        <v>3356</v>
      </c>
      <c r="B3261" s="6">
        <v>46017</v>
      </c>
      <c r="C3261" s="6" t="str">
        <f>TEXT(Table3[[#This Row],[transaction_date]], "yyyy-mm")</f>
        <v>2025-12</v>
      </c>
      <c r="D3261" t="s">
        <v>89</v>
      </c>
      <c r="E3261" t="s">
        <v>3637</v>
      </c>
      <c r="F3261" t="s">
        <v>3620</v>
      </c>
      <c r="G3261" s="1">
        <v>12826.38</v>
      </c>
    </row>
    <row r="3262" spans="1:7">
      <c r="A3262" t="s">
        <v>3357</v>
      </c>
      <c r="B3262" s="6">
        <v>45976</v>
      </c>
      <c r="C3262" s="6" t="str">
        <f>TEXT(Table3[[#This Row],[transaction_date]], "yyyy-mm")</f>
        <v>2025-11</v>
      </c>
      <c r="D3262" t="s">
        <v>74</v>
      </c>
      <c r="E3262" t="s">
        <v>3637</v>
      </c>
      <c r="F3262" t="s">
        <v>3621</v>
      </c>
      <c r="G3262" s="1">
        <v>481788.71</v>
      </c>
    </row>
    <row r="3263" spans="1:7">
      <c r="A3263" t="s">
        <v>3358</v>
      </c>
      <c r="B3263" s="6">
        <v>45677</v>
      </c>
      <c r="C3263" s="6" t="str">
        <f>TEXT(Table3[[#This Row],[transaction_date]], "yyyy-mm")</f>
        <v>2025-01</v>
      </c>
      <c r="D3263" t="s">
        <v>75</v>
      </c>
      <c r="E3263" t="s">
        <v>3637</v>
      </c>
      <c r="F3263" t="s">
        <v>3621</v>
      </c>
      <c r="G3263" s="1">
        <v>11516793.35</v>
      </c>
    </row>
    <row r="3264" spans="1:7">
      <c r="A3264" t="s">
        <v>3359</v>
      </c>
      <c r="B3264" s="6">
        <v>45668</v>
      </c>
      <c r="C3264" s="6" t="str">
        <f>TEXT(Table3[[#This Row],[transaction_date]], "yyyy-mm")</f>
        <v>2025-01</v>
      </c>
      <c r="D3264" t="s">
        <v>3597</v>
      </c>
      <c r="E3264" t="s">
        <v>3636</v>
      </c>
      <c r="F3264" t="s">
        <v>3613</v>
      </c>
      <c r="G3264" s="1">
        <v>2001126.83</v>
      </c>
    </row>
    <row r="3265" spans="1:7">
      <c r="A3265" t="s">
        <v>3360</v>
      </c>
      <c r="B3265" s="6">
        <v>46014</v>
      </c>
      <c r="C3265" s="6" t="str">
        <f>TEXT(Table3[[#This Row],[transaction_date]], "yyyy-mm")</f>
        <v>2025-12</v>
      </c>
      <c r="D3265" t="s">
        <v>3597</v>
      </c>
      <c r="E3265" t="s">
        <v>3636</v>
      </c>
      <c r="F3265" t="s">
        <v>3613</v>
      </c>
      <c r="G3265" s="1">
        <v>9210196.3800000008</v>
      </c>
    </row>
    <row r="3266" spans="1:7">
      <c r="A3266" t="s">
        <v>3361</v>
      </c>
      <c r="B3266" s="6">
        <v>45821</v>
      </c>
      <c r="C3266" s="6" t="str">
        <f>TEXT(Table3[[#This Row],[transaction_date]], "yyyy-mm")</f>
        <v>2025-06</v>
      </c>
      <c r="D3266" t="s">
        <v>95</v>
      </c>
      <c r="E3266" t="s">
        <v>3637</v>
      </c>
      <c r="F3266" t="s">
        <v>3614</v>
      </c>
      <c r="G3266" s="1">
        <v>2791474.99</v>
      </c>
    </row>
    <row r="3267" spans="1:7">
      <c r="A3267" t="s">
        <v>3362</v>
      </c>
      <c r="B3267" s="6">
        <v>45988</v>
      </c>
      <c r="C3267" s="6" t="str">
        <f>TEXT(Table3[[#This Row],[transaction_date]], "yyyy-mm")</f>
        <v>2025-11</v>
      </c>
      <c r="D3267" t="s">
        <v>79</v>
      </c>
      <c r="E3267" t="s">
        <v>3636</v>
      </c>
      <c r="F3267" t="s">
        <v>3604</v>
      </c>
      <c r="G3267" s="1">
        <v>5078310.58</v>
      </c>
    </row>
    <row r="3268" spans="1:7">
      <c r="A3268" t="s">
        <v>3363</v>
      </c>
      <c r="B3268" s="6">
        <v>45721</v>
      </c>
      <c r="C3268" s="6" t="str">
        <f>TEXT(Table3[[#This Row],[transaction_date]], "yyyy-mm")</f>
        <v>2025-03</v>
      </c>
      <c r="D3268" t="s">
        <v>89</v>
      </c>
      <c r="E3268" t="s">
        <v>3636</v>
      </c>
      <c r="F3268" t="s">
        <v>3610</v>
      </c>
      <c r="G3268" s="1">
        <v>327655.57</v>
      </c>
    </row>
    <row r="3269" spans="1:7">
      <c r="A3269" t="s">
        <v>3364</v>
      </c>
      <c r="B3269" s="6">
        <v>45666</v>
      </c>
      <c r="C3269" s="6" t="str">
        <f>TEXT(Table3[[#This Row],[transaction_date]], "yyyy-mm")</f>
        <v>2025-01</v>
      </c>
      <c r="D3269" t="s">
        <v>84</v>
      </c>
      <c r="E3269" t="s">
        <v>3637</v>
      </c>
      <c r="F3269" t="s">
        <v>3621</v>
      </c>
      <c r="G3269" s="1">
        <v>13924904.5</v>
      </c>
    </row>
    <row r="3270" spans="1:7">
      <c r="A3270" t="s">
        <v>3365</v>
      </c>
      <c r="B3270" s="6">
        <v>45888</v>
      </c>
      <c r="C3270" s="6" t="str">
        <f>TEXT(Table3[[#This Row],[transaction_date]], "yyyy-mm")</f>
        <v>2025-08</v>
      </c>
      <c r="D3270" t="s">
        <v>90</v>
      </c>
      <c r="E3270" t="s">
        <v>3637</v>
      </c>
      <c r="F3270" t="s">
        <v>3622</v>
      </c>
      <c r="G3270" s="1">
        <v>3534070.27</v>
      </c>
    </row>
    <row r="3271" spans="1:7">
      <c r="A3271" t="s">
        <v>3366</v>
      </c>
      <c r="B3271" s="6">
        <v>45830</v>
      </c>
      <c r="C3271" s="6" t="str">
        <f>TEXT(Table3[[#This Row],[transaction_date]], "yyyy-mm")</f>
        <v>2025-06</v>
      </c>
      <c r="D3271" t="s">
        <v>75</v>
      </c>
      <c r="E3271" t="s">
        <v>3636</v>
      </c>
      <c r="F3271" t="s">
        <v>3604</v>
      </c>
      <c r="G3271" s="1">
        <v>23446334.329999998</v>
      </c>
    </row>
    <row r="3272" spans="1:7">
      <c r="A3272" t="s">
        <v>3367</v>
      </c>
      <c r="B3272" s="6">
        <v>45665</v>
      </c>
      <c r="C3272" s="6" t="str">
        <f>TEXT(Table3[[#This Row],[transaction_date]], "yyyy-mm")</f>
        <v>2025-01</v>
      </c>
      <c r="D3272" t="s">
        <v>73</v>
      </c>
      <c r="E3272" t="s">
        <v>3637</v>
      </c>
      <c r="F3272" t="s">
        <v>3619</v>
      </c>
      <c r="G3272" s="1">
        <v>1562464.94</v>
      </c>
    </row>
    <row r="3273" spans="1:7">
      <c r="A3273" t="s">
        <v>3368</v>
      </c>
      <c r="B3273" s="6">
        <v>45685</v>
      </c>
      <c r="C3273" s="6" t="str">
        <f>TEXT(Table3[[#This Row],[transaction_date]], "yyyy-mm")</f>
        <v>2025-01</v>
      </c>
      <c r="D3273" t="s">
        <v>89</v>
      </c>
      <c r="E3273" t="s">
        <v>3636</v>
      </c>
      <c r="F3273" t="s">
        <v>3613</v>
      </c>
      <c r="G3273" s="1">
        <v>112820.02</v>
      </c>
    </row>
    <row r="3274" spans="1:7">
      <c r="A3274" t="s">
        <v>3369</v>
      </c>
      <c r="B3274" s="6">
        <v>45862</v>
      </c>
      <c r="C3274" s="6" t="str">
        <f>TEXT(Table3[[#This Row],[transaction_date]], "yyyy-mm")</f>
        <v>2025-07</v>
      </c>
      <c r="D3274" t="s">
        <v>95</v>
      </c>
      <c r="E3274" t="s">
        <v>3636</v>
      </c>
      <c r="F3274" t="s">
        <v>3610</v>
      </c>
      <c r="G3274" s="1">
        <v>281854.39</v>
      </c>
    </row>
    <row r="3275" spans="1:7">
      <c r="A3275" t="s">
        <v>3370</v>
      </c>
      <c r="B3275" s="6">
        <v>45823</v>
      </c>
      <c r="C3275" s="6" t="str">
        <f>TEXT(Table3[[#This Row],[transaction_date]], "yyyy-mm")</f>
        <v>2025-06</v>
      </c>
      <c r="D3275" t="s">
        <v>77</v>
      </c>
      <c r="E3275" t="s">
        <v>3637</v>
      </c>
      <c r="F3275" t="s">
        <v>3622</v>
      </c>
      <c r="G3275" s="1">
        <v>3902759.57</v>
      </c>
    </row>
    <row r="3276" spans="1:7">
      <c r="A3276" t="s">
        <v>3371</v>
      </c>
      <c r="B3276" s="6">
        <v>45993</v>
      </c>
      <c r="C3276" s="6" t="str">
        <f>TEXT(Table3[[#This Row],[transaction_date]], "yyyy-mm")</f>
        <v>2025-12</v>
      </c>
      <c r="D3276" t="s">
        <v>73</v>
      </c>
      <c r="E3276" t="s">
        <v>3637</v>
      </c>
      <c r="F3276" t="s">
        <v>3622</v>
      </c>
      <c r="G3276" s="1">
        <v>77735.59</v>
      </c>
    </row>
    <row r="3277" spans="1:7">
      <c r="A3277" t="s">
        <v>3372</v>
      </c>
      <c r="B3277" s="6">
        <v>46017</v>
      </c>
      <c r="C3277" s="6" t="str">
        <f>TEXT(Table3[[#This Row],[transaction_date]], "yyyy-mm")</f>
        <v>2025-12</v>
      </c>
      <c r="D3277" t="s">
        <v>74</v>
      </c>
      <c r="E3277" t="s">
        <v>3637</v>
      </c>
      <c r="F3277" t="s">
        <v>3620</v>
      </c>
      <c r="G3277" s="1">
        <v>1386562.79</v>
      </c>
    </row>
    <row r="3278" spans="1:7">
      <c r="A3278" t="s">
        <v>3373</v>
      </c>
      <c r="B3278" s="6">
        <v>45691</v>
      </c>
      <c r="C3278" s="6" t="str">
        <f>TEXT(Table3[[#This Row],[transaction_date]], "yyyy-mm")</f>
        <v>2025-02</v>
      </c>
      <c r="D3278" t="s">
        <v>78</v>
      </c>
      <c r="E3278" t="s">
        <v>3637</v>
      </c>
      <c r="F3278" t="s">
        <v>3620</v>
      </c>
      <c r="G3278" s="1">
        <v>204819.99</v>
      </c>
    </row>
    <row r="3279" spans="1:7">
      <c r="A3279" t="s">
        <v>3374</v>
      </c>
      <c r="B3279" s="6">
        <v>45704</v>
      </c>
      <c r="C3279" s="6" t="str">
        <f>TEXT(Table3[[#This Row],[transaction_date]], "yyyy-mm")</f>
        <v>2025-02</v>
      </c>
      <c r="D3279" t="s">
        <v>78</v>
      </c>
      <c r="E3279" t="s">
        <v>3636</v>
      </c>
      <c r="F3279" t="s">
        <v>3608</v>
      </c>
      <c r="G3279" s="1">
        <v>2813492.93</v>
      </c>
    </row>
    <row r="3280" spans="1:7">
      <c r="A3280" t="s">
        <v>3375</v>
      </c>
      <c r="B3280" s="6">
        <v>45962</v>
      </c>
      <c r="C3280" s="6" t="str">
        <f>TEXT(Table3[[#This Row],[transaction_date]], "yyyy-mm")</f>
        <v>2025-11</v>
      </c>
      <c r="D3280" t="s">
        <v>85</v>
      </c>
      <c r="E3280" t="s">
        <v>3636</v>
      </c>
      <c r="F3280" t="s">
        <v>3606</v>
      </c>
      <c r="G3280" s="1">
        <v>233511.74</v>
      </c>
    </row>
    <row r="3281" spans="1:7">
      <c r="A3281" t="s">
        <v>3376</v>
      </c>
      <c r="B3281" s="6">
        <v>45735</v>
      </c>
      <c r="C3281" s="6" t="str">
        <f>TEXT(Table3[[#This Row],[transaction_date]], "yyyy-mm")</f>
        <v>2025-03</v>
      </c>
      <c r="D3281" t="s">
        <v>84</v>
      </c>
      <c r="E3281" t="s">
        <v>3636</v>
      </c>
      <c r="F3281" t="s">
        <v>3613</v>
      </c>
      <c r="G3281" s="1">
        <v>13843812.130000001</v>
      </c>
    </row>
    <row r="3282" spans="1:7">
      <c r="A3282" t="s">
        <v>3377</v>
      </c>
      <c r="B3282" s="6">
        <v>45691</v>
      </c>
      <c r="C3282" s="6" t="str">
        <f>TEXT(Table3[[#This Row],[transaction_date]], "yyyy-mm")</f>
        <v>2025-02</v>
      </c>
      <c r="D3282" t="s">
        <v>90</v>
      </c>
      <c r="E3282" t="s">
        <v>3636</v>
      </c>
      <c r="F3282" t="s">
        <v>3609</v>
      </c>
      <c r="G3282" s="1">
        <v>7053642.5300000003</v>
      </c>
    </row>
    <row r="3283" spans="1:7">
      <c r="A3283" t="s">
        <v>3378</v>
      </c>
      <c r="B3283" s="6">
        <v>45783</v>
      </c>
      <c r="C3283" s="6" t="str">
        <f>TEXT(Table3[[#This Row],[transaction_date]], "yyyy-mm")</f>
        <v>2025-05</v>
      </c>
      <c r="D3283" t="s">
        <v>79</v>
      </c>
      <c r="E3283" t="s">
        <v>3636</v>
      </c>
      <c r="F3283" t="s">
        <v>3607</v>
      </c>
      <c r="G3283" s="1">
        <v>4251675.04</v>
      </c>
    </row>
    <row r="3284" spans="1:7">
      <c r="A3284" t="s">
        <v>3379</v>
      </c>
      <c r="B3284" s="6">
        <v>45721</v>
      </c>
      <c r="C3284" s="6" t="str">
        <f>TEXT(Table3[[#This Row],[transaction_date]], "yyyy-mm")</f>
        <v>2025-03</v>
      </c>
      <c r="D3284" t="s">
        <v>76</v>
      </c>
      <c r="E3284" t="s">
        <v>3637</v>
      </c>
      <c r="F3284" t="s">
        <v>3621</v>
      </c>
      <c r="G3284" s="1">
        <v>2691084.44</v>
      </c>
    </row>
    <row r="3285" spans="1:7">
      <c r="A3285" t="s">
        <v>3380</v>
      </c>
      <c r="B3285" s="6">
        <v>45878</v>
      </c>
      <c r="C3285" s="6" t="str">
        <f>TEXT(Table3[[#This Row],[transaction_date]], "yyyy-mm")</f>
        <v>2025-08</v>
      </c>
      <c r="D3285" t="s">
        <v>84</v>
      </c>
      <c r="E3285" t="s">
        <v>3637</v>
      </c>
      <c r="F3285" t="s">
        <v>3615</v>
      </c>
      <c r="G3285" s="1">
        <v>9785578.1999999993</v>
      </c>
    </row>
    <row r="3286" spans="1:7">
      <c r="A3286" t="s">
        <v>3381</v>
      </c>
      <c r="B3286" s="6">
        <v>45863</v>
      </c>
      <c r="C3286" s="6" t="str">
        <f>TEXT(Table3[[#This Row],[transaction_date]], "yyyy-mm")</f>
        <v>2025-07</v>
      </c>
      <c r="D3286" t="s">
        <v>89</v>
      </c>
      <c r="E3286" t="s">
        <v>3636</v>
      </c>
      <c r="F3286" t="s">
        <v>3612</v>
      </c>
      <c r="G3286" s="1">
        <v>167912.84</v>
      </c>
    </row>
    <row r="3287" spans="1:7">
      <c r="A3287" t="s">
        <v>3382</v>
      </c>
      <c r="B3287" s="6">
        <v>45777</v>
      </c>
      <c r="C3287" s="6" t="str">
        <f>TEXT(Table3[[#This Row],[transaction_date]], "yyyy-mm")</f>
        <v>2025-04</v>
      </c>
      <c r="D3287" t="s">
        <v>80</v>
      </c>
      <c r="E3287" t="s">
        <v>3636</v>
      </c>
      <c r="F3287" t="s">
        <v>3605</v>
      </c>
      <c r="G3287" s="1">
        <v>1537262.1</v>
      </c>
    </row>
    <row r="3288" spans="1:7">
      <c r="A3288" t="s">
        <v>3383</v>
      </c>
      <c r="B3288" s="6">
        <v>45834</v>
      </c>
      <c r="C3288" s="6" t="str">
        <f>TEXT(Table3[[#This Row],[transaction_date]], "yyyy-mm")</f>
        <v>2025-06</v>
      </c>
      <c r="D3288" t="s">
        <v>73</v>
      </c>
      <c r="E3288" t="s">
        <v>3637</v>
      </c>
      <c r="F3288" t="s">
        <v>3621</v>
      </c>
      <c r="G3288" s="1">
        <v>232051.34</v>
      </c>
    </row>
    <row r="3289" spans="1:7">
      <c r="A3289" t="s">
        <v>3384</v>
      </c>
      <c r="B3289" s="6">
        <v>45678</v>
      </c>
      <c r="C3289" s="6" t="str">
        <f>TEXT(Table3[[#This Row],[transaction_date]], "yyyy-mm")</f>
        <v>2025-01</v>
      </c>
      <c r="D3289" t="s">
        <v>74</v>
      </c>
      <c r="E3289" t="s">
        <v>3636</v>
      </c>
      <c r="F3289" t="s">
        <v>3605</v>
      </c>
      <c r="G3289" s="1">
        <v>97364.31</v>
      </c>
    </row>
    <row r="3290" spans="1:7">
      <c r="A3290" t="s">
        <v>3385</v>
      </c>
      <c r="B3290" s="6">
        <v>45680</v>
      </c>
      <c r="C3290" s="6" t="str">
        <f>TEXT(Table3[[#This Row],[transaction_date]], "yyyy-mm")</f>
        <v>2025-01</v>
      </c>
      <c r="D3290" t="s">
        <v>75</v>
      </c>
      <c r="E3290" t="s">
        <v>3636</v>
      </c>
      <c r="F3290" t="s">
        <v>3604</v>
      </c>
      <c r="G3290" s="1">
        <v>3004141.11</v>
      </c>
    </row>
    <row r="3291" spans="1:7">
      <c r="A3291" t="s">
        <v>3386</v>
      </c>
      <c r="B3291" s="6">
        <v>45742</v>
      </c>
      <c r="C3291" s="6" t="str">
        <f>TEXT(Table3[[#This Row],[transaction_date]], "yyyy-mm")</f>
        <v>2025-03</v>
      </c>
      <c r="D3291" t="s">
        <v>73</v>
      </c>
      <c r="E3291" t="s">
        <v>3636</v>
      </c>
      <c r="F3291" t="s">
        <v>3610</v>
      </c>
      <c r="G3291" s="1">
        <v>4947094.8899999997</v>
      </c>
    </row>
    <row r="3292" spans="1:7">
      <c r="A3292" t="s">
        <v>3387</v>
      </c>
      <c r="B3292" s="6">
        <v>45819</v>
      </c>
      <c r="C3292" s="6" t="str">
        <f>TEXT(Table3[[#This Row],[transaction_date]], "yyyy-mm")</f>
        <v>2025-06</v>
      </c>
      <c r="D3292" t="s">
        <v>80</v>
      </c>
      <c r="E3292" t="s">
        <v>3637</v>
      </c>
      <c r="F3292" t="s">
        <v>3618</v>
      </c>
      <c r="G3292" s="1">
        <v>2869341.4</v>
      </c>
    </row>
    <row r="3293" spans="1:7">
      <c r="A3293" t="s">
        <v>3388</v>
      </c>
      <c r="B3293" s="6">
        <v>45837</v>
      </c>
      <c r="C3293" s="6" t="str">
        <f>TEXT(Table3[[#This Row],[transaction_date]], "yyyy-mm")</f>
        <v>2025-06</v>
      </c>
      <c r="D3293" t="s">
        <v>3597</v>
      </c>
      <c r="E3293" t="s">
        <v>3637</v>
      </c>
      <c r="F3293" t="s">
        <v>3621</v>
      </c>
      <c r="G3293" s="1">
        <v>1394730.35</v>
      </c>
    </row>
    <row r="3294" spans="1:7">
      <c r="A3294" t="s">
        <v>3389</v>
      </c>
      <c r="B3294" s="6">
        <v>45870</v>
      </c>
      <c r="C3294" s="6" t="str">
        <f>TEXT(Table3[[#This Row],[transaction_date]], "yyyy-mm")</f>
        <v>2025-08</v>
      </c>
      <c r="D3294" t="s">
        <v>85</v>
      </c>
      <c r="E3294" t="s">
        <v>3637</v>
      </c>
      <c r="F3294" t="s">
        <v>3623</v>
      </c>
      <c r="G3294" s="1">
        <v>147742.42000000001</v>
      </c>
    </row>
    <row r="3295" spans="1:7">
      <c r="A3295" t="s">
        <v>3390</v>
      </c>
      <c r="B3295" s="6">
        <v>45971</v>
      </c>
      <c r="C3295" s="6" t="str">
        <f>TEXT(Table3[[#This Row],[transaction_date]], "yyyy-mm")</f>
        <v>2025-11</v>
      </c>
      <c r="D3295" t="s">
        <v>74</v>
      </c>
      <c r="E3295" t="s">
        <v>3636</v>
      </c>
      <c r="F3295" t="s">
        <v>3611</v>
      </c>
      <c r="G3295" s="1">
        <v>683893.19</v>
      </c>
    </row>
    <row r="3296" spans="1:7">
      <c r="A3296" t="s">
        <v>3391</v>
      </c>
      <c r="B3296" s="6">
        <v>45761</v>
      </c>
      <c r="C3296" s="6" t="str">
        <f>TEXT(Table3[[#This Row],[transaction_date]], "yyyy-mm")</f>
        <v>2025-04</v>
      </c>
      <c r="D3296" t="s">
        <v>84</v>
      </c>
      <c r="E3296" t="s">
        <v>3636</v>
      </c>
      <c r="F3296" t="s">
        <v>3606</v>
      </c>
      <c r="G3296" s="1">
        <v>6274323.29</v>
      </c>
    </row>
    <row r="3297" spans="1:7">
      <c r="A3297" t="s">
        <v>3392</v>
      </c>
      <c r="B3297" s="6">
        <v>45946</v>
      </c>
      <c r="C3297" s="6" t="str">
        <f>TEXT(Table3[[#This Row],[transaction_date]], "yyyy-mm")</f>
        <v>2025-10</v>
      </c>
      <c r="D3297" t="s">
        <v>76</v>
      </c>
      <c r="E3297" t="s">
        <v>3637</v>
      </c>
      <c r="F3297" t="s">
        <v>3617</v>
      </c>
      <c r="G3297" s="1">
        <v>302519.96999999997</v>
      </c>
    </row>
    <row r="3298" spans="1:7">
      <c r="A3298" t="s">
        <v>3393</v>
      </c>
      <c r="B3298" s="6">
        <v>45709</v>
      </c>
      <c r="C3298" s="6" t="str">
        <f>TEXT(Table3[[#This Row],[transaction_date]], "yyyy-mm")</f>
        <v>2025-02</v>
      </c>
      <c r="D3298" t="s">
        <v>75</v>
      </c>
      <c r="E3298" t="s">
        <v>3636</v>
      </c>
      <c r="F3298" t="s">
        <v>3608</v>
      </c>
      <c r="G3298" s="1">
        <v>3339892.46</v>
      </c>
    </row>
    <row r="3299" spans="1:7">
      <c r="A3299" t="s">
        <v>3394</v>
      </c>
      <c r="B3299" s="6">
        <v>45697</v>
      </c>
      <c r="C3299" s="6" t="str">
        <f>TEXT(Table3[[#This Row],[transaction_date]], "yyyy-mm")</f>
        <v>2025-02</v>
      </c>
      <c r="D3299" t="s">
        <v>76</v>
      </c>
      <c r="E3299" t="s">
        <v>3637</v>
      </c>
      <c r="F3299" t="s">
        <v>3621</v>
      </c>
      <c r="G3299" s="1">
        <v>1570428.32</v>
      </c>
    </row>
    <row r="3300" spans="1:7">
      <c r="A3300" t="s">
        <v>3395</v>
      </c>
      <c r="B3300" s="6">
        <v>45801</v>
      </c>
      <c r="C3300" s="6" t="str">
        <f>TEXT(Table3[[#This Row],[transaction_date]], "yyyy-mm")</f>
        <v>2025-05</v>
      </c>
      <c r="D3300" t="s">
        <v>3597</v>
      </c>
      <c r="E3300" t="s">
        <v>3637</v>
      </c>
      <c r="F3300" t="s">
        <v>3620</v>
      </c>
      <c r="G3300" s="1">
        <v>1404813.1</v>
      </c>
    </row>
    <row r="3301" spans="1:7">
      <c r="A3301" t="s">
        <v>3396</v>
      </c>
      <c r="B3301" s="6">
        <v>45675</v>
      </c>
      <c r="C3301" s="6" t="str">
        <f>TEXT(Table3[[#This Row],[transaction_date]], "yyyy-mm")</f>
        <v>2025-01</v>
      </c>
      <c r="D3301" t="s">
        <v>89</v>
      </c>
      <c r="E3301" t="s">
        <v>3636</v>
      </c>
      <c r="F3301" t="s">
        <v>3611</v>
      </c>
      <c r="G3301" s="1">
        <v>421470.51</v>
      </c>
    </row>
    <row r="3302" spans="1:7">
      <c r="A3302" t="s">
        <v>3397</v>
      </c>
      <c r="B3302" s="6">
        <v>45765</v>
      </c>
      <c r="C3302" s="6" t="str">
        <f>TEXT(Table3[[#This Row],[transaction_date]], "yyyy-mm")</f>
        <v>2025-04</v>
      </c>
      <c r="D3302" t="s">
        <v>78</v>
      </c>
      <c r="E3302" t="s">
        <v>3636</v>
      </c>
      <c r="F3302" t="s">
        <v>3609</v>
      </c>
      <c r="G3302" s="1">
        <v>1018122.71</v>
      </c>
    </row>
    <row r="3303" spans="1:7">
      <c r="A3303" t="s">
        <v>3398</v>
      </c>
      <c r="B3303" s="6">
        <v>45901</v>
      </c>
      <c r="C3303" s="6" t="str">
        <f>TEXT(Table3[[#This Row],[transaction_date]], "yyyy-mm")</f>
        <v>2025-09</v>
      </c>
      <c r="D3303" t="s">
        <v>75</v>
      </c>
      <c r="E3303" t="s">
        <v>3637</v>
      </c>
      <c r="F3303" t="s">
        <v>3614</v>
      </c>
      <c r="G3303" s="1">
        <v>6058327.2400000002</v>
      </c>
    </row>
    <row r="3304" spans="1:7">
      <c r="A3304" t="s">
        <v>3399</v>
      </c>
      <c r="B3304" s="6">
        <v>45904</v>
      </c>
      <c r="C3304" s="6" t="str">
        <f>TEXT(Table3[[#This Row],[transaction_date]], "yyyy-mm")</f>
        <v>2025-09</v>
      </c>
      <c r="D3304" t="s">
        <v>73</v>
      </c>
      <c r="E3304" t="s">
        <v>3637</v>
      </c>
      <c r="F3304" t="s">
        <v>3623</v>
      </c>
      <c r="G3304" s="1">
        <v>638858.69999999995</v>
      </c>
    </row>
    <row r="3305" spans="1:7">
      <c r="A3305" t="s">
        <v>3400</v>
      </c>
      <c r="B3305" s="6">
        <v>45832</v>
      </c>
      <c r="C3305" s="6" t="str">
        <f>TEXT(Table3[[#This Row],[transaction_date]], "yyyy-mm")</f>
        <v>2025-06</v>
      </c>
      <c r="D3305" t="s">
        <v>73</v>
      </c>
      <c r="E3305" t="s">
        <v>3637</v>
      </c>
      <c r="F3305" t="s">
        <v>3618</v>
      </c>
      <c r="G3305" s="1">
        <v>5709022.04</v>
      </c>
    </row>
    <row r="3306" spans="1:7">
      <c r="A3306" t="s">
        <v>3401</v>
      </c>
      <c r="B3306" s="6">
        <v>45870</v>
      </c>
      <c r="C3306" s="6" t="str">
        <f>TEXT(Table3[[#This Row],[transaction_date]], "yyyy-mm")</f>
        <v>2025-08</v>
      </c>
      <c r="D3306" t="s">
        <v>79</v>
      </c>
      <c r="E3306" t="s">
        <v>3637</v>
      </c>
      <c r="F3306" t="s">
        <v>3618</v>
      </c>
      <c r="G3306" s="1">
        <v>3497731.69</v>
      </c>
    </row>
    <row r="3307" spans="1:7">
      <c r="A3307" t="s">
        <v>3402</v>
      </c>
      <c r="B3307" s="6">
        <v>45828</v>
      </c>
      <c r="C3307" s="6" t="str">
        <f>TEXT(Table3[[#This Row],[transaction_date]], "yyyy-mm")</f>
        <v>2025-06</v>
      </c>
      <c r="D3307" t="s">
        <v>89</v>
      </c>
      <c r="E3307" t="s">
        <v>3636</v>
      </c>
      <c r="F3307" t="s">
        <v>3613</v>
      </c>
      <c r="G3307" s="1">
        <v>688503.84</v>
      </c>
    </row>
    <row r="3308" spans="1:7">
      <c r="A3308" t="s">
        <v>3403</v>
      </c>
      <c r="B3308" s="6">
        <v>45662</v>
      </c>
      <c r="C3308" s="6" t="str">
        <f>TEXT(Table3[[#This Row],[transaction_date]], "yyyy-mm")</f>
        <v>2025-01</v>
      </c>
      <c r="D3308" t="s">
        <v>3597</v>
      </c>
      <c r="E3308" t="s">
        <v>3637</v>
      </c>
      <c r="F3308" t="s">
        <v>3620</v>
      </c>
      <c r="G3308" s="1">
        <v>10728634.4</v>
      </c>
    </row>
    <row r="3309" spans="1:7">
      <c r="A3309" t="s">
        <v>3404</v>
      </c>
      <c r="B3309" s="6">
        <v>45763</v>
      </c>
      <c r="C3309" s="6" t="str">
        <f>TEXT(Table3[[#This Row],[transaction_date]], "yyyy-mm")</f>
        <v>2025-04</v>
      </c>
      <c r="D3309" t="s">
        <v>75</v>
      </c>
      <c r="E3309" t="s">
        <v>3637</v>
      </c>
      <c r="F3309" t="s">
        <v>3615</v>
      </c>
      <c r="G3309" s="1">
        <v>18654846.710000001</v>
      </c>
    </row>
    <row r="3310" spans="1:7">
      <c r="A3310" t="s">
        <v>3405</v>
      </c>
      <c r="B3310" s="6">
        <v>45956</v>
      </c>
      <c r="C3310" s="6" t="str">
        <f>TEXT(Table3[[#This Row],[transaction_date]], "yyyy-mm")</f>
        <v>2025-10</v>
      </c>
      <c r="D3310" t="s">
        <v>79</v>
      </c>
      <c r="E3310" t="s">
        <v>3636</v>
      </c>
      <c r="F3310" t="s">
        <v>3604</v>
      </c>
      <c r="G3310" s="1">
        <v>2960603.76</v>
      </c>
    </row>
    <row r="3311" spans="1:7">
      <c r="A3311" t="s">
        <v>3406</v>
      </c>
      <c r="B3311" s="6">
        <v>45680</v>
      </c>
      <c r="C3311" s="6" t="str">
        <f>TEXT(Table3[[#This Row],[transaction_date]], "yyyy-mm")</f>
        <v>2025-01</v>
      </c>
      <c r="D3311" t="s">
        <v>90</v>
      </c>
      <c r="E3311" t="s">
        <v>3637</v>
      </c>
      <c r="F3311" t="s">
        <v>3619</v>
      </c>
      <c r="G3311" s="1">
        <v>10375734.34</v>
      </c>
    </row>
    <row r="3312" spans="1:7">
      <c r="A3312" t="s">
        <v>3407</v>
      </c>
      <c r="B3312" s="6">
        <v>45735</v>
      </c>
      <c r="C3312" s="6" t="str">
        <f>TEXT(Table3[[#This Row],[transaction_date]], "yyyy-mm")</f>
        <v>2025-03</v>
      </c>
      <c r="D3312" t="s">
        <v>75</v>
      </c>
      <c r="E3312" t="s">
        <v>3636</v>
      </c>
      <c r="F3312" t="s">
        <v>3605</v>
      </c>
      <c r="G3312" s="1">
        <v>549061.21</v>
      </c>
    </row>
    <row r="3313" spans="1:7">
      <c r="A3313" t="s">
        <v>3408</v>
      </c>
      <c r="B3313" s="6">
        <v>45719</v>
      </c>
      <c r="C3313" s="6" t="str">
        <f>TEXT(Table3[[#This Row],[transaction_date]], "yyyy-mm")</f>
        <v>2025-03</v>
      </c>
      <c r="D3313" t="s">
        <v>95</v>
      </c>
      <c r="E3313" t="s">
        <v>3637</v>
      </c>
      <c r="F3313" t="s">
        <v>3616</v>
      </c>
      <c r="G3313" s="1">
        <v>14967519.720000001</v>
      </c>
    </row>
    <row r="3314" spans="1:7">
      <c r="A3314" t="s">
        <v>3409</v>
      </c>
      <c r="B3314" s="6">
        <v>45677</v>
      </c>
      <c r="C3314" s="6" t="str">
        <f>TEXT(Table3[[#This Row],[transaction_date]], "yyyy-mm")</f>
        <v>2025-01</v>
      </c>
      <c r="D3314" t="s">
        <v>85</v>
      </c>
      <c r="E3314" t="s">
        <v>3636</v>
      </c>
      <c r="F3314" t="s">
        <v>3607</v>
      </c>
      <c r="G3314" s="1">
        <v>2958324.46</v>
      </c>
    </row>
    <row r="3315" spans="1:7">
      <c r="A3315" t="s">
        <v>3410</v>
      </c>
      <c r="B3315" s="6">
        <v>45770</v>
      </c>
      <c r="C3315" s="6" t="str">
        <f>TEXT(Table3[[#This Row],[transaction_date]], "yyyy-mm")</f>
        <v>2025-04</v>
      </c>
      <c r="D3315" t="s">
        <v>80</v>
      </c>
      <c r="E3315" t="s">
        <v>3637</v>
      </c>
      <c r="F3315" t="s">
        <v>3622</v>
      </c>
      <c r="G3315" s="1">
        <v>465021.93</v>
      </c>
    </row>
    <row r="3316" spans="1:7">
      <c r="A3316" t="s">
        <v>3411</v>
      </c>
      <c r="B3316" s="6">
        <v>45868</v>
      </c>
      <c r="C3316" s="6" t="str">
        <f>TEXT(Table3[[#This Row],[transaction_date]], "yyyy-mm")</f>
        <v>2025-07</v>
      </c>
      <c r="D3316" t="s">
        <v>79</v>
      </c>
      <c r="E3316" t="s">
        <v>3637</v>
      </c>
      <c r="F3316" t="s">
        <v>3618</v>
      </c>
      <c r="G3316" s="1">
        <v>695419.64</v>
      </c>
    </row>
    <row r="3317" spans="1:7">
      <c r="A3317" t="s">
        <v>3412</v>
      </c>
      <c r="B3317" s="6">
        <v>45823</v>
      </c>
      <c r="C3317" s="6" t="str">
        <f>TEXT(Table3[[#This Row],[transaction_date]], "yyyy-mm")</f>
        <v>2025-06</v>
      </c>
      <c r="D3317" t="s">
        <v>84</v>
      </c>
      <c r="E3317" t="s">
        <v>3637</v>
      </c>
      <c r="F3317" t="s">
        <v>3616</v>
      </c>
      <c r="G3317" s="1">
        <v>16208283.18</v>
      </c>
    </row>
    <row r="3318" spans="1:7">
      <c r="A3318" t="s">
        <v>3413</v>
      </c>
      <c r="B3318" s="6">
        <v>45914</v>
      </c>
      <c r="C3318" s="6" t="str">
        <f>TEXT(Table3[[#This Row],[transaction_date]], "yyyy-mm")</f>
        <v>2025-09</v>
      </c>
      <c r="D3318" t="s">
        <v>93</v>
      </c>
      <c r="E3318" t="s">
        <v>3637</v>
      </c>
      <c r="F3318" t="s">
        <v>3621</v>
      </c>
      <c r="G3318" s="1">
        <v>11306510.189999999</v>
      </c>
    </row>
    <row r="3319" spans="1:7">
      <c r="A3319" t="s">
        <v>3414</v>
      </c>
      <c r="B3319" s="6">
        <v>45887</v>
      </c>
      <c r="C3319" s="6" t="str">
        <f>TEXT(Table3[[#This Row],[transaction_date]], "yyyy-mm")</f>
        <v>2025-08</v>
      </c>
      <c r="D3319" t="s">
        <v>79</v>
      </c>
      <c r="E3319" t="s">
        <v>3636</v>
      </c>
      <c r="F3319" t="s">
        <v>3613</v>
      </c>
      <c r="G3319" s="1">
        <v>122064.26</v>
      </c>
    </row>
    <row r="3320" spans="1:7">
      <c r="A3320" t="s">
        <v>3415</v>
      </c>
      <c r="B3320" s="6">
        <v>45981</v>
      </c>
      <c r="C3320" s="6" t="str">
        <f>TEXT(Table3[[#This Row],[transaction_date]], "yyyy-mm")</f>
        <v>2025-11</v>
      </c>
      <c r="D3320" t="s">
        <v>93</v>
      </c>
      <c r="E3320" t="s">
        <v>3636</v>
      </c>
      <c r="F3320" t="s">
        <v>3611</v>
      </c>
      <c r="G3320" s="1">
        <v>2055458.64</v>
      </c>
    </row>
    <row r="3321" spans="1:7">
      <c r="A3321" t="s">
        <v>3416</v>
      </c>
      <c r="B3321" s="6">
        <v>45989</v>
      </c>
      <c r="C3321" s="6" t="str">
        <f>TEXT(Table3[[#This Row],[transaction_date]], "yyyy-mm")</f>
        <v>2025-11</v>
      </c>
      <c r="D3321" t="s">
        <v>74</v>
      </c>
      <c r="E3321" t="s">
        <v>3637</v>
      </c>
      <c r="F3321" t="s">
        <v>3619</v>
      </c>
      <c r="G3321" s="1">
        <v>1385139.29</v>
      </c>
    </row>
    <row r="3322" spans="1:7">
      <c r="A3322" t="s">
        <v>3417</v>
      </c>
      <c r="B3322" s="6">
        <v>45904</v>
      </c>
      <c r="C3322" s="6" t="str">
        <f>TEXT(Table3[[#This Row],[transaction_date]], "yyyy-mm")</f>
        <v>2025-09</v>
      </c>
      <c r="D3322" t="s">
        <v>80</v>
      </c>
      <c r="E3322" t="s">
        <v>3636</v>
      </c>
      <c r="F3322" t="s">
        <v>3610</v>
      </c>
      <c r="G3322" s="1">
        <v>793344.41</v>
      </c>
    </row>
    <row r="3323" spans="1:7">
      <c r="A3323" t="s">
        <v>3418</v>
      </c>
      <c r="B3323" s="6">
        <v>45966</v>
      </c>
      <c r="C3323" s="6" t="str">
        <f>TEXT(Table3[[#This Row],[transaction_date]], "yyyy-mm")</f>
        <v>2025-11</v>
      </c>
      <c r="D3323" t="s">
        <v>95</v>
      </c>
      <c r="E3323" t="s">
        <v>3636</v>
      </c>
      <c r="F3323" t="s">
        <v>3612</v>
      </c>
      <c r="G3323" s="1">
        <v>804550.27</v>
      </c>
    </row>
    <row r="3324" spans="1:7">
      <c r="A3324" t="s">
        <v>3419</v>
      </c>
      <c r="B3324" s="6">
        <v>45676</v>
      </c>
      <c r="C3324" s="6" t="str">
        <f>TEXT(Table3[[#This Row],[transaction_date]], "yyyy-mm")</f>
        <v>2025-01</v>
      </c>
      <c r="D3324" t="s">
        <v>79</v>
      </c>
      <c r="E3324" t="s">
        <v>3636</v>
      </c>
      <c r="F3324" t="s">
        <v>3611</v>
      </c>
      <c r="G3324" s="1">
        <v>2639292.41</v>
      </c>
    </row>
    <row r="3325" spans="1:7">
      <c r="A3325" t="s">
        <v>3420</v>
      </c>
      <c r="B3325" s="6">
        <v>45742</v>
      </c>
      <c r="C3325" s="6" t="str">
        <f>TEXT(Table3[[#This Row],[transaction_date]], "yyyy-mm")</f>
        <v>2025-03</v>
      </c>
      <c r="D3325" t="s">
        <v>79</v>
      </c>
      <c r="E3325" t="s">
        <v>3636</v>
      </c>
      <c r="F3325" t="s">
        <v>3606</v>
      </c>
      <c r="G3325" s="1">
        <v>6410362.25</v>
      </c>
    </row>
    <row r="3326" spans="1:7">
      <c r="A3326" t="s">
        <v>3421</v>
      </c>
      <c r="B3326" s="6">
        <v>45880</v>
      </c>
      <c r="C3326" s="6" t="str">
        <f>TEXT(Table3[[#This Row],[transaction_date]], "yyyy-mm")</f>
        <v>2025-08</v>
      </c>
      <c r="D3326" t="s">
        <v>95</v>
      </c>
      <c r="E3326" t="s">
        <v>3636</v>
      </c>
      <c r="F3326" t="s">
        <v>3606</v>
      </c>
      <c r="G3326" s="1">
        <v>11432298.92</v>
      </c>
    </row>
    <row r="3327" spans="1:7">
      <c r="A3327" t="s">
        <v>3422</v>
      </c>
      <c r="B3327" s="6">
        <v>45761</v>
      </c>
      <c r="C3327" s="6" t="str">
        <f>TEXT(Table3[[#This Row],[transaction_date]], "yyyy-mm")</f>
        <v>2025-04</v>
      </c>
      <c r="D3327" t="s">
        <v>73</v>
      </c>
      <c r="E3327" t="s">
        <v>3637</v>
      </c>
      <c r="F3327" t="s">
        <v>3616</v>
      </c>
      <c r="G3327" s="1">
        <v>10251934.18</v>
      </c>
    </row>
    <row r="3328" spans="1:7">
      <c r="A3328" t="s">
        <v>3423</v>
      </c>
      <c r="B3328" s="6">
        <v>45765</v>
      </c>
      <c r="C3328" s="6" t="str">
        <f>TEXT(Table3[[#This Row],[transaction_date]], "yyyy-mm")</f>
        <v>2025-04</v>
      </c>
      <c r="D3328" t="s">
        <v>82</v>
      </c>
      <c r="E3328" t="s">
        <v>3636</v>
      </c>
      <c r="F3328" t="s">
        <v>3606</v>
      </c>
      <c r="G3328" s="1">
        <v>2316052.39</v>
      </c>
    </row>
    <row r="3329" spans="1:7">
      <c r="A3329" t="s">
        <v>3424</v>
      </c>
      <c r="B3329" s="6">
        <v>45914</v>
      </c>
      <c r="C3329" s="6" t="str">
        <f>TEXT(Table3[[#This Row],[transaction_date]], "yyyy-mm")</f>
        <v>2025-09</v>
      </c>
      <c r="D3329" t="s">
        <v>76</v>
      </c>
      <c r="E3329" t="s">
        <v>3636</v>
      </c>
      <c r="F3329" t="s">
        <v>3611</v>
      </c>
      <c r="G3329" s="1">
        <v>3609165.99</v>
      </c>
    </row>
    <row r="3330" spans="1:7">
      <c r="A3330" t="s">
        <v>3425</v>
      </c>
      <c r="B3330" s="6">
        <v>45893</v>
      </c>
      <c r="C3330" s="6" t="str">
        <f>TEXT(Table3[[#This Row],[transaction_date]], "yyyy-mm")</f>
        <v>2025-08</v>
      </c>
      <c r="D3330" t="s">
        <v>82</v>
      </c>
      <c r="E3330" t="s">
        <v>3637</v>
      </c>
      <c r="F3330" t="s">
        <v>3618</v>
      </c>
      <c r="G3330" s="1">
        <v>18400393.41</v>
      </c>
    </row>
    <row r="3331" spans="1:7">
      <c r="A3331" t="s">
        <v>3426</v>
      </c>
      <c r="B3331" s="6">
        <v>45933</v>
      </c>
      <c r="C3331" s="6" t="str">
        <f>TEXT(Table3[[#This Row],[transaction_date]], "yyyy-mm")</f>
        <v>2025-10</v>
      </c>
      <c r="D3331" t="s">
        <v>77</v>
      </c>
      <c r="E3331" t="s">
        <v>3637</v>
      </c>
      <c r="F3331" t="s">
        <v>3618</v>
      </c>
      <c r="G3331" s="1">
        <v>3986442.19</v>
      </c>
    </row>
    <row r="3332" spans="1:7">
      <c r="A3332" t="s">
        <v>3427</v>
      </c>
      <c r="B3332" s="6">
        <v>45666</v>
      </c>
      <c r="C3332" s="6" t="str">
        <f>TEXT(Table3[[#This Row],[transaction_date]], "yyyy-mm")</f>
        <v>2025-01</v>
      </c>
      <c r="D3332" t="s">
        <v>76</v>
      </c>
      <c r="E3332" t="s">
        <v>3636</v>
      </c>
      <c r="F3332" t="s">
        <v>3609</v>
      </c>
      <c r="G3332" s="1">
        <v>16244380.949999999</v>
      </c>
    </row>
    <row r="3333" spans="1:7">
      <c r="A3333" t="s">
        <v>3428</v>
      </c>
      <c r="B3333" s="6">
        <v>45944</v>
      </c>
      <c r="C3333" s="6" t="str">
        <f>TEXT(Table3[[#This Row],[transaction_date]], "yyyy-mm")</f>
        <v>2025-10</v>
      </c>
      <c r="D3333" t="s">
        <v>82</v>
      </c>
      <c r="E3333" t="s">
        <v>3637</v>
      </c>
      <c r="F3333" t="s">
        <v>3616</v>
      </c>
      <c r="G3333" s="1">
        <v>3162241.57</v>
      </c>
    </row>
    <row r="3334" spans="1:7">
      <c r="A3334" t="s">
        <v>3429</v>
      </c>
      <c r="B3334" s="6">
        <v>45818</v>
      </c>
      <c r="C3334" s="6" t="str">
        <f>TEXT(Table3[[#This Row],[transaction_date]], "yyyy-mm")</f>
        <v>2025-06</v>
      </c>
      <c r="D3334" t="s">
        <v>76</v>
      </c>
      <c r="E3334" t="s">
        <v>3637</v>
      </c>
      <c r="F3334" t="s">
        <v>3618</v>
      </c>
      <c r="G3334" s="1">
        <v>11594428.689999999</v>
      </c>
    </row>
    <row r="3335" spans="1:7">
      <c r="A3335" t="s">
        <v>3430</v>
      </c>
      <c r="B3335" s="6">
        <v>45706</v>
      </c>
      <c r="C3335" s="6" t="str">
        <f>TEXT(Table3[[#This Row],[transaction_date]], "yyyy-mm")</f>
        <v>2025-02</v>
      </c>
      <c r="D3335" t="s">
        <v>84</v>
      </c>
      <c r="E3335" t="s">
        <v>3637</v>
      </c>
      <c r="F3335" t="s">
        <v>3620</v>
      </c>
      <c r="G3335" s="1">
        <v>16243412.539999999</v>
      </c>
    </row>
    <row r="3336" spans="1:7">
      <c r="A3336" t="s">
        <v>3431</v>
      </c>
      <c r="B3336" s="6">
        <v>45869</v>
      </c>
      <c r="C3336" s="6" t="str">
        <f>TEXT(Table3[[#This Row],[transaction_date]], "yyyy-mm")</f>
        <v>2025-07</v>
      </c>
      <c r="D3336" t="s">
        <v>90</v>
      </c>
      <c r="E3336" t="s">
        <v>3636</v>
      </c>
      <c r="F3336" t="s">
        <v>3612</v>
      </c>
      <c r="G3336" s="1">
        <v>2679007.7799999998</v>
      </c>
    </row>
    <row r="3337" spans="1:7">
      <c r="A3337" t="s">
        <v>3432</v>
      </c>
      <c r="B3337" s="6">
        <v>45809</v>
      </c>
      <c r="C3337" s="6" t="str">
        <f>TEXT(Table3[[#This Row],[transaction_date]], "yyyy-mm")</f>
        <v>2025-06</v>
      </c>
      <c r="D3337" t="s">
        <v>93</v>
      </c>
      <c r="E3337" t="s">
        <v>3637</v>
      </c>
      <c r="F3337" t="s">
        <v>3620</v>
      </c>
      <c r="G3337" s="1">
        <v>83646.63</v>
      </c>
    </row>
    <row r="3338" spans="1:7">
      <c r="A3338" t="s">
        <v>3433</v>
      </c>
      <c r="B3338" s="6">
        <v>45840</v>
      </c>
      <c r="C3338" s="6" t="str">
        <f>TEXT(Table3[[#This Row],[transaction_date]], "yyyy-mm")</f>
        <v>2025-07</v>
      </c>
      <c r="D3338" t="s">
        <v>74</v>
      </c>
      <c r="E3338" t="s">
        <v>3636</v>
      </c>
      <c r="F3338" t="s">
        <v>3611</v>
      </c>
      <c r="G3338" s="1">
        <v>1268293.98</v>
      </c>
    </row>
    <row r="3339" spans="1:7">
      <c r="A3339" t="s">
        <v>3434</v>
      </c>
      <c r="B3339" s="6">
        <v>46022</v>
      </c>
      <c r="C3339" s="6" t="str">
        <f>TEXT(Table3[[#This Row],[transaction_date]], "yyyy-mm")</f>
        <v>2025-12</v>
      </c>
      <c r="D3339" t="s">
        <v>79</v>
      </c>
      <c r="E3339" t="s">
        <v>3637</v>
      </c>
      <c r="F3339" t="s">
        <v>3618</v>
      </c>
      <c r="G3339" s="1">
        <v>1192586.5</v>
      </c>
    </row>
    <row r="3340" spans="1:7">
      <c r="A3340" t="s">
        <v>3435</v>
      </c>
      <c r="B3340" s="6">
        <v>45745</v>
      </c>
      <c r="C3340" s="6" t="str">
        <f>TEXT(Table3[[#This Row],[transaction_date]], "yyyy-mm")</f>
        <v>2025-03</v>
      </c>
      <c r="D3340" t="s">
        <v>90</v>
      </c>
      <c r="E3340" t="s">
        <v>3637</v>
      </c>
      <c r="F3340" t="s">
        <v>3621</v>
      </c>
      <c r="G3340" s="1">
        <v>20262685.710000001</v>
      </c>
    </row>
    <row r="3341" spans="1:7">
      <c r="A3341" t="s">
        <v>3436</v>
      </c>
      <c r="B3341" s="6">
        <v>45748</v>
      </c>
      <c r="C3341" s="6" t="str">
        <f>TEXT(Table3[[#This Row],[transaction_date]], "yyyy-mm")</f>
        <v>2025-04</v>
      </c>
      <c r="D3341" t="s">
        <v>85</v>
      </c>
      <c r="E3341" t="s">
        <v>3636</v>
      </c>
      <c r="F3341" t="s">
        <v>3611</v>
      </c>
      <c r="G3341" s="1">
        <v>1414525.32</v>
      </c>
    </row>
    <row r="3342" spans="1:7">
      <c r="A3342" t="s">
        <v>3437</v>
      </c>
      <c r="B3342" s="6">
        <v>45990</v>
      </c>
      <c r="C3342" s="6" t="str">
        <f>TEXT(Table3[[#This Row],[transaction_date]], "yyyy-mm")</f>
        <v>2025-11</v>
      </c>
      <c r="D3342" t="s">
        <v>74</v>
      </c>
      <c r="E3342" t="s">
        <v>3636</v>
      </c>
      <c r="F3342" t="s">
        <v>3606</v>
      </c>
      <c r="G3342" s="1">
        <v>758475.06</v>
      </c>
    </row>
    <row r="3343" spans="1:7">
      <c r="A3343" t="s">
        <v>3438</v>
      </c>
      <c r="B3343" s="6">
        <v>45979</v>
      </c>
      <c r="C3343" s="6" t="str">
        <f>TEXT(Table3[[#This Row],[transaction_date]], "yyyy-mm")</f>
        <v>2025-11</v>
      </c>
      <c r="D3343" t="s">
        <v>79</v>
      </c>
      <c r="E3343" t="s">
        <v>3636</v>
      </c>
      <c r="F3343" t="s">
        <v>3611</v>
      </c>
      <c r="G3343" s="1">
        <v>2351011.2799999998</v>
      </c>
    </row>
    <row r="3344" spans="1:7">
      <c r="A3344" t="s">
        <v>3439</v>
      </c>
      <c r="B3344" s="6">
        <v>45830</v>
      </c>
      <c r="C3344" s="6" t="str">
        <f>TEXT(Table3[[#This Row],[transaction_date]], "yyyy-mm")</f>
        <v>2025-06</v>
      </c>
      <c r="D3344" t="s">
        <v>80</v>
      </c>
      <c r="E3344" t="s">
        <v>3636</v>
      </c>
      <c r="F3344" t="s">
        <v>3607</v>
      </c>
      <c r="G3344" s="1">
        <v>2319338.6800000002</v>
      </c>
    </row>
    <row r="3345" spans="1:7">
      <c r="A3345" t="s">
        <v>3440</v>
      </c>
      <c r="B3345" s="6">
        <v>45809</v>
      </c>
      <c r="C3345" s="6" t="str">
        <f>TEXT(Table3[[#This Row],[transaction_date]], "yyyy-mm")</f>
        <v>2025-06</v>
      </c>
      <c r="D3345" t="s">
        <v>74</v>
      </c>
      <c r="E3345" t="s">
        <v>3637</v>
      </c>
      <c r="F3345" t="s">
        <v>3618</v>
      </c>
      <c r="G3345" s="1">
        <v>181671.8</v>
      </c>
    </row>
    <row r="3346" spans="1:7">
      <c r="A3346" t="s">
        <v>3441</v>
      </c>
      <c r="B3346" s="6">
        <v>45682</v>
      </c>
      <c r="C3346" s="6" t="str">
        <f>TEXT(Table3[[#This Row],[transaction_date]], "yyyy-mm")</f>
        <v>2025-01</v>
      </c>
      <c r="D3346" t="s">
        <v>73</v>
      </c>
      <c r="E3346" t="s">
        <v>3637</v>
      </c>
      <c r="F3346" t="s">
        <v>3616</v>
      </c>
      <c r="G3346" s="1">
        <v>12075809.449999999</v>
      </c>
    </row>
    <row r="3347" spans="1:7">
      <c r="A3347" t="s">
        <v>3442</v>
      </c>
      <c r="B3347" s="6">
        <v>45888</v>
      </c>
      <c r="C3347" s="6" t="str">
        <f>TEXT(Table3[[#This Row],[transaction_date]], "yyyy-mm")</f>
        <v>2025-08</v>
      </c>
      <c r="D3347" t="s">
        <v>84</v>
      </c>
      <c r="E3347" t="s">
        <v>3636</v>
      </c>
      <c r="F3347" t="s">
        <v>3613</v>
      </c>
      <c r="G3347" s="1">
        <v>22390829.829999998</v>
      </c>
    </row>
    <row r="3348" spans="1:7">
      <c r="A3348" t="s">
        <v>3443</v>
      </c>
      <c r="B3348" s="6">
        <v>45938</v>
      </c>
      <c r="C3348" s="6" t="str">
        <f>TEXT(Table3[[#This Row],[transaction_date]], "yyyy-mm")</f>
        <v>2025-10</v>
      </c>
      <c r="D3348" t="s">
        <v>79</v>
      </c>
      <c r="E3348" t="s">
        <v>3636</v>
      </c>
      <c r="F3348" t="s">
        <v>3611</v>
      </c>
      <c r="G3348" s="1">
        <v>889972.18</v>
      </c>
    </row>
    <row r="3349" spans="1:7">
      <c r="A3349" t="s">
        <v>3444</v>
      </c>
      <c r="B3349" s="6">
        <v>45739</v>
      </c>
      <c r="C3349" s="6" t="str">
        <f>TEXT(Table3[[#This Row],[transaction_date]], "yyyy-mm")</f>
        <v>2025-03</v>
      </c>
      <c r="D3349" t="s">
        <v>74</v>
      </c>
      <c r="E3349" t="s">
        <v>3636</v>
      </c>
      <c r="F3349" t="s">
        <v>3612</v>
      </c>
      <c r="G3349" s="1">
        <v>572442.17000000004</v>
      </c>
    </row>
    <row r="3350" spans="1:7">
      <c r="A3350" t="s">
        <v>3445</v>
      </c>
      <c r="B3350" s="6">
        <v>45760</v>
      </c>
      <c r="C3350" s="6" t="str">
        <f>TEXT(Table3[[#This Row],[transaction_date]], "yyyy-mm")</f>
        <v>2025-04</v>
      </c>
      <c r="D3350" t="s">
        <v>93</v>
      </c>
      <c r="E3350" t="s">
        <v>3636</v>
      </c>
      <c r="F3350" t="s">
        <v>3610</v>
      </c>
      <c r="G3350" s="1">
        <v>5071462.01</v>
      </c>
    </row>
    <row r="3351" spans="1:7">
      <c r="A3351" t="s">
        <v>3446</v>
      </c>
      <c r="B3351" s="6">
        <v>45696</v>
      </c>
      <c r="C3351" s="6" t="str">
        <f>TEXT(Table3[[#This Row],[transaction_date]], "yyyy-mm")</f>
        <v>2025-02</v>
      </c>
      <c r="D3351" t="s">
        <v>77</v>
      </c>
      <c r="E3351" t="s">
        <v>3637</v>
      </c>
      <c r="F3351" t="s">
        <v>3618</v>
      </c>
      <c r="G3351" s="1">
        <v>12265067.32</v>
      </c>
    </row>
    <row r="3352" spans="1:7">
      <c r="A3352" t="s">
        <v>3447</v>
      </c>
      <c r="B3352" s="6">
        <v>45662</v>
      </c>
      <c r="C3352" s="6" t="str">
        <f>TEXT(Table3[[#This Row],[transaction_date]], "yyyy-mm")</f>
        <v>2025-01</v>
      </c>
      <c r="D3352" t="s">
        <v>84</v>
      </c>
      <c r="E3352" t="s">
        <v>3636</v>
      </c>
      <c r="F3352" t="s">
        <v>3604</v>
      </c>
      <c r="G3352" s="1">
        <v>9554235.25</v>
      </c>
    </row>
    <row r="3353" spans="1:7">
      <c r="A3353" t="s">
        <v>3448</v>
      </c>
      <c r="B3353" s="6">
        <v>45958</v>
      </c>
      <c r="C3353" s="6" t="str">
        <f>TEXT(Table3[[#This Row],[transaction_date]], "yyyy-mm")</f>
        <v>2025-10</v>
      </c>
      <c r="D3353" t="s">
        <v>78</v>
      </c>
      <c r="E3353" t="s">
        <v>3636</v>
      </c>
      <c r="F3353" t="s">
        <v>3610</v>
      </c>
      <c r="G3353" s="1">
        <v>2430820.39</v>
      </c>
    </row>
    <row r="3354" spans="1:7">
      <c r="A3354" t="s">
        <v>3449</v>
      </c>
      <c r="B3354" s="6">
        <v>45745</v>
      </c>
      <c r="C3354" s="6" t="str">
        <f>TEXT(Table3[[#This Row],[transaction_date]], "yyyy-mm")</f>
        <v>2025-03</v>
      </c>
      <c r="D3354" t="s">
        <v>73</v>
      </c>
      <c r="E3354" t="s">
        <v>3637</v>
      </c>
      <c r="F3354" t="s">
        <v>3619</v>
      </c>
      <c r="G3354" s="1">
        <v>928688.8</v>
      </c>
    </row>
    <row r="3355" spans="1:7">
      <c r="A3355" t="s">
        <v>3450</v>
      </c>
      <c r="B3355" s="6">
        <v>45747</v>
      </c>
      <c r="C3355" s="6" t="str">
        <f>TEXT(Table3[[#This Row],[transaction_date]], "yyyy-mm")</f>
        <v>2025-03</v>
      </c>
      <c r="D3355" t="s">
        <v>79</v>
      </c>
      <c r="E3355" t="s">
        <v>3636</v>
      </c>
      <c r="F3355" t="s">
        <v>3607</v>
      </c>
      <c r="G3355" s="1">
        <v>2592623.33</v>
      </c>
    </row>
    <row r="3356" spans="1:7">
      <c r="A3356" t="s">
        <v>3451</v>
      </c>
      <c r="B3356" s="6">
        <v>45660</v>
      </c>
      <c r="C3356" s="6" t="str">
        <f>TEXT(Table3[[#This Row],[transaction_date]], "yyyy-mm")</f>
        <v>2025-01</v>
      </c>
      <c r="D3356" t="s">
        <v>3597</v>
      </c>
      <c r="E3356" t="s">
        <v>3637</v>
      </c>
      <c r="F3356" t="s">
        <v>3614</v>
      </c>
      <c r="G3356" s="1">
        <v>7815736.4000000004</v>
      </c>
    </row>
    <row r="3357" spans="1:7">
      <c r="A3357" t="s">
        <v>3452</v>
      </c>
      <c r="B3357" s="6">
        <v>45770</v>
      </c>
      <c r="C3357" s="6" t="str">
        <f>TEXT(Table3[[#This Row],[transaction_date]], "yyyy-mm")</f>
        <v>2025-04</v>
      </c>
      <c r="D3357" t="s">
        <v>93</v>
      </c>
      <c r="E3357" t="s">
        <v>3637</v>
      </c>
      <c r="F3357" t="s">
        <v>3614</v>
      </c>
      <c r="G3357" s="1">
        <v>6576425.7999999998</v>
      </c>
    </row>
    <row r="3358" spans="1:7">
      <c r="A3358" t="s">
        <v>3453</v>
      </c>
      <c r="B3358" s="6">
        <v>45749</v>
      </c>
      <c r="C3358" s="6" t="str">
        <f>TEXT(Table3[[#This Row],[transaction_date]], "yyyy-mm")</f>
        <v>2025-04</v>
      </c>
      <c r="D3358" t="s">
        <v>90</v>
      </c>
      <c r="E3358" t="s">
        <v>3636</v>
      </c>
      <c r="F3358" t="s">
        <v>3608</v>
      </c>
      <c r="G3358" s="1">
        <v>10122219.43</v>
      </c>
    </row>
    <row r="3359" spans="1:7">
      <c r="A3359" t="s">
        <v>3454</v>
      </c>
      <c r="B3359" s="6">
        <v>45819</v>
      </c>
      <c r="C3359" s="6" t="str">
        <f>TEXT(Table3[[#This Row],[transaction_date]], "yyyy-mm")</f>
        <v>2025-06</v>
      </c>
      <c r="D3359" t="s">
        <v>85</v>
      </c>
      <c r="E3359" t="s">
        <v>3637</v>
      </c>
      <c r="F3359" t="s">
        <v>3623</v>
      </c>
      <c r="G3359" s="1">
        <v>147459.20000000001</v>
      </c>
    </row>
    <row r="3360" spans="1:7">
      <c r="A3360" t="s">
        <v>3455</v>
      </c>
      <c r="B3360" s="6">
        <v>46005</v>
      </c>
      <c r="C3360" s="6" t="str">
        <f>TEXT(Table3[[#This Row],[transaction_date]], "yyyy-mm")</f>
        <v>2025-12</v>
      </c>
      <c r="D3360" t="s">
        <v>79</v>
      </c>
      <c r="E3360" t="s">
        <v>3636</v>
      </c>
      <c r="F3360" t="s">
        <v>3607</v>
      </c>
      <c r="G3360" s="1">
        <v>3388553.86</v>
      </c>
    </row>
    <row r="3361" spans="1:7">
      <c r="A3361" t="s">
        <v>3456</v>
      </c>
      <c r="B3361" s="6">
        <v>45951</v>
      </c>
      <c r="C3361" s="6" t="str">
        <f>TEXT(Table3[[#This Row],[transaction_date]], "yyyy-mm")</f>
        <v>2025-10</v>
      </c>
      <c r="D3361" t="s">
        <v>76</v>
      </c>
      <c r="E3361" t="s">
        <v>3636</v>
      </c>
      <c r="F3361" t="s">
        <v>3609</v>
      </c>
      <c r="G3361" s="1">
        <v>23897384.219999999</v>
      </c>
    </row>
    <row r="3362" spans="1:7">
      <c r="A3362" t="s">
        <v>3457</v>
      </c>
      <c r="B3362" s="6">
        <v>45811</v>
      </c>
      <c r="C3362" s="6" t="str">
        <f>TEXT(Table3[[#This Row],[transaction_date]], "yyyy-mm")</f>
        <v>2025-06</v>
      </c>
      <c r="D3362" t="s">
        <v>93</v>
      </c>
      <c r="E3362" t="s">
        <v>3636</v>
      </c>
      <c r="F3362" t="s">
        <v>3611</v>
      </c>
      <c r="G3362" s="1">
        <v>4957137.0199999996</v>
      </c>
    </row>
    <row r="3363" spans="1:7">
      <c r="A3363" t="s">
        <v>3458</v>
      </c>
      <c r="B3363" s="6">
        <v>45734</v>
      </c>
      <c r="C3363" s="6" t="str">
        <f>TEXT(Table3[[#This Row],[transaction_date]], "yyyy-mm")</f>
        <v>2025-03</v>
      </c>
      <c r="D3363" t="s">
        <v>75</v>
      </c>
      <c r="E3363" t="s">
        <v>3637</v>
      </c>
      <c r="F3363" t="s">
        <v>3618</v>
      </c>
      <c r="G3363" s="1">
        <v>188107.58</v>
      </c>
    </row>
    <row r="3364" spans="1:7">
      <c r="A3364" t="s">
        <v>3459</v>
      </c>
      <c r="B3364" s="6">
        <v>45811</v>
      </c>
      <c r="C3364" s="6" t="str">
        <f>TEXT(Table3[[#This Row],[transaction_date]], "yyyy-mm")</f>
        <v>2025-06</v>
      </c>
      <c r="D3364" t="s">
        <v>73</v>
      </c>
      <c r="E3364" t="s">
        <v>3636</v>
      </c>
      <c r="F3364" t="s">
        <v>3613</v>
      </c>
      <c r="G3364" s="1">
        <v>697663.72</v>
      </c>
    </row>
    <row r="3365" spans="1:7">
      <c r="A3365" t="s">
        <v>3460</v>
      </c>
      <c r="B3365" s="6">
        <v>45789</v>
      </c>
      <c r="C3365" s="6" t="str">
        <f>TEXT(Table3[[#This Row],[transaction_date]], "yyyy-mm")</f>
        <v>2025-05</v>
      </c>
      <c r="D3365" t="s">
        <v>95</v>
      </c>
      <c r="E3365" t="s">
        <v>3636</v>
      </c>
      <c r="F3365" t="s">
        <v>3609</v>
      </c>
      <c r="G3365" s="1">
        <v>2909360.07</v>
      </c>
    </row>
    <row r="3366" spans="1:7">
      <c r="A3366" t="s">
        <v>3461</v>
      </c>
      <c r="B3366" s="6">
        <v>45789</v>
      </c>
      <c r="C3366" s="6" t="str">
        <f>TEXT(Table3[[#This Row],[transaction_date]], "yyyy-mm")</f>
        <v>2025-05</v>
      </c>
      <c r="D3366" t="s">
        <v>75</v>
      </c>
      <c r="E3366" t="s">
        <v>3637</v>
      </c>
      <c r="F3366" t="s">
        <v>3621</v>
      </c>
      <c r="G3366" s="1">
        <v>13194709.67</v>
      </c>
    </row>
    <row r="3367" spans="1:7">
      <c r="A3367" t="s">
        <v>3462</v>
      </c>
      <c r="B3367" s="6">
        <v>45800</v>
      </c>
      <c r="C3367" s="6" t="str">
        <f>TEXT(Table3[[#This Row],[transaction_date]], "yyyy-mm")</f>
        <v>2025-05</v>
      </c>
      <c r="D3367" t="s">
        <v>89</v>
      </c>
      <c r="E3367" t="s">
        <v>3636</v>
      </c>
      <c r="F3367" t="s">
        <v>3611</v>
      </c>
      <c r="G3367" s="1">
        <v>1638996.44</v>
      </c>
    </row>
    <row r="3368" spans="1:7">
      <c r="A3368" t="s">
        <v>3463</v>
      </c>
      <c r="B3368" s="6">
        <v>45977</v>
      </c>
      <c r="C3368" s="6" t="str">
        <f>TEXT(Table3[[#This Row],[transaction_date]], "yyyy-mm")</f>
        <v>2025-11</v>
      </c>
      <c r="D3368" t="s">
        <v>95</v>
      </c>
      <c r="E3368" t="s">
        <v>3636</v>
      </c>
      <c r="F3368" t="s">
        <v>3610</v>
      </c>
      <c r="G3368" s="1">
        <v>94112.05</v>
      </c>
    </row>
    <row r="3369" spans="1:7">
      <c r="A3369" t="s">
        <v>3464</v>
      </c>
      <c r="B3369" s="6">
        <v>45905</v>
      </c>
      <c r="C3369" s="6" t="str">
        <f>TEXT(Table3[[#This Row],[transaction_date]], "yyyy-mm")</f>
        <v>2025-09</v>
      </c>
      <c r="D3369" t="s">
        <v>73</v>
      </c>
      <c r="E3369" t="s">
        <v>3637</v>
      </c>
      <c r="F3369" t="s">
        <v>3617</v>
      </c>
      <c r="G3369" s="1">
        <v>879458.76</v>
      </c>
    </row>
    <row r="3370" spans="1:7">
      <c r="A3370" t="s">
        <v>3465</v>
      </c>
      <c r="B3370" s="6">
        <v>45892</v>
      </c>
      <c r="C3370" s="6" t="str">
        <f>TEXT(Table3[[#This Row],[transaction_date]], "yyyy-mm")</f>
        <v>2025-08</v>
      </c>
      <c r="D3370" t="s">
        <v>80</v>
      </c>
      <c r="E3370" t="s">
        <v>3636</v>
      </c>
      <c r="F3370" t="s">
        <v>3608</v>
      </c>
      <c r="G3370" s="1">
        <v>4302612.1399999997</v>
      </c>
    </row>
    <row r="3371" spans="1:7">
      <c r="A3371" t="s">
        <v>3466</v>
      </c>
      <c r="B3371" s="6">
        <v>45991</v>
      </c>
      <c r="C3371" s="6" t="str">
        <f>TEXT(Table3[[#This Row],[transaction_date]], "yyyy-mm")</f>
        <v>2025-11</v>
      </c>
      <c r="D3371" t="s">
        <v>77</v>
      </c>
      <c r="E3371" t="s">
        <v>3636</v>
      </c>
      <c r="F3371" t="s">
        <v>3613</v>
      </c>
      <c r="G3371" s="1">
        <v>17319388.309999999</v>
      </c>
    </row>
    <row r="3372" spans="1:7">
      <c r="A3372" t="s">
        <v>3467</v>
      </c>
      <c r="B3372" s="6">
        <v>45748</v>
      </c>
      <c r="C3372" s="6" t="str">
        <f>TEXT(Table3[[#This Row],[transaction_date]], "yyyy-mm")</f>
        <v>2025-04</v>
      </c>
      <c r="D3372" t="s">
        <v>75</v>
      </c>
      <c r="E3372" t="s">
        <v>3637</v>
      </c>
      <c r="F3372" t="s">
        <v>3617</v>
      </c>
      <c r="G3372" s="1">
        <v>6554201.8200000003</v>
      </c>
    </row>
    <row r="3373" spans="1:7">
      <c r="A3373" t="s">
        <v>3468</v>
      </c>
      <c r="B3373" s="6">
        <v>45975</v>
      </c>
      <c r="C3373" s="6" t="str">
        <f>TEXT(Table3[[#This Row],[transaction_date]], "yyyy-mm")</f>
        <v>2025-11</v>
      </c>
      <c r="D3373" t="s">
        <v>79</v>
      </c>
      <c r="E3373" t="s">
        <v>3636</v>
      </c>
      <c r="F3373" t="s">
        <v>3613</v>
      </c>
      <c r="G3373" s="1">
        <v>494489.29</v>
      </c>
    </row>
    <row r="3374" spans="1:7">
      <c r="A3374" t="s">
        <v>3469</v>
      </c>
      <c r="B3374" s="6">
        <v>45668</v>
      </c>
      <c r="C3374" s="6" t="str">
        <f>TEXT(Table3[[#This Row],[transaction_date]], "yyyy-mm")</f>
        <v>2025-01</v>
      </c>
      <c r="D3374" t="s">
        <v>80</v>
      </c>
      <c r="E3374" t="s">
        <v>3636</v>
      </c>
      <c r="F3374" t="s">
        <v>3609</v>
      </c>
      <c r="G3374" s="1">
        <v>682882.61</v>
      </c>
    </row>
    <row r="3375" spans="1:7">
      <c r="A3375" t="s">
        <v>3470</v>
      </c>
      <c r="B3375" s="6">
        <v>45726</v>
      </c>
      <c r="C3375" s="6" t="str">
        <f>TEXT(Table3[[#This Row],[transaction_date]], "yyyy-mm")</f>
        <v>2025-03</v>
      </c>
      <c r="D3375" t="s">
        <v>77</v>
      </c>
      <c r="E3375" t="s">
        <v>3636</v>
      </c>
      <c r="F3375" t="s">
        <v>3606</v>
      </c>
      <c r="G3375" s="1">
        <v>140838.16</v>
      </c>
    </row>
    <row r="3376" spans="1:7">
      <c r="A3376" t="s">
        <v>3471</v>
      </c>
      <c r="B3376" s="6">
        <v>45962</v>
      </c>
      <c r="C3376" s="6" t="str">
        <f>TEXT(Table3[[#This Row],[transaction_date]], "yyyy-mm")</f>
        <v>2025-11</v>
      </c>
      <c r="D3376" t="s">
        <v>89</v>
      </c>
      <c r="E3376" t="s">
        <v>3637</v>
      </c>
      <c r="F3376" t="s">
        <v>3620</v>
      </c>
      <c r="G3376" s="1">
        <v>45151.06</v>
      </c>
    </row>
    <row r="3377" spans="1:7">
      <c r="A3377" t="s">
        <v>3472</v>
      </c>
      <c r="B3377" s="6">
        <v>45818</v>
      </c>
      <c r="C3377" s="6" t="str">
        <f>TEXT(Table3[[#This Row],[transaction_date]], "yyyy-mm")</f>
        <v>2025-06</v>
      </c>
      <c r="D3377" t="s">
        <v>73</v>
      </c>
      <c r="E3377" t="s">
        <v>3637</v>
      </c>
      <c r="F3377" t="s">
        <v>3615</v>
      </c>
      <c r="G3377" s="1">
        <v>292035.99</v>
      </c>
    </row>
    <row r="3378" spans="1:7">
      <c r="A3378" t="s">
        <v>3473</v>
      </c>
      <c r="B3378" s="6">
        <v>45789</v>
      </c>
      <c r="C3378" s="6" t="str">
        <f>TEXT(Table3[[#This Row],[transaction_date]], "yyyy-mm")</f>
        <v>2025-05</v>
      </c>
      <c r="D3378" t="s">
        <v>89</v>
      </c>
      <c r="E3378" t="s">
        <v>3637</v>
      </c>
      <c r="F3378" t="s">
        <v>3623</v>
      </c>
      <c r="G3378" s="1">
        <v>857956.37</v>
      </c>
    </row>
    <row r="3379" spans="1:7">
      <c r="A3379" t="s">
        <v>3474</v>
      </c>
      <c r="B3379" s="6">
        <v>45932</v>
      </c>
      <c r="C3379" s="6" t="str">
        <f>TEXT(Table3[[#This Row],[transaction_date]], "yyyy-mm")</f>
        <v>2025-10</v>
      </c>
      <c r="D3379" t="s">
        <v>73</v>
      </c>
      <c r="E3379" t="s">
        <v>3637</v>
      </c>
      <c r="F3379" t="s">
        <v>3618</v>
      </c>
      <c r="G3379" s="1">
        <v>2194650.33</v>
      </c>
    </row>
    <row r="3380" spans="1:7">
      <c r="A3380" t="s">
        <v>3475</v>
      </c>
      <c r="B3380" s="6">
        <v>45858</v>
      </c>
      <c r="C3380" s="6" t="str">
        <f>TEXT(Table3[[#This Row],[transaction_date]], "yyyy-mm")</f>
        <v>2025-07</v>
      </c>
      <c r="D3380" t="s">
        <v>75</v>
      </c>
      <c r="E3380" t="s">
        <v>3637</v>
      </c>
      <c r="F3380" t="s">
        <v>3621</v>
      </c>
      <c r="G3380" s="1">
        <v>1731883.79</v>
      </c>
    </row>
    <row r="3381" spans="1:7">
      <c r="A3381" t="s">
        <v>3476</v>
      </c>
      <c r="B3381" s="6">
        <v>46004</v>
      </c>
      <c r="C3381" s="6" t="str">
        <f>TEXT(Table3[[#This Row],[transaction_date]], "yyyy-mm")</f>
        <v>2025-12</v>
      </c>
      <c r="D3381" t="s">
        <v>79</v>
      </c>
      <c r="E3381" t="s">
        <v>3636</v>
      </c>
      <c r="F3381" t="s">
        <v>3605</v>
      </c>
      <c r="G3381" s="1">
        <v>500673.01</v>
      </c>
    </row>
    <row r="3382" spans="1:7">
      <c r="A3382" t="s">
        <v>3477</v>
      </c>
      <c r="B3382" s="6">
        <v>45845</v>
      </c>
      <c r="C3382" s="6" t="str">
        <f>TEXT(Table3[[#This Row],[transaction_date]], "yyyy-mm")</f>
        <v>2025-07</v>
      </c>
      <c r="D3382" t="s">
        <v>78</v>
      </c>
      <c r="E3382" t="s">
        <v>3636</v>
      </c>
      <c r="F3382" t="s">
        <v>3612</v>
      </c>
      <c r="G3382" s="1">
        <v>898304.67</v>
      </c>
    </row>
    <row r="3383" spans="1:7">
      <c r="A3383" t="s">
        <v>3478</v>
      </c>
      <c r="B3383" s="6">
        <v>45982</v>
      </c>
      <c r="C3383" s="6" t="str">
        <f>TEXT(Table3[[#This Row],[transaction_date]], "yyyy-mm")</f>
        <v>2025-11</v>
      </c>
      <c r="D3383" t="s">
        <v>80</v>
      </c>
      <c r="E3383" t="s">
        <v>3637</v>
      </c>
      <c r="F3383" t="s">
        <v>3614</v>
      </c>
      <c r="G3383" s="1">
        <v>2658870.96</v>
      </c>
    </row>
    <row r="3384" spans="1:7">
      <c r="A3384" t="s">
        <v>3479</v>
      </c>
      <c r="B3384" s="6">
        <v>45827</v>
      </c>
      <c r="C3384" s="6" t="str">
        <f>TEXT(Table3[[#This Row],[transaction_date]], "yyyy-mm")</f>
        <v>2025-06</v>
      </c>
      <c r="D3384" t="s">
        <v>82</v>
      </c>
      <c r="E3384" t="s">
        <v>3636</v>
      </c>
      <c r="F3384" t="s">
        <v>3609</v>
      </c>
      <c r="G3384" s="1">
        <v>4051106.14</v>
      </c>
    </row>
    <row r="3385" spans="1:7">
      <c r="A3385" t="s">
        <v>3480</v>
      </c>
      <c r="B3385" s="6">
        <v>45924</v>
      </c>
      <c r="C3385" s="6" t="str">
        <f>TEXT(Table3[[#This Row],[transaction_date]], "yyyy-mm")</f>
        <v>2025-09</v>
      </c>
      <c r="D3385" t="s">
        <v>73</v>
      </c>
      <c r="E3385" t="s">
        <v>3637</v>
      </c>
      <c r="F3385" t="s">
        <v>3618</v>
      </c>
      <c r="G3385" s="1">
        <v>4058571.98</v>
      </c>
    </row>
    <row r="3386" spans="1:7">
      <c r="A3386" t="s">
        <v>3481</v>
      </c>
      <c r="B3386" s="6">
        <v>45847</v>
      </c>
      <c r="C3386" s="6" t="str">
        <f>TEXT(Table3[[#This Row],[transaction_date]], "yyyy-mm")</f>
        <v>2025-07</v>
      </c>
      <c r="D3386" t="s">
        <v>73</v>
      </c>
      <c r="E3386" t="s">
        <v>3637</v>
      </c>
      <c r="F3386" t="s">
        <v>3620</v>
      </c>
      <c r="G3386" s="1">
        <v>143670.67000000001</v>
      </c>
    </row>
    <row r="3387" spans="1:7">
      <c r="A3387" t="s">
        <v>3482</v>
      </c>
      <c r="B3387" s="6">
        <v>45684</v>
      </c>
      <c r="C3387" s="6" t="str">
        <f>TEXT(Table3[[#This Row],[transaction_date]], "yyyy-mm")</f>
        <v>2025-01</v>
      </c>
      <c r="D3387" t="s">
        <v>80</v>
      </c>
      <c r="E3387" t="s">
        <v>3636</v>
      </c>
      <c r="F3387" t="s">
        <v>3609</v>
      </c>
      <c r="G3387" s="1">
        <v>3847914.59</v>
      </c>
    </row>
    <row r="3388" spans="1:7">
      <c r="A3388" t="s">
        <v>3483</v>
      </c>
      <c r="B3388" s="6">
        <v>45753</v>
      </c>
      <c r="C3388" s="6" t="str">
        <f>TEXT(Table3[[#This Row],[transaction_date]], "yyyy-mm")</f>
        <v>2025-04</v>
      </c>
      <c r="D3388" t="s">
        <v>74</v>
      </c>
      <c r="E3388" t="s">
        <v>3637</v>
      </c>
      <c r="F3388" t="s">
        <v>3619</v>
      </c>
      <c r="G3388" s="1">
        <v>769254.67</v>
      </c>
    </row>
    <row r="3389" spans="1:7">
      <c r="A3389" t="s">
        <v>3484</v>
      </c>
      <c r="B3389" s="6">
        <v>46000</v>
      </c>
      <c r="C3389" s="6" t="str">
        <f>TEXT(Table3[[#This Row],[transaction_date]], "yyyy-mm")</f>
        <v>2025-12</v>
      </c>
      <c r="D3389" t="s">
        <v>75</v>
      </c>
      <c r="E3389" t="s">
        <v>3636</v>
      </c>
      <c r="F3389" t="s">
        <v>3605</v>
      </c>
      <c r="G3389" s="1">
        <v>1225055.51</v>
      </c>
    </row>
    <row r="3390" spans="1:7">
      <c r="A3390" t="s">
        <v>3485</v>
      </c>
      <c r="B3390" s="6">
        <v>45794</v>
      </c>
      <c r="C3390" s="6" t="str">
        <f>TEXT(Table3[[#This Row],[transaction_date]], "yyyy-mm")</f>
        <v>2025-05</v>
      </c>
      <c r="D3390" t="s">
        <v>84</v>
      </c>
      <c r="E3390" t="s">
        <v>3637</v>
      </c>
      <c r="F3390" t="s">
        <v>3616</v>
      </c>
      <c r="G3390" s="1">
        <v>2906075.43</v>
      </c>
    </row>
    <row r="3391" spans="1:7">
      <c r="A3391" t="s">
        <v>3486</v>
      </c>
      <c r="B3391" s="6">
        <v>45714</v>
      </c>
      <c r="C3391" s="6" t="str">
        <f>TEXT(Table3[[#This Row],[transaction_date]], "yyyy-mm")</f>
        <v>2025-02</v>
      </c>
      <c r="D3391" t="s">
        <v>84</v>
      </c>
      <c r="E3391" t="s">
        <v>3637</v>
      </c>
      <c r="F3391" t="s">
        <v>3622</v>
      </c>
      <c r="G3391" s="1">
        <v>10041880.35</v>
      </c>
    </row>
    <row r="3392" spans="1:7">
      <c r="A3392" t="s">
        <v>3487</v>
      </c>
      <c r="B3392" s="6">
        <v>45842</v>
      </c>
      <c r="C3392" s="6" t="str">
        <f>TEXT(Table3[[#This Row],[transaction_date]], "yyyy-mm")</f>
        <v>2025-07</v>
      </c>
      <c r="D3392" t="s">
        <v>84</v>
      </c>
      <c r="E3392" t="s">
        <v>3637</v>
      </c>
      <c r="F3392" t="s">
        <v>3615</v>
      </c>
      <c r="G3392" s="1">
        <v>10421124.880000001</v>
      </c>
    </row>
    <row r="3393" spans="1:7">
      <c r="A3393" t="s">
        <v>3488</v>
      </c>
      <c r="B3393" s="6">
        <v>45983</v>
      </c>
      <c r="C3393" s="6" t="str">
        <f>TEXT(Table3[[#This Row],[transaction_date]], "yyyy-mm")</f>
        <v>2025-11</v>
      </c>
      <c r="D3393" t="s">
        <v>80</v>
      </c>
      <c r="E3393" t="s">
        <v>3636</v>
      </c>
      <c r="F3393" t="s">
        <v>3609</v>
      </c>
      <c r="G3393" s="1">
        <v>2126649.52</v>
      </c>
    </row>
    <row r="3394" spans="1:7">
      <c r="A3394" t="s">
        <v>3489</v>
      </c>
      <c r="B3394" s="6">
        <v>45853</v>
      </c>
      <c r="C3394" s="6" t="str">
        <f>TEXT(Table3[[#This Row],[transaction_date]], "yyyy-mm")</f>
        <v>2025-07</v>
      </c>
      <c r="D3394" t="s">
        <v>95</v>
      </c>
      <c r="E3394" t="s">
        <v>3637</v>
      </c>
      <c r="F3394" t="s">
        <v>3623</v>
      </c>
      <c r="G3394" s="1">
        <v>16167221.5</v>
      </c>
    </row>
    <row r="3395" spans="1:7">
      <c r="A3395" t="s">
        <v>3490</v>
      </c>
      <c r="B3395" s="6">
        <v>46009</v>
      </c>
      <c r="C3395" s="6" t="str">
        <f>TEXT(Table3[[#This Row],[transaction_date]], "yyyy-mm")</f>
        <v>2025-12</v>
      </c>
      <c r="D3395" t="s">
        <v>95</v>
      </c>
      <c r="E3395" t="s">
        <v>3637</v>
      </c>
      <c r="F3395" t="s">
        <v>3623</v>
      </c>
      <c r="G3395" s="1">
        <v>9443456.75</v>
      </c>
    </row>
    <row r="3396" spans="1:7">
      <c r="A3396" t="s">
        <v>3491</v>
      </c>
      <c r="B3396" s="6">
        <v>45982</v>
      </c>
      <c r="C3396" s="6" t="str">
        <f>TEXT(Table3[[#This Row],[transaction_date]], "yyyy-mm")</f>
        <v>2025-11</v>
      </c>
      <c r="D3396" t="s">
        <v>73</v>
      </c>
      <c r="E3396" t="s">
        <v>3636</v>
      </c>
      <c r="F3396" t="s">
        <v>3605</v>
      </c>
      <c r="G3396" s="1">
        <v>729408.77</v>
      </c>
    </row>
    <row r="3397" spans="1:7">
      <c r="A3397" t="s">
        <v>3492</v>
      </c>
      <c r="B3397" s="6">
        <v>45985</v>
      </c>
      <c r="C3397" s="6" t="str">
        <f>TEXT(Table3[[#This Row],[transaction_date]], "yyyy-mm")</f>
        <v>2025-11</v>
      </c>
      <c r="D3397" t="s">
        <v>95</v>
      </c>
      <c r="E3397" t="s">
        <v>3637</v>
      </c>
      <c r="F3397" t="s">
        <v>3622</v>
      </c>
      <c r="G3397" s="1">
        <v>4113430.34</v>
      </c>
    </row>
    <row r="3398" spans="1:7">
      <c r="A3398" t="s">
        <v>3493</v>
      </c>
      <c r="B3398" s="6">
        <v>45744</v>
      </c>
      <c r="C3398" s="6" t="str">
        <f>TEXT(Table3[[#This Row],[transaction_date]], "yyyy-mm")</f>
        <v>2025-03</v>
      </c>
      <c r="D3398" t="s">
        <v>79</v>
      </c>
      <c r="E3398" t="s">
        <v>3637</v>
      </c>
      <c r="F3398" t="s">
        <v>3614</v>
      </c>
      <c r="G3398" s="1">
        <v>2547076.86</v>
      </c>
    </row>
    <row r="3399" spans="1:7">
      <c r="A3399" t="s">
        <v>3494</v>
      </c>
      <c r="B3399" s="6">
        <v>45820</v>
      </c>
      <c r="C3399" s="6" t="str">
        <f>TEXT(Table3[[#This Row],[transaction_date]], "yyyy-mm")</f>
        <v>2025-06</v>
      </c>
      <c r="D3399" t="s">
        <v>79</v>
      </c>
      <c r="E3399" t="s">
        <v>3637</v>
      </c>
      <c r="F3399" t="s">
        <v>3617</v>
      </c>
      <c r="G3399" s="1">
        <v>3889953.17</v>
      </c>
    </row>
    <row r="3400" spans="1:7">
      <c r="A3400" t="s">
        <v>3495</v>
      </c>
      <c r="B3400" s="6">
        <v>45907</v>
      </c>
      <c r="C3400" s="6" t="str">
        <f>TEXT(Table3[[#This Row],[transaction_date]], "yyyy-mm")</f>
        <v>2025-09</v>
      </c>
      <c r="D3400" t="s">
        <v>85</v>
      </c>
      <c r="E3400" t="s">
        <v>3637</v>
      </c>
      <c r="F3400" t="s">
        <v>3619</v>
      </c>
      <c r="G3400" s="1">
        <v>1291222.53</v>
      </c>
    </row>
    <row r="3401" spans="1:7">
      <c r="A3401" t="s">
        <v>3496</v>
      </c>
      <c r="B3401" s="6">
        <v>45713</v>
      </c>
      <c r="C3401" s="6" t="str">
        <f>TEXT(Table3[[#This Row],[transaction_date]], "yyyy-mm")</f>
        <v>2025-02</v>
      </c>
      <c r="D3401" t="s">
        <v>74</v>
      </c>
      <c r="E3401" t="s">
        <v>3636</v>
      </c>
      <c r="F3401" t="s">
        <v>3606</v>
      </c>
      <c r="G3401" s="1">
        <v>689162.14</v>
      </c>
    </row>
    <row r="3402" spans="1:7">
      <c r="A3402" t="s">
        <v>3497</v>
      </c>
      <c r="B3402" s="6">
        <v>45815</v>
      </c>
      <c r="C3402" s="6" t="str">
        <f>TEXT(Table3[[#This Row],[transaction_date]], "yyyy-mm")</f>
        <v>2025-06</v>
      </c>
      <c r="D3402" t="s">
        <v>76</v>
      </c>
      <c r="E3402" t="s">
        <v>3637</v>
      </c>
      <c r="F3402" t="s">
        <v>3615</v>
      </c>
      <c r="G3402" s="1">
        <v>31146685.309999999</v>
      </c>
    </row>
    <row r="3403" spans="1:7">
      <c r="A3403" t="s">
        <v>3498</v>
      </c>
      <c r="B3403" s="6">
        <v>45933</v>
      </c>
      <c r="C3403" s="6" t="str">
        <f>TEXT(Table3[[#This Row],[transaction_date]], "yyyy-mm")</f>
        <v>2025-10</v>
      </c>
      <c r="D3403" t="s">
        <v>85</v>
      </c>
      <c r="E3403" t="s">
        <v>3636</v>
      </c>
      <c r="F3403" t="s">
        <v>3611</v>
      </c>
      <c r="G3403" s="1">
        <v>643569.05000000005</v>
      </c>
    </row>
    <row r="3404" spans="1:7">
      <c r="A3404" t="s">
        <v>3499</v>
      </c>
      <c r="B3404" s="6">
        <v>46001</v>
      </c>
      <c r="C3404" s="6" t="str">
        <f>TEXT(Table3[[#This Row],[transaction_date]], "yyyy-mm")</f>
        <v>2025-12</v>
      </c>
      <c r="D3404" t="s">
        <v>85</v>
      </c>
      <c r="E3404" t="s">
        <v>3636</v>
      </c>
      <c r="F3404" t="s">
        <v>3606</v>
      </c>
      <c r="G3404" s="1">
        <v>373605.26</v>
      </c>
    </row>
    <row r="3405" spans="1:7">
      <c r="A3405" t="s">
        <v>3500</v>
      </c>
      <c r="B3405" s="6">
        <v>45934</v>
      </c>
      <c r="C3405" s="6" t="str">
        <f>TEXT(Table3[[#This Row],[transaction_date]], "yyyy-mm")</f>
        <v>2025-10</v>
      </c>
      <c r="D3405" t="s">
        <v>74</v>
      </c>
      <c r="E3405" t="s">
        <v>3637</v>
      </c>
      <c r="F3405" t="s">
        <v>3619</v>
      </c>
      <c r="G3405" s="1">
        <v>928303.43</v>
      </c>
    </row>
    <row r="3406" spans="1:7">
      <c r="A3406" t="s">
        <v>3501</v>
      </c>
      <c r="B3406" s="6">
        <v>45757</v>
      </c>
      <c r="C3406" s="6" t="str">
        <f>TEXT(Table3[[#This Row],[transaction_date]], "yyyy-mm")</f>
        <v>2025-04</v>
      </c>
      <c r="D3406" t="s">
        <v>85</v>
      </c>
      <c r="E3406" t="s">
        <v>3637</v>
      </c>
      <c r="F3406" t="s">
        <v>3623</v>
      </c>
      <c r="G3406" s="1">
        <v>1142421.9099999999</v>
      </c>
    </row>
    <row r="3407" spans="1:7">
      <c r="A3407" t="s">
        <v>3502</v>
      </c>
      <c r="B3407" s="6">
        <v>45965</v>
      </c>
      <c r="C3407" s="6" t="str">
        <f>TEXT(Table3[[#This Row],[transaction_date]], "yyyy-mm")</f>
        <v>2025-11</v>
      </c>
      <c r="D3407" t="s">
        <v>85</v>
      </c>
      <c r="E3407" t="s">
        <v>3637</v>
      </c>
      <c r="F3407" t="s">
        <v>3621</v>
      </c>
      <c r="G3407" s="1">
        <v>1301645.18</v>
      </c>
    </row>
    <row r="3408" spans="1:7">
      <c r="A3408" t="s">
        <v>3503</v>
      </c>
      <c r="B3408" s="6">
        <v>45939</v>
      </c>
      <c r="C3408" s="6" t="str">
        <f>TEXT(Table3[[#This Row],[transaction_date]], "yyyy-mm")</f>
        <v>2025-10</v>
      </c>
      <c r="D3408" t="s">
        <v>80</v>
      </c>
      <c r="E3408" t="s">
        <v>3637</v>
      </c>
      <c r="F3408" t="s">
        <v>3621</v>
      </c>
      <c r="G3408" s="1">
        <v>1856814.33</v>
      </c>
    </row>
    <row r="3409" spans="1:7">
      <c r="A3409" t="s">
        <v>3504</v>
      </c>
      <c r="B3409" s="6">
        <v>45724</v>
      </c>
      <c r="C3409" s="6" t="str">
        <f>TEXT(Table3[[#This Row],[transaction_date]], "yyyy-mm")</f>
        <v>2025-03</v>
      </c>
      <c r="D3409" t="s">
        <v>73</v>
      </c>
      <c r="E3409" t="s">
        <v>3637</v>
      </c>
      <c r="F3409" t="s">
        <v>3621</v>
      </c>
      <c r="G3409" s="1">
        <v>1397340</v>
      </c>
    </row>
    <row r="3410" spans="1:7">
      <c r="A3410" t="s">
        <v>3505</v>
      </c>
      <c r="B3410" s="6">
        <v>45807</v>
      </c>
      <c r="C3410" s="6" t="str">
        <f>TEXT(Table3[[#This Row],[transaction_date]], "yyyy-mm")</f>
        <v>2025-05</v>
      </c>
      <c r="D3410" t="s">
        <v>73</v>
      </c>
      <c r="E3410" t="s">
        <v>3637</v>
      </c>
      <c r="F3410" t="s">
        <v>3616</v>
      </c>
      <c r="G3410" s="1">
        <v>4756031.8899999997</v>
      </c>
    </row>
    <row r="3411" spans="1:7">
      <c r="A3411" t="s">
        <v>3506</v>
      </c>
      <c r="B3411" s="6">
        <v>45983</v>
      </c>
      <c r="C3411" s="6" t="str">
        <f>TEXT(Table3[[#This Row],[transaction_date]], "yyyy-mm")</f>
        <v>2025-11</v>
      </c>
      <c r="D3411" t="s">
        <v>73</v>
      </c>
      <c r="E3411" t="s">
        <v>3636</v>
      </c>
      <c r="F3411" t="s">
        <v>3610</v>
      </c>
      <c r="G3411" s="1">
        <v>81008.39</v>
      </c>
    </row>
    <row r="3412" spans="1:7">
      <c r="A3412" t="s">
        <v>3507</v>
      </c>
      <c r="B3412" s="6">
        <v>45953</v>
      </c>
      <c r="C3412" s="6" t="str">
        <f>TEXT(Table3[[#This Row],[transaction_date]], "yyyy-mm")</f>
        <v>2025-10</v>
      </c>
      <c r="D3412" t="s">
        <v>89</v>
      </c>
      <c r="E3412" t="s">
        <v>3637</v>
      </c>
      <c r="F3412" t="s">
        <v>3620</v>
      </c>
      <c r="G3412" s="1">
        <v>34508.620000000003</v>
      </c>
    </row>
    <row r="3413" spans="1:7">
      <c r="A3413" t="s">
        <v>3508</v>
      </c>
      <c r="B3413" s="6">
        <v>45957</v>
      </c>
      <c r="C3413" s="6" t="str">
        <f>TEXT(Table3[[#This Row],[transaction_date]], "yyyy-mm")</f>
        <v>2025-10</v>
      </c>
      <c r="D3413" t="s">
        <v>76</v>
      </c>
      <c r="E3413" t="s">
        <v>3637</v>
      </c>
      <c r="F3413" t="s">
        <v>3620</v>
      </c>
      <c r="G3413" s="1">
        <v>1750724.51</v>
      </c>
    </row>
    <row r="3414" spans="1:7">
      <c r="A3414" t="s">
        <v>3509</v>
      </c>
      <c r="B3414" s="6">
        <v>45856</v>
      </c>
      <c r="C3414" s="6" t="str">
        <f>TEXT(Table3[[#This Row],[transaction_date]], "yyyy-mm")</f>
        <v>2025-07</v>
      </c>
      <c r="D3414" t="s">
        <v>84</v>
      </c>
      <c r="E3414" t="s">
        <v>3636</v>
      </c>
      <c r="F3414" t="s">
        <v>3608</v>
      </c>
      <c r="G3414" s="1">
        <v>10835835.42</v>
      </c>
    </row>
    <row r="3415" spans="1:7">
      <c r="A3415" t="s">
        <v>3510</v>
      </c>
      <c r="B3415" s="6">
        <v>45796</v>
      </c>
      <c r="C3415" s="6" t="str">
        <f>TEXT(Table3[[#This Row],[transaction_date]], "yyyy-mm")</f>
        <v>2025-05</v>
      </c>
      <c r="D3415" t="s">
        <v>82</v>
      </c>
      <c r="E3415" t="s">
        <v>3636</v>
      </c>
      <c r="F3415" t="s">
        <v>3611</v>
      </c>
      <c r="G3415" s="1">
        <v>3902960.56</v>
      </c>
    </row>
    <row r="3416" spans="1:7">
      <c r="A3416" t="s">
        <v>3511</v>
      </c>
      <c r="B3416" s="6">
        <v>45960</v>
      </c>
      <c r="C3416" s="6" t="str">
        <f>TEXT(Table3[[#This Row],[transaction_date]], "yyyy-mm")</f>
        <v>2025-10</v>
      </c>
      <c r="D3416" t="s">
        <v>75</v>
      </c>
      <c r="E3416" t="s">
        <v>3636</v>
      </c>
      <c r="F3416" t="s">
        <v>3605</v>
      </c>
      <c r="G3416" s="1">
        <v>9307788.5899999999</v>
      </c>
    </row>
    <row r="3417" spans="1:7">
      <c r="A3417" t="s">
        <v>3512</v>
      </c>
      <c r="B3417" s="6">
        <v>45983</v>
      </c>
      <c r="C3417" s="6" t="str">
        <f>TEXT(Table3[[#This Row],[transaction_date]], "yyyy-mm")</f>
        <v>2025-11</v>
      </c>
      <c r="D3417" t="s">
        <v>3597</v>
      </c>
      <c r="E3417" t="s">
        <v>3637</v>
      </c>
      <c r="F3417" t="s">
        <v>3623</v>
      </c>
      <c r="G3417" s="1">
        <v>157524.04</v>
      </c>
    </row>
    <row r="3418" spans="1:7">
      <c r="A3418" t="s">
        <v>3513</v>
      </c>
      <c r="B3418" s="6">
        <v>45753</v>
      </c>
      <c r="C3418" s="6" t="str">
        <f>TEXT(Table3[[#This Row],[transaction_date]], "yyyy-mm")</f>
        <v>2025-04</v>
      </c>
      <c r="D3418" t="s">
        <v>73</v>
      </c>
      <c r="E3418" t="s">
        <v>3637</v>
      </c>
      <c r="F3418" t="s">
        <v>3616</v>
      </c>
      <c r="G3418" s="1">
        <v>4497608.5199999996</v>
      </c>
    </row>
    <row r="3419" spans="1:7">
      <c r="A3419" t="s">
        <v>3514</v>
      </c>
      <c r="B3419" s="6">
        <v>46015</v>
      </c>
      <c r="C3419" s="6" t="str">
        <f>TEXT(Table3[[#This Row],[transaction_date]], "yyyy-mm")</f>
        <v>2025-12</v>
      </c>
      <c r="D3419" t="s">
        <v>76</v>
      </c>
      <c r="E3419" t="s">
        <v>3637</v>
      </c>
      <c r="F3419" t="s">
        <v>3622</v>
      </c>
      <c r="G3419" s="1">
        <v>897454.19</v>
      </c>
    </row>
    <row r="3420" spans="1:7">
      <c r="A3420" t="s">
        <v>3515</v>
      </c>
      <c r="B3420" s="6">
        <v>45870</v>
      </c>
      <c r="C3420" s="6" t="str">
        <f>TEXT(Table3[[#This Row],[transaction_date]], "yyyy-mm")</f>
        <v>2025-08</v>
      </c>
      <c r="D3420" t="s">
        <v>84</v>
      </c>
      <c r="E3420" t="s">
        <v>3636</v>
      </c>
      <c r="F3420" t="s">
        <v>3613</v>
      </c>
      <c r="G3420" s="1">
        <v>2534653.81</v>
      </c>
    </row>
    <row r="3421" spans="1:7">
      <c r="A3421" t="s">
        <v>3516</v>
      </c>
      <c r="B3421" s="6">
        <v>45925</v>
      </c>
      <c r="C3421" s="6" t="str">
        <f>TEXT(Table3[[#This Row],[transaction_date]], "yyyy-mm")</f>
        <v>2025-09</v>
      </c>
      <c r="D3421" t="s">
        <v>79</v>
      </c>
      <c r="E3421" t="s">
        <v>3637</v>
      </c>
      <c r="F3421" t="s">
        <v>3617</v>
      </c>
      <c r="G3421" s="1">
        <v>3788605.59</v>
      </c>
    </row>
    <row r="3422" spans="1:7">
      <c r="A3422" t="s">
        <v>3517</v>
      </c>
      <c r="B3422" s="6">
        <v>45669</v>
      </c>
      <c r="C3422" s="6" t="str">
        <f>TEXT(Table3[[#This Row],[transaction_date]], "yyyy-mm")</f>
        <v>2025-01</v>
      </c>
      <c r="D3422" t="s">
        <v>76</v>
      </c>
      <c r="E3422" t="s">
        <v>3637</v>
      </c>
      <c r="F3422" t="s">
        <v>3617</v>
      </c>
      <c r="G3422" s="1">
        <v>1240538.3600000001</v>
      </c>
    </row>
    <row r="3423" spans="1:7">
      <c r="A3423" t="s">
        <v>3518</v>
      </c>
      <c r="B3423" s="6">
        <v>45940</v>
      </c>
      <c r="C3423" s="6" t="str">
        <f>TEXT(Table3[[#This Row],[transaction_date]], "yyyy-mm")</f>
        <v>2025-10</v>
      </c>
      <c r="D3423" t="s">
        <v>95</v>
      </c>
      <c r="E3423" t="s">
        <v>3636</v>
      </c>
      <c r="F3423" t="s">
        <v>3606</v>
      </c>
      <c r="G3423" s="1">
        <v>2019089.49</v>
      </c>
    </row>
    <row r="3424" spans="1:7">
      <c r="A3424" t="s">
        <v>3519</v>
      </c>
      <c r="B3424" s="6">
        <v>45934</v>
      </c>
      <c r="C3424" s="6" t="str">
        <f>TEXT(Table3[[#This Row],[transaction_date]], "yyyy-mm")</f>
        <v>2025-10</v>
      </c>
      <c r="D3424" t="s">
        <v>3597</v>
      </c>
      <c r="E3424" t="s">
        <v>3636</v>
      </c>
      <c r="F3424" t="s">
        <v>3613</v>
      </c>
      <c r="G3424" s="1">
        <v>14489080.23</v>
      </c>
    </row>
    <row r="3425" spans="1:7">
      <c r="A3425" t="s">
        <v>3520</v>
      </c>
      <c r="B3425" s="6">
        <v>45885</v>
      </c>
      <c r="C3425" s="6" t="str">
        <f>TEXT(Table3[[#This Row],[transaction_date]], "yyyy-mm")</f>
        <v>2025-08</v>
      </c>
      <c r="D3425" t="s">
        <v>95</v>
      </c>
      <c r="E3425" t="s">
        <v>3636</v>
      </c>
      <c r="F3425" t="s">
        <v>3609</v>
      </c>
      <c r="G3425" s="1">
        <v>8045279.04</v>
      </c>
    </row>
    <row r="3426" spans="1:7">
      <c r="A3426" t="s">
        <v>3521</v>
      </c>
      <c r="B3426" s="6">
        <v>45709</v>
      </c>
      <c r="C3426" s="6" t="str">
        <f>TEXT(Table3[[#This Row],[transaction_date]], "yyyy-mm")</f>
        <v>2025-02</v>
      </c>
      <c r="D3426" t="s">
        <v>95</v>
      </c>
      <c r="E3426" t="s">
        <v>3637</v>
      </c>
      <c r="F3426" t="s">
        <v>3622</v>
      </c>
      <c r="G3426" s="1">
        <v>3259049.6</v>
      </c>
    </row>
    <row r="3427" spans="1:7">
      <c r="A3427" t="s">
        <v>3522</v>
      </c>
      <c r="B3427" s="6">
        <v>45820</v>
      </c>
      <c r="C3427" s="6" t="str">
        <f>TEXT(Table3[[#This Row],[transaction_date]], "yyyy-mm")</f>
        <v>2025-06</v>
      </c>
      <c r="D3427" t="s">
        <v>90</v>
      </c>
      <c r="E3427" t="s">
        <v>3636</v>
      </c>
      <c r="F3427" t="s">
        <v>3610</v>
      </c>
      <c r="G3427" s="1">
        <v>17182139.120000001</v>
      </c>
    </row>
    <row r="3428" spans="1:7">
      <c r="A3428" t="s">
        <v>3523</v>
      </c>
      <c r="B3428" s="6">
        <v>45867</v>
      </c>
      <c r="C3428" s="6" t="str">
        <f>TEXT(Table3[[#This Row],[transaction_date]], "yyyy-mm")</f>
        <v>2025-07</v>
      </c>
      <c r="D3428" t="s">
        <v>75</v>
      </c>
      <c r="E3428" t="s">
        <v>3636</v>
      </c>
      <c r="F3428" t="s">
        <v>3608</v>
      </c>
      <c r="G3428" s="1">
        <v>8857054.9299999997</v>
      </c>
    </row>
    <row r="3429" spans="1:7">
      <c r="A3429" t="s">
        <v>3524</v>
      </c>
      <c r="B3429" s="6">
        <v>45785</v>
      </c>
      <c r="C3429" s="6" t="str">
        <f>TEXT(Table3[[#This Row],[transaction_date]], "yyyy-mm")</f>
        <v>2025-05</v>
      </c>
      <c r="D3429" t="s">
        <v>73</v>
      </c>
      <c r="E3429" t="s">
        <v>3636</v>
      </c>
      <c r="F3429" t="s">
        <v>3609</v>
      </c>
      <c r="G3429" s="1">
        <v>307423.19</v>
      </c>
    </row>
    <row r="3430" spans="1:7">
      <c r="A3430" t="s">
        <v>3525</v>
      </c>
      <c r="B3430" s="6">
        <v>45725</v>
      </c>
      <c r="C3430" s="6" t="str">
        <f>TEXT(Table3[[#This Row],[transaction_date]], "yyyy-mm")</f>
        <v>2025-03</v>
      </c>
      <c r="D3430" t="s">
        <v>73</v>
      </c>
      <c r="E3430" t="s">
        <v>3637</v>
      </c>
      <c r="F3430" t="s">
        <v>3618</v>
      </c>
      <c r="G3430" s="1">
        <v>1896883.24</v>
      </c>
    </row>
    <row r="3431" spans="1:7">
      <c r="A3431" t="s">
        <v>3526</v>
      </c>
      <c r="B3431" s="6">
        <v>45868</v>
      </c>
      <c r="C3431" s="6" t="str">
        <f>TEXT(Table3[[#This Row],[transaction_date]], "yyyy-mm")</f>
        <v>2025-07</v>
      </c>
      <c r="D3431" t="s">
        <v>75</v>
      </c>
      <c r="E3431" t="s">
        <v>3636</v>
      </c>
      <c r="F3431" t="s">
        <v>3604</v>
      </c>
      <c r="G3431" s="1">
        <v>6127005.7000000002</v>
      </c>
    </row>
    <row r="3432" spans="1:7">
      <c r="A3432" t="s">
        <v>3527</v>
      </c>
      <c r="B3432" s="6">
        <v>46002</v>
      </c>
      <c r="C3432" s="6" t="str">
        <f>TEXT(Table3[[#This Row],[transaction_date]], "yyyy-mm")</f>
        <v>2025-12</v>
      </c>
      <c r="D3432" t="s">
        <v>89</v>
      </c>
      <c r="E3432" t="s">
        <v>3636</v>
      </c>
      <c r="F3432" t="s">
        <v>3610</v>
      </c>
      <c r="G3432" s="1">
        <v>2867594.91</v>
      </c>
    </row>
    <row r="3433" spans="1:7">
      <c r="A3433" t="s">
        <v>3528</v>
      </c>
      <c r="B3433" s="6">
        <v>45731</v>
      </c>
      <c r="C3433" s="6" t="str">
        <f>TEXT(Table3[[#This Row],[transaction_date]], "yyyy-mm")</f>
        <v>2025-03</v>
      </c>
      <c r="D3433" t="s">
        <v>76</v>
      </c>
      <c r="E3433" t="s">
        <v>3636</v>
      </c>
      <c r="F3433" t="s">
        <v>3612</v>
      </c>
      <c r="G3433" s="1">
        <v>6948528.9199999999</v>
      </c>
    </row>
    <row r="3434" spans="1:7">
      <c r="A3434" t="s">
        <v>3529</v>
      </c>
      <c r="B3434" s="6">
        <v>45924</v>
      </c>
      <c r="C3434" s="6" t="str">
        <f>TEXT(Table3[[#This Row],[transaction_date]], "yyyy-mm")</f>
        <v>2025-09</v>
      </c>
      <c r="D3434" t="s">
        <v>3597</v>
      </c>
      <c r="E3434" t="s">
        <v>3637</v>
      </c>
      <c r="F3434" t="s">
        <v>3614</v>
      </c>
      <c r="G3434" s="1">
        <v>4250685.43</v>
      </c>
    </row>
    <row r="3435" spans="1:7">
      <c r="A3435" t="s">
        <v>3530</v>
      </c>
      <c r="B3435" s="6">
        <v>45885</v>
      </c>
      <c r="C3435" s="6" t="str">
        <f>TEXT(Table3[[#This Row],[transaction_date]], "yyyy-mm")</f>
        <v>2025-08</v>
      </c>
      <c r="D3435" t="s">
        <v>3597</v>
      </c>
      <c r="E3435" t="s">
        <v>3636</v>
      </c>
      <c r="F3435" t="s">
        <v>3612</v>
      </c>
      <c r="G3435" s="1">
        <v>870635.4</v>
      </c>
    </row>
    <row r="3436" spans="1:7">
      <c r="A3436" t="s">
        <v>3531</v>
      </c>
      <c r="B3436" s="6">
        <v>45989</v>
      </c>
      <c r="C3436" s="6" t="str">
        <f>TEXT(Table3[[#This Row],[transaction_date]], "yyyy-mm")</f>
        <v>2025-11</v>
      </c>
      <c r="D3436" t="s">
        <v>93</v>
      </c>
      <c r="E3436" t="s">
        <v>3636</v>
      </c>
      <c r="F3436" t="s">
        <v>3612</v>
      </c>
      <c r="G3436" s="1">
        <v>8446282.2799999993</v>
      </c>
    </row>
    <row r="3437" spans="1:7">
      <c r="A3437" t="s">
        <v>3532</v>
      </c>
      <c r="B3437" s="6">
        <v>45880</v>
      </c>
      <c r="C3437" s="6" t="str">
        <f>TEXT(Table3[[#This Row],[transaction_date]], "yyyy-mm")</f>
        <v>2025-08</v>
      </c>
      <c r="D3437" t="s">
        <v>74</v>
      </c>
      <c r="E3437" t="s">
        <v>3636</v>
      </c>
      <c r="F3437" t="s">
        <v>3607</v>
      </c>
      <c r="G3437" s="1">
        <v>10299.76</v>
      </c>
    </row>
    <row r="3438" spans="1:7">
      <c r="A3438" t="s">
        <v>3533</v>
      </c>
      <c r="B3438" s="6">
        <v>45817</v>
      </c>
      <c r="C3438" s="6" t="str">
        <f>TEXT(Table3[[#This Row],[transaction_date]], "yyyy-mm")</f>
        <v>2025-06</v>
      </c>
      <c r="D3438" t="s">
        <v>79</v>
      </c>
      <c r="E3438" t="s">
        <v>3637</v>
      </c>
      <c r="F3438" t="s">
        <v>3623</v>
      </c>
      <c r="G3438" s="1">
        <v>4395154.37</v>
      </c>
    </row>
    <row r="3439" spans="1:7">
      <c r="A3439" t="s">
        <v>3534</v>
      </c>
      <c r="B3439" s="6">
        <v>45671</v>
      </c>
      <c r="C3439" s="6" t="str">
        <f>TEXT(Table3[[#This Row],[transaction_date]], "yyyy-mm")</f>
        <v>2025-01</v>
      </c>
      <c r="D3439" t="s">
        <v>74</v>
      </c>
      <c r="E3439" t="s">
        <v>3636</v>
      </c>
      <c r="F3439" t="s">
        <v>3605</v>
      </c>
      <c r="G3439" s="1">
        <v>156325.41</v>
      </c>
    </row>
    <row r="3440" spans="1:7">
      <c r="A3440" t="s">
        <v>3535</v>
      </c>
      <c r="B3440" s="6">
        <v>45930</v>
      </c>
      <c r="C3440" s="6" t="str">
        <f>TEXT(Table3[[#This Row],[transaction_date]], "yyyy-mm")</f>
        <v>2025-09</v>
      </c>
      <c r="D3440" t="s">
        <v>74</v>
      </c>
      <c r="E3440" t="s">
        <v>3637</v>
      </c>
      <c r="F3440" t="s">
        <v>3619</v>
      </c>
      <c r="G3440" s="1">
        <v>507104.99</v>
      </c>
    </row>
    <row r="3441" spans="1:7">
      <c r="A3441" t="s">
        <v>3536</v>
      </c>
      <c r="B3441" s="6">
        <v>45665</v>
      </c>
      <c r="C3441" s="6" t="str">
        <f>TEXT(Table3[[#This Row],[transaction_date]], "yyyy-mm")</f>
        <v>2025-01</v>
      </c>
      <c r="D3441" t="s">
        <v>90</v>
      </c>
      <c r="E3441" t="s">
        <v>3637</v>
      </c>
      <c r="F3441" t="s">
        <v>3621</v>
      </c>
      <c r="G3441" s="1">
        <v>6199587.4900000002</v>
      </c>
    </row>
    <row r="3442" spans="1:7">
      <c r="A3442" t="s">
        <v>3537</v>
      </c>
      <c r="B3442" s="6">
        <v>45878</v>
      </c>
      <c r="C3442" s="6" t="str">
        <f>TEXT(Table3[[#This Row],[transaction_date]], "yyyy-mm")</f>
        <v>2025-08</v>
      </c>
      <c r="D3442" t="s">
        <v>82</v>
      </c>
      <c r="E3442" t="s">
        <v>3636</v>
      </c>
      <c r="F3442" t="s">
        <v>3605</v>
      </c>
      <c r="G3442" s="1">
        <v>1423021.91</v>
      </c>
    </row>
    <row r="3443" spans="1:7">
      <c r="A3443" t="s">
        <v>3538</v>
      </c>
      <c r="B3443" s="6">
        <v>45680</v>
      </c>
      <c r="C3443" s="6" t="str">
        <f>TEXT(Table3[[#This Row],[transaction_date]], "yyyy-mm")</f>
        <v>2025-01</v>
      </c>
      <c r="D3443" t="s">
        <v>74</v>
      </c>
      <c r="E3443" t="s">
        <v>3636</v>
      </c>
      <c r="F3443" t="s">
        <v>3605</v>
      </c>
      <c r="G3443" s="1">
        <v>559755.56999999995</v>
      </c>
    </row>
    <row r="3444" spans="1:7">
      <c r="A3444" t="s">
        <v>3539</v>
      </c>
      <c r="B3444" s="6">
        <v>45677</v>
      </c>
      <c r="C3444" s="6" t="str">
        <f>TEXT(Table3[[#This Row],[transaction_date]], "yyyy-mm")</f>
        <v>2025-01</v>
      </c>
      <c r="D3444" t="s">
        <v>74</v>
      </c>
      <c r="E3444" t="s">
        <v>3636</v>
      </c>
      <c r="F3444" t="s">
        <v>3605</v>
      </c>
      <c r="G3444" s="1">
        <v>386050.15</v>
      </c>
    </row>
    <row r="3445" spans="1:7">
      <c r="A3445" t="s">
        <v>3540</v>
      </c>
      <c r="B3445" s="6">
        <v>45996</v>
      </c>
      <c r="C3445" s="6" t="str">
        <f>TEXT(Table3[[#This Row],[transaction_date]], "yyyy-mm")</f>
        <v>2025-12</v>
      </c>
      <c r="D3445" t="s">
        <v>80</v>
      </c>
      <c r="E3445" t="s">
        <v>3637</v>
      </c>
      <c r="F3445" t="s">
        <v>3615</v>
      </c>
      <c r="G3445" s="1">
        <v>482733.8</v>
      </c>
    </row>
    <row r="3446" spans="1:7">
      <c r="A3446" t="s">
        <v>3541</v>
      </c>
      <c r="B3446" s="6">
        <v>45724</v>
      </c>
      <c r="C3446" s="6" t="str">
        <f>TEXT(Table3[[#This Row],[transaction_date]], "yyyy-mm")</f>
        <v>2025-03</v>
      </c>
      <c r="D3446" t="s">
        <v>90</v>
      </c>
      <c r="E3446" t="s">
        <v>3637</v>
      </c>
      <c r="F3446" t="s">
        <v>3617</v>
      </c>
      <c r="G3446" s="1">
        <v>20791547.440000001</v>
      </c>
    </row>
    <row r="3447" spans="1:7">
      <c r="A3447" t="s">
        <v>3542</v>
      </c>
      <c r="B3447" s="6">
        <v>45743</v>
      </c>
      <c r="C3447" s="6" t="str">
        <f>TEXT(Table3[[#This Row],[transaction_date]], "yyyy-mm")</f>
        <v>2025-03</v>
      </c>
      <c r="D3447" t="s">
        <v>93</v>
      </c>
      <c r="E3447" t="s">
        <v>3637</v>
      </c>
      <c r="F3447" t="s">
        <v>3620</v>
      </c>
      <c r="G3447" s="1">
        <v>78100.69</v>
      </c>
    </row>
    <row r="3448" spans="1:7">
      <c r="A3448" t="s">
        <v>3543</v>
      </c>
      <c r="B3448" s="6">
        <v>45965</v>
      </c>
      <c r="C3448" s="6" t="str">
        <f>TEXT(Table3[[#This Row],[transaction_date]], "yyyy-mm")</f>
        <v>2025-11</v>
      </c>
      <c r="D3448" t="s">
        <v>75</v>
      </c>
      <c r="E3448" t="s">
        <v>3636</v>
      </c>
      <c r="F3448" t="s">
        <v>3605</v>
      </c>
      <c r="G3448" s="1">
        <v>13598903.27</v>
      </c>
    </row>
    <row r="3449" spans="1:7">
      <c r="A3449" t="s">
        <v>3544</v>
      </c>
      <c r="B3449" s="6">
        <v>45851</v>
      </c>
      <c r="C3449" s="6" t="str">
        <f>TEXT(Table3[[#This Row],[transaction_date]], "yyyy-mm")</f>
        <v>2025-07</v>
      </c>
      <c r="D3449" t="s">
        <v>74</v>
      </c>
      <c r="E3449" t="s">
        <v>3636</v>
      </c>
      <c r="F3449" t="s">
        <v>3613</v>
      </c>
      <c r="G3449" s="1">
        <v>2006934.43</v>
      </c>
    </row>
    <row r="3450" spans="1:7">
      <c r="A3450" t="s">
        <v>3545</v>
      </c>
      <c r="B3450" s="6">
        <v>45755</v>
      </c>
      <c r="C3450" s="6" t="str">
        <f>TEXT(Table3[[#This Row],[transaction_date]], "yyyy-mm")</f>
        <v>2025-04</v>
      </c>
      <c r="D3450" t="s">
        <v>73</v>
      </c>
      <c r="E3450" t="s">
        <v>3636</v>
      </c>
      <c r="F3450" t="s">
        <v>3611</v>
      </c>
      <c r="G3450" s="1">
        <v>3824857.52</v>
      </c>
    </row>
    <row r="3451" spans="1:7">
      <c r="A3451" t="s">
        <v>3546</v>
      </c>
      <c r="B3451" s="6">
        <v>46010</v>
      </c>
      <c r="C3451" s="6" t="str">
        <f>TEXT(Table3[[#This Row],[transaction_date]], "yyyy-mm")</f>
        <v>2025-12</v>
      </c>
      <c r="D3451" t="s">
        <v>89</v>
      </c>
      <c r="E3451" t="s">
        <v>3637</v>
      </c>
      <c r="F3451" t="s">
        <v>3618</v>
      </c>
      <c r="G3451" s="1">
        <v>1323857.22</v>
      </c>
    </row>
    <row r="3452" spans="1:7">
      <c r="A3452" t="s">
        <v>3547</v>
      </c>
      <c r="B3452" s="6">
        <v>45783</v>
      </c>
      <c r="C3452" s="6" t="str">
        <f>TEXT(Table3[[#This Row],[transaction_date]], "yyyy-mm")</f>
        <v>2025-05</v>
      </c>
      <c r="D3452" t="s">
        <v>75</v>
      </c>
      <c r="E3452" t="s">
        <v>3637</v>
      </c>
      <c r="F3452" t="s">
        <v>3617</v>
      </c>
      <c r="G3452" s="1">
        <v>10410375.859999999</v>
      </c>
    </row>
    <row r="3453" spans="1:7">
      <c r="A3453" t="s">
        <v>3548</v>
      </c>
      <c r="B3453" s="6">
        <v>45906</v>
      </c>
      <c r="C3453" s="6" t="str">
        <f>TEXT(Table3[[#This Row],[transaction_date]], "yyyy-mm")</f>
        <v>2025-09</v>
      </c>
      <c r="D3453" t="s">
        <v>77</v>
      </c>
      <c r="E3453" t="s">
        <v>3636</v>
      </c>
      <c r="F3453" t="s">
        <v>3608</v>
      </c>
      <c r="G3453" s="1">
        <v>17617182.170000002</v>
      </c>
    </row>
    <row r="3454" spans="1:7">
      <c r="A3454" t="s">
        <v>3549</v>
      </c>
      <c r="B3454" s="6">
        <v>45734</v>
      </c>
      <c r="C3454" s="6" t="str">
        <f>TEXT(Table3[[#This Row],[transaction_date]], "yyyy-mm")</f>
        <v>2025-03</v>
      </c>
      <c r="D3454" t="s">
        <v>75</v>
      </c>
      <c r="E3454" t="s">
        <v>3637</v>
      </c>
      <c r="F3454" t="s">
        <v>3615</v>
      </c>
      <c r="G3454" s="1">
        <v>8404149.0399999991</v>
      </c>
    </row>
    <row r="3455" spans="1:7">
      <c r="A3455" t="s">
        <v>3550</v>
      </c>
      <c r="B3455" s="6">
        <v>45713</v>
      </c>
      <c r="C3455" s="6" t="str">
        <f>TEXT(Table3[[#This Row],[transaction_date]], "yyyy-mm")</f>
        <v>2025-02</v>
      </c>
      <c r="D3455" t="s">
        <v>90</v>
      </c>
      <c r="E3455" t="s">
        <v>3637</v>
      </c>
      <c r="F3455" t="s">
        <v>3619</v>
      </c>
      <c r="G3455" s="1">
        <v>11926714.470000001</v>
      </c>
    </row>
    <row r="3456" spans="1:7">
      <c r="A3456" t="s">
        <v>3551</v>
      </c>
      <c r="B3456" s="6">
        <v>45994</v>
      </c>
      <c r="C3456" s="6" t="str">
        <f>TEXT(Table3[[#This Row],[transaction_date]], "yyyy-mm")</f>
        <v>2025-12</v>
      </c>
      <c r="D3456" t="s">
        <v>73</v>
      </c>
      <c r="E3456" t="s">
        <v>3637</v>
      </c>
      <c r="F3456" t="s">
        <v>3619</v>
      </c>
      <c r="G3456" s="1">
        <v>3204466.38</v>
      </c>
    </row>
    <row r="3457" spans="1:7">
      <c r="A3457" t="s">
        <v>3552</v>
      </c>
      <c r="B3457" s="6">
        <v>45719</v>
      </c>
      <c r="C3457" s="6" t="str">
        <f>TEXT(Table3[[#This Row],[transaction_date]], "yyyy-mm")</f>
        <v>2025-03</v>
      </c>
      <c r="D3457" t="s">
        <v>75</v>
      </c>
      <c r="E3457" t="s">
        <v>3636</v>
      </c>
      <c r="F3457" t="s">
        <v>3612</v>
      </c>
      <c r="G3457" s="1">
        <v>3604108.4</v>
      </c>
    </row>
    <row r="3458" spans="1:7">
      <c r="A3458" t="s">
        <v>3553</v>
      </c>
      <c r="B3458" s="6">
        <v>45902</v>
      </c>
      <c r="C3458" s="6" t="str">
        <f>TEXT(Table3[[#This Row],[transaction_date]], "yyyy-mm")</f>
        <v>2025-09</v>
      </c>
      <c r="D3458" t="s">
        <v>95</v>
      </c>
      <c r="E3458" t="s">
        <v>3636</v>
      </c>
      <c r="F3458" t="s">
        <v>3604</v>
      </c>
      <c r="G3458" s="1">
        <v>283190.94</v>
      </c>
    </row>
    <row r="3459" spans="1:7">
      <c r="A3459" t="s">
        <v>3554</v>
      </c>
      <c r="B3459" s="6">
        <v>45721</v>
      </c>
      <c r="C3459" s="6" t="str">
        <f>TEXT(Table3[[#This Row],[transaction_date]], "yyyy-mm")</f>
        <v>2025-03</v>
      </c>
      <c r="D3459" t="s">
        <v>74</v>
      </c>
      <c r="E3459" t="s">
        <v>3637</v>
      </c>
      <c r="F3459" t="s">
        <v>3615</v>
      </c>
      <c r="G3459" s="1">
        <v>3162315.65</v>
      </c>
    </row>
    <row r="3460" spans="1:7">
      <c r="A3460" t="s">
        <v>3555</v>
      </c>
      <c r="B3460" s="6">
        <v>45964</v>
      </c>
      <c r="C3460" s="6" t="str">
        <f>TEXT(Table3[[#This Row],[transaction_date]], "yyyy-mm")</f>
        <v>2025-11</v>
      </c>
      <c r="D3460" t="s">
        <v>85</v>
      </c>
      <c r="E3460" t="s">
        <v>3636</v>
      </c>
      <c r="F3460" t="s">
        <v>3613</v>
      </c>
      <c r="G3460" s="1">
        <v>1267974.3400000001</v>
      </c>
    </row>
    <row r="3461" spans="1:7">
      <c r="A3461" t="s">
        <v>3556</v>
      </c>
      <c r="B3461" s="6">
        <v>45933</v>
      </c>
      <c r="C3461" s="6" t="str">
        <f>TEXT(Table3[[#This Row],[transaction_date]], "yyyy-mm")</f>
        <v>2025-10</v>
      </c>
      <c r="D3461" t="s">
        <v>76</v>
      </c>
      <c r="E3461" t="s">
        <v>3636</v>
      </c>
      <c r="F3461" t="s">
        <v>3609</v>
      </c>
      <c r="G3461" s="1">
        <v>8868900.0399999991</v>
      </c>
    </row>
    <row r="3462" spans="1:7">
      <c r="A3462" t="s">
        <v>3557</v>
      </c>
      <c r="B3462" s="6">
        <v>45925</v>
      </c>
      <c r="C3462" s="6" t="str">
        <f>TEXT(Table3[[#This Row],[transaction_date]], "yyyy-mm")</f>
        <v>2025-09</v>
      </c>
      <c r="D3462" t="s">
        <v>74</v>
      </c>
      <c r="E3462" t="s">
        <v>3636</v>
      </c>
      <c r="F3462" t="s">
        <v>3610</v>
      </c>
      <c r="G3462" s="1">
        <v>503025.21</v>
      </c>
    </row>
    <row r="3463" spans="1:7">
      <c r="A3463" t="s">
        <v>3558</v>
      </c>
      <c r="B3463" s="6">
        <v>46015</v>
      </c>
      <c r="C3463" s="6" t="str">
        <f>TEXT(Table3[[#This Row],[transaction_date]], "yyyy-mm")</f>
        <v>2025-12</v>
      </c>
      <c r="D3463" t="s">
        <v>75</v>
      </c>
      <c r="E3463" t="s">
        <v>3637</v>
      </c>
      <c r="F3463" t="s">
        <v>3617</v>
      </c>
      <c r="G3463" s="1">
        <v>11305658.92</v>
      </c>
    </row>
    <row r="3464" spans="1:7">
      <c r="A3464" t="s">
        <v>3559</v>
      </c>
      <c r="B3464" s="6">
        <v>45947</v>
      </c>
      <c r="C3464" s="6" t="str">
        <f>TEXT(Table3[[#This Row],[transaction_date]], "yyyy-mm")</f>
        <v>2025-10</v>
      </c>
      <c r="D3464" t="s">
        <v>77</v>
      </c>
      <c r="E3464" t="s">
        <v>3637</v>
      </c>
      <c r="F3464" t="s">
        <v>3620</v>
      </c>
      <c r="G3464" s="1">
        <v>9196795.8200000003</v>
      </c>
    </row>
    <row r="3465" spans="1:7">
      <c r="A3465" t="s">
        <v>3560</v>
      </c>
      <c r="B3465" s="6">
        <v>45776</v>
      </c>
      <c r="C3465" s="6" t="str">
        <f>TEXT(Table3[[#This Row],[transaction_date]], "yyyy-mm")</f>
        <v>2025-04</v>
      </c>
      <c r="D3465" t="s">
        <v>74</v>
      </c>
      <c r="E3465" t="s">
        <v>3636</v>
      </c>
      <c r="F3465" t="s">
        <v>3606</v>
      </c>
      <c r="G3465" s="1">
        <v>453090.96</v>
      </c>
    </row>
    <row r="3466" spans="1:7">
      <c r="A3466" t="s">
        <v>3561</v>
      </c>
      <c r="B3466" s="6">
        <v>45786</v>
      </c>
      <c r="C3466" s="6" t="str">
        <f>TEXT(Table3[[#This Row],[transaction_date]], "yyyy-mm")</f>
        <v>2025-05</v>
      </c>
      <c r="D3466" t="s">
        <v>79</v>
      </c>
      <c r="E3466" t="s">
        <v>3636</v>
      </c>
      <c r="F3466" t="s">
        <v>3612</v>
      </c>
      <c r="G3466" s="1">
        <v>2024015.43</v>
      </c>
    </row>
    <row r="3467" spans="1:7">
      <c r="A3467" t="s">
        <v>3562</v>
      </c>
      <c r="B3467" s="6">
        <v>45830</v>
      </c>
      <c r="C3467" s="6" t="str">
        <f>TEXT(Table3[[#This Row],[transaction_date]], "yyyy-mm")</f>
        <v>2025-06</v>
      </c>
      <c r="D3467" t="s">
        <v>77</v>
      </c>
      <c r="E3467" t="s">
        <v>3637</v>
      </c>
      <c r="F3467" t="s">
        <v>3617</v>
      </c>
      <c r="G3467" s="1">
        <v>1537827.58</v>
      </c>
    </row>
    <row r="3468" spans="1:7">
      <c r="A3468" t="s">
        <v>3563</v>
      </c>
      <c r="B3468" s="6">
        <v>45836</v>
      </c>
      <c r="C3468" s="6" t="str">
        <f>TEXT(Table3[[#This Row],[transaction_date]], "yyyy-mm")</f>
        <v>2025-06</v>
      </c>
      <c r="D3468" t="s">
        <v>77</v>
      </c>
      <c r="E3468" t="s">
        <v>3637</v>
      </c>
      <c r="F3468" t="s">
        <v>3615</v>
      </c>
      <c r="G3468" s="1">
        <v>2898273.59</v>
      </c>
    </row>
    <row r="3469" spans="1:7">
      <c r="A3469" t="s">
        <v>3564</v>
      </c>
      <c r="B3469" s="6">
        <v>45997</v>
      </c>
      <c r="C3469" s="6" t="str">
        <f>TEXT(Table3[[#This Row],[transaction_date]], "yyyy-mm")</f>
        <v>2025-12</v>
      </c>
      <c r="D3469" t="s">
        <v>73</v>
      </c>
      <c r="E3469" t="s">
        <v>3636</v>
      </c>
      <c r="F3469" t="s">
        <v>3609</v>
      </c>
      <c r="G3469" s="1">
        <v>758506.69</v>
      </c>
    </row>
    <row r="3470" spans="1:7">
      <c r="A3470" t="s">
        <v>3565</v>
      </c>
      <c r="B3470" s="6">
        <v>45959</v>
      </c>
      <c r="C3470" s="6" t="str">
        <f>TEXT(Table3[[#This Row],[transaction_date]], "yyyy-mm")</f>
        <v>2025-10</v>
      </c>
      <c r="D3470" t="s">
        <v>85</v>
      </c>
      <c r="E3470" t="s">
        <v>3636</v>
      </c>
      <c r="F3470" t="s">
        <v>3606</v>
      </c>
      <c r="G3470" s="1">
        <v>1007550.84</v>
      </c>
    </row>
    <row r="3471" spans="1:7">
      <c r="A3471" t="s">
        <v>3566</v>
      </c>
      <c r="B3471" s="6">
        <v>45758</v>
      </c>
      <c r="C3471" s="6" t="str">
        <f>TEXT(Table3[[#This Row],[transaction_date]], "yyyy-mm")</f>
        <v>2025-04</v>
      </c>
      <c r="D3471" t="s">
        <v>85</v>
      </c>
      <c r="E3471" t="s">
        <v>3637</v>
      </c>
      <c r="F3471" t="s">
        <v>3621</v>
      </c>
      <c r="G3471" s="1">
        <v>196537.65</v>
      </c>
    </row>
    <row r="3472" spans="1:7">
      <c r="A3472" t="s">
        <v>3567</v>
      </c>
      <c r="B3472" s="6">
        <v>45831</v>
      </c>
      <c r="C3472" s="6" t="str">
        <f>TEXT(Table3[[#This Row],[transaction_date]], "yyyy-mm")</f>
        <v>2025-06</v>
      </c>
      <c r="D3472" t="s">
        <v>85</v>
      </c>
      <c r="E3472" t="s">
        <v>3637</v>
      </c>
      <c r="F3472" t="s">
        <v>3616</v>
      </c>
      <c r="G3472" s="1">
        <v>1754603.26</v>
      </c>
    </row>
    <row r="3473" spans="1:7">
      <c r="A3473" t="s">
        <v>3568</v>
      </c>
      <c r="B3473" s="6">
        <v>46022</v>
      </c>
      <c r="C3473" s="6" t="str">
        <f>TEXT(Table3[[#This Row],[transaction_date]], "yyyy-mm")</f>
        <v>2025-12</v>
      </c>
      <c r="D3473" t="s">
        <v>76</v>
      </c>
      <c r="E3473" t="s">
        <v>3636</v>
      </c>
      <c r="F3473" t="s">
        <v>3608</v>
      </c>
      <c r="G3473" s="1">
        <v>1895178.25</v>
      </c>
    </row>
    <row r="3474" spans="1:7">
      <c r="A3474" t="s">
        <v>3569</v>
      </c>
      <c r="B3474" s="6">
        <v>45854</v>
      </c>
      <c r="C3474" s="6" t="str">
        <f>TEXT(Table3[[#This Row],[transaction_date]], "yyyy-mm")</f>
        <v>2025-07</v>
      </c>
      <c r="D3474" t="s">
        <v>82</v>
      </c>
      <c r="E3474" t="s">
        <v>3636</v>
      </c>
      <c r="F3474" t="s">
        <v>3613</v>
      </c>
      <c r="G3474" s="1">
        <v>10126366.119999999</v>
      </c>
    </row>
    <row r="3475" spans="1:7">
      <c r="A3475" t="s">
        <v>3570</v>
      </c>
      <c r="B3475" s="6">
        <v>45797</v>
      </c>
      <c r="C3475" s="6" t="str">
        <f>TEXT(Table3[[#This Row],[transaction_date]], "yyyy-mm")</f>
        <v>2025-05</v>
      </c>
      <c r="D3475" t="s">
        <v>74</v>
      </c>
      <c r="E3475" t="s">
        <v>3636</v>
      </c>
      <c r="F3475" t="s">
        <v>3611</v>
      </c>
      <c r="G3475" s="1">
        <v>1278474.98</v>
      </c>
    </row>
    <row r="3476" spans="1:7">
      <c r="A3476" t="s">
        <v>3571</v>
      </c>
      <c r="B3476" s="6">
        <v>45755</v>
      </c>
      <c r="C3476" s="6" t="str">
        <f>TEXT(Table3[[#This Row],[transaction_date]], "yyyy-mm")</f>
        <v>2025-04</v>
      </c>
      <c r="D3476" t="s">
        <v>75</v>
      </c>
      <c r="E3476" t="s">
        <v>3637</v>
      </c>
      <c r="F3476" t="s">
        <v>3620</v>
      </c>
      <c r="G3476" s="1">
        <v>6390029.7699999996</v>
      </c>
    </row>
    <row r="3477" spans="1:7">
      <c r="A3477" t="s">
        <v>3572</v>
      </c>
      <c r="B3477" s="6">
        <v>45855</v>
      </c>
      <c r="C3477" s="6" t="str">
        <f>TEXT(Table3[[#This Row],[transaction_date]], "yyyy-mm")</f>
        <v>2025-07</v>
      </c>
      <c r="D3477" t="s">
        <v>80</v>
      </c>
      <c r="E3477" t="s">
        <v>3636</v>
      </c>
      <c r="F3477" t="s">
        <v>3608</v>
      </c>
      <c r="G3477" s="1">
        <v>1594864.44</v>
      </c>
    </row>
    <row r="3478" spans="1:7">
      <c r="A3478" t="s">
        <v>3573</v>
      </c>
      <c r="B3478" s="6">
        <v>45699</v>
      </c>
      <c r="C3478" s="6" t="str">
        <f>TEXT(Table3[[#This Row],[transaction_date]], "yyyy-mm")</f>
        <v>2025-02</v>
      </c>
      <c r="D3478" t="s">
        <v>89</v>
      </c>
      <c r="E3478" t="s">
        <v>3636</v>
      </c>
      <c r="F3478" t="s">
        <v>3609</v>
      </c>
      <c r="G3478" s="1">
        <v>878997.78</v>
      </c>
    </row>
    <row r="3479" spans="1:7">
      <c r="A3479" t="s">
        <v>3574</v>
      </c>
      <c r="B3479" s="6">
        <v>45709</v>
      </c>
      <c r="C3479" s="6" t="str">
        <f>TEXT(Table3[[#This Row],[transaction_date]], "yyyy-mm")</f>
        <v>2025-02</v>
      </c>
      <c r="D3479" t="s">
        <v>77</v>
      </c>
      <c r="E3479" t="s">
        <v>3637</v>
      </c>
      <c r="F3479" t="s">
        <v>3618</v>
      </c>
      <c r="G3479" s="1">
        <v>14832821.17</v>
      </c>
    </row>
    <row r="3480" spans="1:7">
      <c r="A3480" t="s">
        <v>3575</v>
      </c>
      <c r="B3480" s="6">
        <v>45695</v>
      </c>
      <c r="C3480" s="6" t="str">
        <f>TEXT(Table3[[#This Row],[transaction_date]], "yyyy-mm")</f>
        <v>2025-02</v>
      </c>
      <c r="D3480" t="s">
        <v>90</v>
      </c>
      <c r="E3480" t="s">
        <v>3637</v>
      </c>
      <c r="F3480" t="s">
        <v>3619</v>
      </c>
      <c r="G3480" s="1">
        <v>6547219.6500000004</v>
      </c>
    </row>
    <row r="3481" spans="1:7">
      <c r="A3481" t="s">
        <v>3576</v>
      </c>
      <c r="B3481" s="6">
        <v>45729</v>
      </c>
      <c r="C3481" s="6" t="str">
        <f>TEXT(Table3[[#This Row],[transaction_date]], "yyyy-mm")</f>
        <v>2025-03</v>
      </c>
      <c r="D3481" t="s">
        <v>84</v>
      </c>
      <c r="E3481" t="s">
        <v>3637</v>
      </c>
      <c r="F3481" t="s">
        <v>3619</v>
      </c>
      <c r="G3481" s="1">
        <v>6009371.3899999997</v>
      </c>
    </row>
    <row r="3482" spans="1:7">
      <c r="A3482" t="s">
        <v>3577</v>
      </c>
      <c r="B3482" s="6">
        <v>45741</v>
      </c>
      <c r="C3482" s="6" t="str">
        <f>TEXT(Table3[[#This Row],[transaction_date]], "yyyy-mm")</f>
        <v>2025-03</v>
      </c>
      <c r="D3482" t="s">
        <v>3597</v>
      </c>
      <c r="E3482" t="s">
        <v>3637</v>
      </c>
      <c r="F3482" t="s">
        <v>3618</v>
      </c>
      <c r="G3482" s="1">
        <v>6110892.3799999999</v>
      </c>
    </row>
    <row r="3483" spans="1:7">
      <c r="A3483" t="s">
        <v>3578</v>
      </c>
      <c r="B3483" s="6">
        <v>45671</v>
      </c>
      <c r="C3483" s="6" t="str">
        <f>TEXT(Table3[[#This Row],[transaction_date]], "yyyy-mm")</f>
        <v>2025-01</v>
      </c>
      <c r="D3483" t="s">
        <v>89</v>
      </c>
      <c r="E3483" t="s">
        <v>3636</v>
      </c>
      <c r="F3483" t="s">
        <v>3607</v>
      </c>
      <c r="G3483" s="1">
        <v>17823.060000000001</v>
      </c>
    </row>
    <row r="3484" spans="1:7">
      <c r="A3484" t="s">
        <v>3579</v>
      </c>
      <c r="B3484" s="6">
        <v>45973</v>
      </c>
      <c r="C3484" s="6" t="str">
        <f>TEXT(Table3[[#This Row],[transaction_date]], "yyyy-mm")</f>
        <v>2025-11</v>
      </c>
      <c r="D3484" t="s">
        <v>79</v>
      </c>
      <c r="E3484" t="s">
        <v>3637</v>
      </c>
      <c r="F3484" t="s">
        <v>3623</v>
      </c>
      <c r="G3484" s="1">
        <v>845876.74</v>
      </c>
    </row>
    <row r="3485" spans="1:7">
      <c r="A3485" t="s">
        <v>3580</v>
      </c>
      <c r="B3485" s="6">
        <v>45833</v>
      </c>
      <c r="C3485" s="6" t="str">
        <f>TEXT(Table3[[#This Row],[transaction_date]], "yyyy-mm")</f>
        <v>2025-06</v>
      </c>
      <c r="D3485" t="s">
        <v>82</v>
      </c>
      <c r="E3485" t="s">
        <v>3637</v>
      </c>
      <c r="F3485" t="s">
        <v>3618</v>
      </c>
      <c r="G3485" s="1">
        <v>8478835.6300000008</v>
      </c>
    </row>
    <row r="3486" spans="1:7">
      <c r="A3486" t="s">
        <v>3581</v>
      </c>
      <c r="B3486" s="6">
        <v>45921</v>
      </c>
      <c r="C3486" s="6" t="str">
        <f>TEXT(Table3[[#This Row],[transaction_date]], "yyyy-mm")</f>
        <v>2025-09</v>
      </c>
      <c r="D3486" t="s">
        <v>82</v>
      </c>
      <c r="E3486" t="s">
        <v>3637</v>
      </c>
      <c r="F3486" t="s">
        <v>3623</v>
      </c>
      <c r="G3486" s="1">
        <v>13610855.970000001</v>
      </c>
    </row>
    <row r="3487" spans="1:7">
      <c r="A3487" t="s">
        <v>3582</v>
      </c>
      <c r="B3487" s="6">
        <v>45884</v>
      </c>
      <c r="C3487" s="6" t="str">
        <f>TEXT(Table3[[#This Row],[transaction_date]], "yyyy-mm")</f>
        <v>2025-08</v>
      </c>
      <c r="D3487" t="s">
        <v>76</v>
      </c>
      <c r="E3487" t="s">
        <v>3637</v>
      </c>
      <c r="F3487" t="s">
        <v>3622</v>
      </c>
      <c r="G3487" s="1">
        <v>1002742.05</v>
      </c>
    </row>
    <row r="3488" spans="1:7">
      <c r="A3488" t="s">
        <v>3583</v>
      </c>
      <c r="B3488" s="6">
        <v>45760</v>
      </c>
      <c r="C3488" s="6" t="str">
        <f>TEXT(Table3[[#This Row],[transaction_date]], "yyyy-mm")</f>
        <v>2025-04</v>
      </c>
      <c r="D3488" t="s">
        <v>3597</v>
      </c>
      <c r="E3488" t="s">
        <v>3636</v>
      </c>
      <c r="F3488" t="s">
        <v>3612</v>
      </c>
      <c r="G3488" s="1">
        <v>643692.32999999996</v>
      </c>
    </row>
    <row r="3489" spans="1:7">
      <c r="A3489" t="s">
        <v>3584</v>
      </c>
      <c r="B3489" s="6">
        <v>45837</v>
      </c>
      <c r="C3489" s="6" t="str">
        <f>TEXT(Table3[[#This Row],[transaction_date]], "yyyy-mm")</f>
        <v>2025-06</v>
      </c>
      <c r="D3489" t="s">
        <v>82</v>
      </c>
      <c r="E3489" t="s">
        <v>3637</v>
      </c>
      <c r="F3489" t="s">
        <v>3623</v>
      </c>
      <c r="G3489" s="1">
        <v>5089693.79</v>
      </c>
    </row>
    <row r="3490" spans="1:7">
      <c r="A3490" t="s">
        <v>3585</v>
      </c>
      <c r="B3490" s="6">
        <v>45796</v>
      </c>
      <c r="C3490" s="6" t="str">
        <f>TEXT(Table3[[#This Row],[transaction_date]], "yyyy-mm")</f>
        <v>2025-05</v>
      </c>
      <c r="D3490" t="s">
        <v>84</v>
      </c>
      <c r="E3490" t="s">
        <v>3636</v>
      </c>
      <c r="F3490" t="s">
        <v>3613</v>
      </c>
      <c r="G3490" s="1">
        <v>17893143.870000001</v>
      </c>
    </row>
    <row r="3491" spans="1:7">
      <c r="A3491" t="s">
        <v>3586</v>
      </c>
      <c r="B3491" s="6">
        <v>45954</v>
      </c>
      <c r="C3491" s="6" t="str">
        <f>TEXT(Table3[[#This Row],[transaction_date]], "yyyy-mm")</f>
        <v>2025-10</v>
      </c>
      <c r="D3491" t="s">
        <v>77</v>
      </c>
      <c r="E3491" t="s">
        <v>3636</v>
      </c>
      <c r="F3491" t="s">
        <v>3613</v>
      </c>
      <c r="G3491" s="1">
        <v>12212392.640000001</v>
      </c>
    </row>
    <row r="3492" spans="1:7">
      <c r="A3492" t="s">
        <v>3587</v>
      </c>
      <c r="B3492" s="6">
        <v>45917</v>
      </c>
      <c r="C3492" s="6" t="str">
        <f>TEXT(Table3[[#This Row],[transaction_date]], "yyyy-mm")</f>
        <v>2025-09</v>
      </c>
      <c r="D3492" t="s">
        <v>79</v>
      </c>
      <c r="E3492" t="s">
        <v>3637</v>
      </c>
      <c r="F3492" t="s">
        <v>3618</v>
      </c>
      <c r="G3492" s="1">
        <v>399241.57</v>
      </c>
    </row>
    <row r="3493" spans="1:7">
      <c r="A3493" t="s">
        <v>3588</v>
      </c>
      <c r="B3493" s="6">
        <v>45816</v>
      </c>
      <c r="C3493" s="6" t="str">
        <f>TEXT(Table3[[#This Row],[transaction_date]], "yyyy-mm")</f>
        <v>2025-06</v>
      </c>
      <c r="D3493" t="s">
        <v>93</v>
      </c>
      <c r="E3493" t="s">
        <v>3637</v>
      </c>
      <c r="F3493" t="s">
        <v>3614</v>
      </c>
      <c r="G3493" s="1">
        <v>11011363.109999999</v>
      </c>
    </row>
    <row r="3494" spans="1:7">
      <c r="A3494" t="s">
        <v>3589</v>
      </c>
      <c r="B3494" s="6">
        <v>45821</v>
      </c>
      <c r="C3494" s="6" t="str">
        <f>TEXT(Table3[[#This Row],[transaction_date]], "yyyy-mm")</f>
        <v>2025-06</v>
      </c>
      <c r="D3494" t="s">
        <v>80</v>
      </c>
      <c r="E3494" t="s">
        <v>3636</v>
      </c>
      <c r="F3494" t="s">
        <v>3608</v>
      </c>
      <c r="G3494" s="1">
        <v>3949811.41</v>
      </c>
    </row>
    <row r="3495" spans="1:7">
      <c r="A3495" t="s">
        <v>3590</v>
      </c>
      <c r="B3495" s="6">
        <v>45868</v>
      </c>
      <c r="C3495" s="6" t="str">
        <f>TEXT(Table3[[#This Row],[transaction_date]], "yyyy-mm")</f>
        <v>2025-07</v>
      </c>
      <c r="D3495" t="s">
        <v>74</v>
      </c>
      <c r="E3495" t="s">
        <v>3637</v>
      </c>
      <c r="F3495" t="s">
        <v>3618</v>
      </c>
      <c r="G3495" s="1">
        <v>52889.94</v>
      </c>
    </row>
    <row r="3496" spans="1:7">
      <c r="A3496" t="s">
        <v>3591</v>
      </c>
      <c r="B3496" s="6">
        <v>45869</v>
      </c>
      <c r="C3496" s="6" t="str">
        <f>TEXT(Table3[[#This Row],[transaction_date]], "yyyy-mm")</f>
        <v>2025-07</v>
      </c>
      <c r="D3496" t="s">
        <v>95</v>
      </c>
      <c r="E3496" t="s">
        <v>3636</v>
      </c>
      <c r="F3496" t="s">
        <v>3609</v>
      </c>
      <c r="G3496" s="1">
        <v>1693446.2</v>
      </c>
    </row>
    <row r="3497" spans="1:7">
      <c r="A3497" t="s">
        <v>3592</v>
      </c>
      <c r="B3497" s="6">
        <v>45886</v>
      </c>
      <c r="C3497" s="6" t="str">
        <f>TEXT(Table3[[#This Row],[transaction_date]], "yyyy-mm")</f>
        <v>2025-08</v>
      </c>
      <c r="D3497" t="s">
        <v>76</v>
      </c>
      <c r="E3497" t="s">
        <v>3636</v>
      </c>
      <c r="F3497" t="s">
        <v>3612</v>
      </c>
      <c r="G3497" s="1">
        <v>8758025.3699999992</v>
      </c>
    </row>
    <row r="3498" spans="1:7">
      <c r="A3498" t="s">
        <v>3593</v>
      </c>
      <c r="B3498" s="6">
        <v>45798</v>
      </c>
      <c r="C3498" s="6" t="str">
        <f>TEXT(Table3[[#This Row],[transaction_date]], "yyyy-mm")</f>
        <v>2025-05</v>
      </c>
      <c r="D3498" t="s">
        <v>75</v>
      </c>
      <c r="E3498" t="s">
        <v>3636</v>
      </c>
      <c r="F3498" t="s">
        <v>3612</v>
      </c>
      <c r="G3498" s="1">
        <v>216544.59</v>
      </c>
    </row>
    <row r="3499" spans="1:7">
      <c r="A3499" t="s">
        <v>3594</v>
      </c>
      <c r="B3499" s="6">
        <v>45699</v>
      </c>
      <c r="C3499" s="6" t="str">
        <f>TEXT(Table3[[#This Row],[transaction_date]], "yyyy-mm")</f>
        <v>2025-02</v>
      </c>
      <c r="D3499" t="s">
        <v>74</v>
      </c>
      <c r="E3499" t="s">
        <v>3637</v>
      </c>
      <c r="F3499" t="s">
        <v>3621</v>
      </c>
      <c r="G3499" s="1">
        <v>334694.46999999997</v>
      </c>
    </row>
    <row r="3500" spans="1:7">
      <c r="A3500" t="s">
        <v>3595</v>
      </c>
      <c r="B3500" s="6">
        <v>45859</v>
      </c>
      <c r="C3500" s="6" t="str">
        <f>TEXT(Table3[[#This Row],[transaction_date]], "yyyy-mm")</f>
        <v>2025-07</v>
      </c>
      <c r="D3500" t="s">
        <v>85</v>
      </c>
      <c r="E3500" t="s">
        <v>3636</v>
      </c>
      <c r="F3500" t="s">
        <v>3606</v>
      </c>
      <c r="G3500" s="1">
        <v>440499</v>
      </c>
    </row>
    <row r="3501" spans="1:7">
      <c r="A3501" t="s">
        <v>3596</v>
      </c>
      <c r="B3501" s="6">
        <v>45806</v>
      </c>
      <c r="C3501" s="6" t="str">
        <f>TEXT(Table3[[#This Row],[transaction_date]], "yyyy-mm")</f>
        <v>2025-05</v>
      </c>
      <c r="D3501" t="s">
        <v>75</v>
      </c>
      <c r="E3501" t="s">
        <v>3637</v>
      </c>
      <c r="F3501" t="s">
        <v>3614</v>
      </c>
      <c r="G3501" s="1">
        <v>19262779.98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2008997-85FD-4C5F-929F-6718F5F6A139}">
  <ds:schemaRefs/>
</ds:datastoreItem>
</file>

<file path=customXml/itemProps2.xml><?xml version="1.0" encoding="utf-8"?>
<ds:datastoreItem xmlns:ds="http://schemas.openxmlformats.org/officeDocument/2006/customXml" ds:itemID="{96A1126C-7B8A-49EF-AD6B-B950916D37C0}">
  <ds:schemaRefs/>
</ds:datastoreItem>
</file>

<file path=customXml/itemProps3.xml><?xml version="1.0" encoding="utf-8"?>
<ds:datastoreItem xmlns:ds="http://schemas.openxmlformats.org/officeDocument/2006/customXml" ds:itemID="{6C3502EC-0516-42DD-ACB7-800650F6C6F6}">
  <ds:schemaRefs/>
</ds:datastoreItem>
</file>

<file path=customXml/itemProps4.xml><?xml version="1.0" encoding="utf-8"?>
<ds:datastoreItem xmlns:ds="http://schemas.openxmlformats.org/officeDocument/2006/customXml" ds:itemID="{11495813-86F2-4A43-895D-F7FA38641581}">
  <ds:schemaRefs/>
</ds:datastoreItem>
</file>

<file path=customXml/itemProps5.xml><?xml version="1.0" encoding="utf-8"?>
<ds:datastoreItem xmlns:ds="http://schemas.openxmlformats.org/officeDocument/2006/customXml" ds:itemID="{83751F8E-34CF-411C-A1DE-8B96269A8845}">
  <ds:schemaRefs/>
</ds:datastoreItem>
</file>

<file path=customXml/itemProps6.xml><?xml version="1.0" encoding="utf-8"?>
<ds:datastoreItem xmlns:ds="http://schemas.openxmlformats.org/officeDocument/2006/customXml" ds:itemID="{9721858F-8171-4747-A288-EE14EB91A7DC}">
  <ds:schemaRefs/>
</ds:datastoreItem>
</file>

<file path=customXml/itemProps7.xml><?xml version="1.0" encoding="utf-8"?>
<ds:datastoreItem xmlns:ds="http://schemas.openxmlformats.org/officeDocument/2006/customXml" ds:itemID="{6D312922-6B75-4DA8-AF7A-755BDDF9F9BD}">
  <ds:schemaRefs/>
</ds:datastoreItem>
</file>

<file path=customXml/itemProps8.xml><?xml version="1.0" encoding="utf-8"?>
<ds:datastoreItem xmlns:ds="http://schemas.openxmlformats.org/officeDocument/2006/customXml" ds:itemID="{C8450538-E41B-442E-8E16-2F28C0B969FD}">
  <ds:schemaRefs/>
</ds:datastoreItem>
</file>

<file path=customXml/itemProps9.xml><?xml version="1.0" encoding="utf-8"?>
<ds:datastoreItem xmlns:ds="http://schemas.openxmlformats.org/officeDocument/2006/customXml" ds:itemID="{53770164-D3FC-4588-9897-4BBF28BCADE8}">
  <ds:schemaRefs/>
</ds:datastoreItem>
</file>

<file path=customXml/itemProps10.xml><?xml version="1.0" encoding="utf-8"?>
<ds:datastoreItem xmlns:ds="http://schemas.openxmlformats.org/officeDocument/2006/customXml" ds:itemID="{249CF91E-AB5A-4623-8E4D-2B8589594621}">
  <ds:schemaRefs/>
</ds:datastoreItem>
</file>

<file path=customXml/itemProps11.xml><?xml version="1.0" encoding="utf-8"?>
<ds:datastoreItem xmlns:ds="http://schemas.openxmlformats.org/officeDocument/2006/customXml" ds:itemID="{24EA9CB3-1669-4547-BEF8-A344A0CB1370}">
  <ds:schemaRefs/>
</ds:datastoreItem>
</file>

<file path=customXml/itemProps12.xml><?xml version="1.0" encoding="utf-8"?>
<ds:datastoreItem xmlns:ds="http://schemas.openxmlformats.org/officeDocument/2006/customXml" ds:itemID="{93F632B4-0BC5-4A8F-8490-D54644D77C25}">
  <ds:schemaRefs>
    <ds:schemaRef ds:uri="http://schemas.microsoft.com/DataMashup"/>
  </ds:schemaRefs>
</ds:datastoreItem>
</file>

<file path=customXml/itemProps13.xml><?xml version="1.0" encoding="utf-8"?>
<ds:datastoreItem xmlns:ds="http://schemas.openxmlformats.org/officeDocument/2006/customXml" ds:itemID="{2A411585-2C53-4DE1-B46F-6EAF66D3ABCC}">
  <ds:schemaRefs/>
</ds:datastoreItem>
</file>

<file path=customXml/itemProps14.xml><?xml version="1.0" encoding="utf-8"?>
<ds:datastoreItem xmlns:ds="http://schemas.openxmlformats.org/officeDocument/2006/customXml" ds:itemID="{57826BF2-F6D4-4C9C-BD02-71B57ED64435}">
  <ds:schemaRefs/>
</ds:datastoreItem>
</file>

<file path=customXml/itemProps15.xml><?xml version="1.0" encoding="utf-8"?>
<ds:datastoreItem xmlns:ds="http://schemas.openxmlformats.org/officeDocument/2006/customXml" ds:itemID="{9A5AD907-FC8A-470D-92E5-60D3AD396545}">
  <ds:schemaRefs/>
</ds:datastoreItem>
</file>

<file path=customXml/itemProps16.xml><?xml version="1.0" encoding="utf-8"?>
<ds:datastoreItem xmlns:ds="http://schemas.openxmlformats.org/officeDocument/2006/customXml" ds:itemID="{2E7C68D2-65AE-4661-BAC7-A9A5A77F073D}">
  <ds:schemaRefs/>
</ds:datastoreItem>
</file>

<file path=customXml/itemProps17.xml><?xml version="1.0" encoding="utf-8"?>
<ds:datastoreItem xmlns:ds="http://schemas.openxmlformats.org/officeDocument/2006/customXml" ds:itemID="{196A2CE1-09EC-4F5C-942A-626CA841C19B}">
  <ds:schemaRefs/>
</ds:datastoreItem>
</file>

<file path=customXml/itemProps18.xml><?xml version="1.0" encoding="utf-8"?>
<ds:datastoreItem xmlns:ds="http://schemas.openxmlformats.org/officeDocument/2006/customXml" ds:itemID="{19DD0954-1775-4B0E-BD37-229E9E0D0FBF}">
  <ds:schemaRefs/>
</ds:datastoreItem>
</file>

<file path=customXml/itemProps19.xml><?xml version="1.0" encoding="utf-8"?>
<ds:datastoreItem xmlns:ds="http://schemas.openxmlformats.org/officeDocument/2006/customXml" ds:itemID="{94F78FB1-A356-442D-91A6-00A2CA5AFCE7}">
  <ds:schemaRefs/>
</ds:datastoreItem>
</file>

<file path=customXml/itemProps20.xml><?xml version="1.0" encoding="utf-8"?>
<ds:datastoreItem xmlns:ds="http://schemas.openxmlformats.org/officeDocument/2006/customXml" ds:itemID="{B72EA1D5-387A-4774-AF83-857B057DC51A}">
  <ds:schemaRefs/>
</ds:datastoreItem>
</file>

<file path=customXml/itemProps21.xml><?xml version="1.0" encoding="utf-8"?>
<ds:datastoreItem xmlns:ds="http://schemas.openxmlformats.org/officeDocument/2006/customXml" ds:itemID="{4BA8C678-0036-48F0-B608-9BEAEA118C4C}">
  <ds:schemaRefs/>
</ds:datastoreItem>
</file>

<file path=customXml/itemProps22.xml><?xml version="1.0" encoding="utf-8"?>
<ds:datastoreItem xmlns:ds="http://schemas.openxmlformats.org/officeDocument/2006/customXml" ds:itemID="{97DA73FB-4F20-4E9A-B63E-B4FADCA39307}">
  <ds:schemaRefs/>
</ds:datastoreItem>
</file>

<file path=customXml/itemProps23.xml><?xml version="1.0" encoding="utf-8"?>
<ds:datastoreItem xmlns:ds="http://schemas.openxmlformats.org/officeDocument/2006/customXml" ds:itemID="{64DF915B-1430-4FDA-B5B7-A50057EAD671}">
  <ds:schemaRefs/>
</ds:datastoreItem>
</file>

<file path=customXml/itemProps24.xml><?xml version="1.0" encoding="utf-8"?>
<ds:datastoreItem xmlns:ds="http://schemas.openxmlformats.org/officeDocument/2006/customXml" ds:itemID="{CE8C2213-94E1-4229-A9A9-A135181E970D}">
  <ds:schemaRefs/>
</ds:datastoreItem>
</file>

<file path=customXml/itemProps25.xml><?xml version="1.0" encoding="utf-8"?>
<ds:datastoreItem xmlns:ds="http://schemas.openxmlformats.org/officeDocument/2006/customXml" ds:itemID="{8CBFDB9E-4FB9-4DC6-B136-192AB51C8B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rough_work ref_to_dashboard</vt:lpstr>
      <vt:lpstr>pivot_table</vt:lpstr>
      <vt:lpstr>dim_ministry</vt:lpstr>
      <vt:lpstr>dim_expense_category</vt:lpstr>
      <vt:lpstr>dim_expense_type</vt:lpstr>
      <vt:lpstr>dim_funding_source</vt:lpstr>
      <vt:lpstr>fact_approved_budget</vt:lpstr>
      <vt:lpstr>fact_budget_funding</vt:lpstr>
      <vt:lpstr>fact_actual_expenditure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NeneDornu</dc:creator>
  <cp:lastModifiedBy>Hp</cp:lastModifiedBy>
  <dcterms:created xsi:type="dcterms:W3CDTF">2026-02-12T22:56:14Z</dcterms:created>
  <dcterms:modified xsi:type="dcterms:W3CDTF">2026-02-16T21:51:04Z</dcterms:modified>
</cp:coreProperties>
</file>